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2"/>
  </bookViews>
  <sheets>
    <sheet name="Inputs" sheetId="1" r:id="rId1"/>
    <sheet name="Сalculations" sheetId="2" r:id="rId2"/>
    <sheet name="Results" sheetId="3" r:id="rId3"/>
  </sheets>
  <calcPr calcId="125725" concurrentCalc="0"/>
</workbook>
</file>

<file path=xl/calcChain.xml><?xml version="1.0" encoding="utf-8"?>
<calcChain xmlns="http://schemas.openxmlformats.org/spreadsheetml/2006/main">
  <c r="C108" i="2"/>
  <c r="D108"/>
  <c r="E108"/>
  <c r="F108"/>
  <c r="B108"/>
  <c r="D3"/>
  <c r="B23"/>
  <c r="B37"/>
  <c r="B19"/>
  <c r="B38"/>
  <c r="B39"/>
  <c r="B55"/>
  <c r="B44"/>
  <c r="C37"/>
  <c r="D37"/>
  <c r="E37"/>
  <c r="F37"/>
  <c r="F38"/>
  <c r="F39"/>
  <c r="F55"/>
  <c r="F44"/>
  <c r="B20"/>
  <c r="B40"/>
  <c r="B21"/>
  <c r="B41"/>
  <c r="B22"/>
  <c r="B42"/>
  <c r="B43"/>
  <c r="B45"/>
  <c r="B47"/>
  <c r="B48"/>
  <c r="B26"/>
  <c r="B56"/>
  <c r="B27"/>
  <c r="B57"/>
  <c r="B28"/>
  <c r="B58"/>
  <c r="B29"/>
  <c r="B59"/>
  <c r="B30"/>
  <c r="B60"/>
  <c r="B31"/>
  <c r="B61"/>
  <c r="B62"/>
  <c r="D4"/>
  <c r="B63"/>
  <c r="B49"/>
  <c r="B50"/>
  <c r="B51"/>
  <c r="B91"/>
  <c r="E70"/>
  <c r="G70"/>
  <c r="E71"/>
  <c r="G71"/>
  <c r="E72"/>
  <c r="G72"/>
  <c r="E73"/>
  <c r="G73"/>
  <c r="E74"/>
  <c r="G74"/>
  <c r="G75"/>
  <c r="C80"/>
  <c r="D80"/>
  <c r="E80"/>
  <c r="F80"/>
  <c r="G80"/>
  <c r="B92"/>
  <c r="B93"/>
  <c r="C38"/>
  <c r="C39"/>
  <c r="C40"/>
  <c r="C41"/>
  <c r="C42"/>
  <c r="C43"/>
  <c r="C55"/>
  <c r="C44"/>
  <c r="C45"/>
  <c r="C47"/>
  <c r="C48"/>
  <c r="C56"/>
  <c r="C57"/>
  <c r="C58"/>
  <c r="C59"/>
  <c r="C60"/>
  <c r="C61"/>
  <c r="C62"/>
  <c r="C63"/>
  <c r="C49"/>
  <c r="C50"/>
  <c r="C51"/>
  <c r="C91"/>
  <c r="C92"/>
  <c r="C93"/>
  <c r="D38"/>
  <c r="D39"/>
  <c r="D40"/>
  <c r="D41"/>
  <c r="D42"/>
  <c r="D43"/>
  <c r="D55"/>
  <c r="D44"/>
  <c r="D45"/>
  <c r="D47"/>
  <c r="D48"/>
  <c r="D56"/>
  <c r="D57"/>
  <c r="D58"/>
  <c r="D59"/>
  <c r="D60"/>
  <c r="D61"/>
  <c r="D62"/>
  <c r="D63"/>
  <c r="D49"/>
  <c r="D50"/>
  <c r="D51"/>
  <c r="D91"/>
  <c r="D92"/>
  <c r="D93"/>
  <c r="E38"/>
  <c r="E39"/>
  <c r="E40"/>
  <c r="E41"/>
  <c r="E42"/>
  <c r="E43"/>
  <c r="E55"/>
  <c r="E44"/>
  <c r="E45"/>
  <c r="E47"/>
  <c r="E48"/>
  <c r="E56"/>
  <c r="E57"/>
  <c r="E58"/>
  <c r="E59"/>
  <c r="E60"/>
  <c r="E61"/>
  <c r="E62"/>
  <c r="E63"/>
  <c r="E49"/>
  <c r="E50"/>
  <c r="E51"/>
  <c r="E91"/>
  <c r="E92"/>
  <c r="E93"/>
  <c r="F40"/>
  <c r="F41"/>
  <c r="F42"/>
  <c r="F43"/>
  <c r="F45"/>
  <c r="F47"/>
  <c r="F48"/>
  <c r="F56"/>
  <c r="F57"/>
  <c r="F58"/>
  <c r="F59"/>
  <c r="F60"/>
  <c r="F61"/>
  <c r="F62"/>
  <c r="F63"/>
  <c r="F49"/>
  <c r="F50"/>
  <c r="F51"/>
  <c r="F91"/>
  <c r="F92"/>
  <c r="F93"/>
  <c r="C96"/>
  <c r="C260"/>
  <c r="B107"/>
  <c r="B109"/>
  <c r="B110"/>
  <c r="C107"/>
  <c r="C109"/>
  <c r="C110"/>
  <c r="D107"/>
  <c r="D109"/>
  <c r="D110"/>
  <c r="E107"/>
  <c r="E109"/>
  <c r="E110"/>
  <c r="F107"/>
  <c r="F109"/>
  <c r="F110"/>
  <c r="C114"/>
  <c r="C268"/>
  <c r="B270"/>
  <c r="C220"/>
  <c r="C139"/>
  <c r="C143"/>
  <c r="C144"/>
  <c r="C145"/>
  <c r="D194"/>
  <c r="D139"/>
  <c r="D143"/>
  <c r="D144"/>
  <c r="D145"/>
  <c r="E194"/>
  <c r="E139"/>
  <c r="E143"/>
  <c r="E144"/>
  <c r="E145"/>
  <c r="F194"/>
  <c r="F139"/>
  <c r="F143"/>
  <c r="F144"/>
  <c r="F145"/>
  <c r="G194"/>
  <c r="G139"/>
  <c r="G143"/>
  <c r="G144"/>
  <c r="G145"/>
  <c r="H194"/>
  <c r="C221"/>
  <c r="B202"/>
  <c r="D186"/>
  <c r="E186"/>
  <c r="F186"/>
  <c r="G186"/>
  <c r="H186"/>
  <c r="C223"/>
  <c r="C222"/>
  <c r="C224"/>
  <c r="C225"/>
  <c r="C227"/>
  <c r="C228"/>
  <c r="C229"/>
  <c r="C230"/>
  <c r="C231"/>
  <c r="C232"/>
  <c r="C234"/>
  <c r="C81"/>
  <c r="D81"/>
  <c r="E81"/>
  <c r="F81"/>
  <c r="G81"/>
  <c r="K18" i="1"/>
  <c r="C244" i="2"/>
  <c r="C276"/>
  <c r="C275"/>
  <c r="B278"/>
  <c r="B281"/>
  <c r="E105" i="3"/>
  <c r="E103"/>
  <c r="E101"/>
  <c r="E99"/>
  <c r="C274" i="2"/>
  <c r="E97" i="3"/>
  <c r="E95"/>
  <c r="E93"/>
  <c r="C264" i="2"/>
  <c r="E91" i="3"/>
  <c r="E89"/>
  <c r="C256" i="2"/>
  <c r="E87" i="3"/>
  <c r="E195" i="2"/>
  <c r="E184"/>
  <c r="E197"/>
  <c r="I80" i="3"/>
  <c r="F195" i="2"/>
  <c r="F184"/>
  <c r="F197"/>
  <c r="J80" i="3"/>
  <c r="G195" i="2"/>
  <c r="G184"/>
  <c r="G197"/>
  <c r="K80" i="3"/>
  <c r="H195" i="2"/>
  <c r="H184"/>
  <c r="H197"/>
  <c r="L80" i="3"/>
  <c r="D195" i="2"/>
  <c r="D184"/>
  <c r="D197"/>
  <c r="H80" i="3"/>
  <c r="I78"/>
  <c r="J78"/>
  <c r="K78"/>
  <c r="L78"/>
  <c r="H78"/>
  <c r="I69"/>
  <c r="J69"/>
  <c r="K69"/>
  <c r="L69"/>
  <c r="I70"/>
  <c r="J70"/>
  <c r="K70"/>
  <c r="L70"/>
  <c r="I71"/>
  <c r="J71"/>
  <c r="K71"/>
  <c r="L71"/>
  <c r="I72"/>
  <c r="J72"/>
  <c r="K72"/>
  <c r="L72"/>
  <c r="I73"/>
  <c r="J73"/>
  <c r="K73"/>
  <c r="L73"/>
  <c r="I74"/>
  <c r="J74"/>
  <c r="K74"/>
  <c r="L74"/>
  <c r="I75"/>
  <c r="J75"/>
  <c r="K75"/>
  <c r="L75"/>
  <c r="I76"/>
  <c r="J76"/>
  <c r="K76"/>
  <c r="L76"/>
  <c r="I77"/>
  <c r="J77"/>
  <c r="K77"/>
  <c r="L77"/>
  <c r="H70"/>
  <c r="H71"/>
  <c r="H72"/>
  <c r="H73"/>
  <c r="H74"/>
  <c r="H75"/>
  <c r="H76"/>
  <c r="H77"/>
  <c r="H69"/>
  <c r="F78"/>
  <c r="G78"/>
  <c r="E78"/>
  <c r="F80"/>
  <c r="G80"/>
  <c r="E80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E70"/>
  <c r="E71"/>
  <c r="E72"/>
  <c r="E73"/>
  <c r="E74"/>
  <c r="E75"/>
  <c r="E76"/>
  <c r="E77"/>
  <c r="E69"/>
  <c r="I67"/>
  <c r="J67"/>
  <c r="K67"/>
  <c r="L67"/>
  <c r="H67"/>
  <c r="I58"/>
  <c r="J58"/>
  <c r="K58"/>
  <c r="L58"/>
  <c r="I59"/>
  <c r="J59"/>
  <c r="K59"/>
  <c r="L59"/>
  <c r="I60"/>
  <c r="J60"/>
  <c r="K60"/>
  <c r="L60"/>
  <c r="I61"/>
  <c r="J61"/>
  <c r="K61"/>
  <c r="L61"/>
  <c r="I62"/>
  <c r="J62"/>
  <c r="K62"/>
  <c r="L62"/>
  <c r="I63"/>
  <c r="J63"/>
  <c r="K63"/>
  <c r="L63"/>
  <c r="I64"/>
  <c r="J64"/>
  <c r="K64"/>
  <c r="L64"/>
  <c r="I65"/>
  <c r="J65"/>
  <c r="K65"/>
  <c r="L65"/>
  <c r="I66"/>
  <c r="J66"/>
  <c r="K66"/>
  <c r="L66"/>
  <c r="H59"/>
  <c r="H60"/>
  <c r="H61"/>
  <c r="H62"/>
  <c r="H63"/>
  <c r="H64"/>
  <c r="H65"/>
  <c r="H66"/>
  <c r="H58"/>
  <c r="F67"/>
  <c r="G67"/>
  <c r="E6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E59"/>
  <c r="E60"/>
  <c r="E61"/>
  <c r="E62"/>
  <c r="E63"/>
  <c r="E64"/>
  <c r="E65"/>
  <c r="E66"/>
  <c r="E58"/>
  <c r="D161" i="2"/>
  <c r="E161"/>
  <c r="E162"/>
  <c r="E163"/>
  <c r="E164"/>
  <c r="E165"/>
  <c r="E166"/>
  <c r="E167"/>
  <c r="E168"/>
  <c r="E169"/>
  <c r="E153"/>
  <c r="E157"/>
  <c r="E158"/>
  <c r="E159"/>
  <c r="E171"/>
  <c r="I54" i="3"/>
  <c r="F161" i="2"/>
  <c r="F162"/>
  <c r="F163"/>
  <c r="F164"/>
  <c r="F165"/>
  <c r="F166"/>
  <c r="F167"/>
  <c r="F168"/>
  <c r="F169"/>
  <c r="F153"/>
  <c r="F157"/>
  <c r="F158"/>
  <c r="F159"/>
  <c r="F171"/>
  <c r="J54" i="3"/>
  <c r="G161" i="2"/>
  <c r="G162"/>
  <c r="G163"/>
  <c r="G164"/>
  <c r="G165"/>
  <c r="G166"/>
  <c r="G167"/>
  <c r="G168"/>
  <c r="G169"/>
  <c r="G153"/>
  <c r="G157"/>
  <c r="G158"/>
  <c r="G159"/>
  <c r="G171"/>
  <c r="K54" i="3"/>
  <c r="H161" i="2"/>
  <c r="H162"/>
  <c r="H163"/>
  <c r="H164"/>
  <c r="H165"/>
  <c r="H166"/>
  <c r="H167"/>
  <c r="H168"/>
  <c r="H169"/>
  <c r="H153"/>
  <c r="H157"/>
  <c r="H158"/>
  <c r="H159"/>
  <c r="H171"/>
  <c r="L54" i="3"/>
  <c r="D162" i="2"/>
  <c r="D163"/>
  <c r="D164"/>
  <c r="D165"/>
  <c r="D166"/>
  <c r="D167"/>
  <c r="D168"/>
  <c r="D169"/>
  <c r="D153"/>
  <c r="D157"/>
  <c r="D158"/>
  <c r="D159"/>
  <c r="D171"/>
  <c r="H54" i="3"/>
  <c r="F54"/>
  <c r="G54"/>
  <c r="E54"/>
  <c r="I52"/>
  <c r="J52"/>
  <c r="K52"/>
  <c r="L52"/>
  <c r="H52"/>
  <c r="I44"/>
  <c r="J44"/>
  <c r="K44"/>
  <c r="L44"/>
  <c r="I45"/>
  <c r="J45"/>
  <c r="K45"/>
  <c r="L45"/>
  <c r="I46"/>
  <c r="J46"/>
  <c r="K46"/>
  <c r="L46"/>
  <c r="I47"/>
  <c r="J47"/>
  <c r="K47"/>
  <c r="L47"/>
  <c r="I48"/>
  <c r="J48"/>
  <c r="K48"/>
  <c r="L48"/>
  <c r="I49"/>
  <c r="J49"/>
  <c r="K49"/>
  <c r="L49"/>
  <c r="I50"/>
  <c r="J50"/>
  <c r="K50"/>
  <c r="L50"/>
  <c r="I51"/>
  <c r="J51"/>
  <c r="K51"/>
  <c r="L51"/>
  <c r="H45"/>
  <c r="H46"/>
  <c r="H47"/>
  <c r="H48"/>
  <c r="H49"/>
  <c r="H50"/>
  <c r="H51"/>
  <c r="H44"/>
  <c r="F52"/>
  <c r="G52"/>
  <c r="E52"/>
  <c r="F44"/>
  <c r="G44"/>
  <c r="F45"/>
  <c r="G45"/>
  <c r="F46"/>
  <c r="G46"/>
  <c r="F47"/>
  <c r="G47"/>
  <c r="F48"/>
  <c r="G48"/>
  <c r="F49"/>
  <c r="G49"/>
  <c r="F50"/>
  <c r="G50"/>
  <c r="F51"/>
  <c r="G51"/>
  <c r="E45"/>
  <c r="E46"/>
  <c r="E47"/>
  <c r="E48"/>
  <c r="E49"/>
  <c r="E50"/>
  <c r="E51"/>
  <c r="E44"/>
  <c r="I40"/>
  <c r="J40"/>
  <c r="K40"/>
  <c r="L40"/>
  <c r="H40"/>
  <c r="I39"/>
  <c r="J39"/>
  <c r="K39"/>
  <c r="L39"/>
  <c r="H39"/>
  <c r="I38"/>
  <c r="J38"/>
  <c r="K38"/>
  <c r="L38"/>
  <c r="H38"/>
  <c r="I37"/>
  <c r="J37"/>
  <c r="K37"/>
  <c r="L37"/>
  <c r="H37"/>
  <c r="I36"/>
  <c r="J36"/>
  <c r="K36"/>
  <c r="L36"/>
  <c r="H36"/>
  <c r="I35"/>
  <c r="J35"/>
  <c r="K35"/>
  <c r="L35"/>
  <c r="H35"/>
  <c r="I34"/>
  <c r="J34"/>
  <c r="K34"/>
  <c r="L34"/>
  <c r="H34"/>
  <c r="I27"/>
  <c r="J27"/>
  <c r="K27"/>
  <c r="L27"/>
  <c r="H27"/>
  <c r="D7" i="2"/>
  <c r="D8"/>
  <c r="C4"/>
  <c r="D5"/>
  <c r="D9"/>
  <c r="G27" i="3"/>
  <c r="C7" i="2"/>
  <c r="C8"/>
  <c r="B4"/>
  <c r="C5"/>
  <c r="C3"/>
  <c r="C9"/>
  <c r="F27" i="3"/>
  <c r="I26"/>
  <c r="J26"/>
  <c r="K26"/>
  <c r="L26"/>
  <c r="H26"/>
  <c r="G26"/>
  <c r="F26"/>
  <c r="G25"/>
  <c r="F25"/>
  <c r="F24"/>
  <c r="G24"/>
  <c r="B7" i="2"/>
  <c r="B8"/>
  <c r="E24" i="3"/>
  <c r="B32" i="2"/>
  <c r="C6"/>
  <c r="D6"/>
  <c r="B6"/>
  <c r="E26" i="3"/>
  <c r="E25"/>
  <c r="I18"/>
  <c r="J18"/>
  <c r="K18"/>
  <c r="L18"/>
  <c r="I17"/>
  <c r="J17"/>
  <c r="K17"/>
  <c r="L17"/>
  <c r="I16"/>
  <c r="J16"/>
  <c r="K16"/>
  <c r="L16"/>
  <c r="I15"/>
  <c r="J15"/>
  <c r="K15"/>
  <c r="L15"/>
  <c r="H18"/>
  <c r="H17"/>
  <c r="H16"/>
  <c r="H15"/>
  <c r="I13"/>
  <c r="J13"/>
  <c r="K13"/>
  <c r="L13"/>
  <c r="H13"/>
  <c r="B81" i="2"/>
  <c r="C254"/>
  <c r="D254"/>
  <c r="E254"/>
  <c r="F254"/>
  <c r="B254"/>
  <c r="C195"/>
  <c r="C184"/>
  <c r="C169"/>
  <c r="C159"/>
  <c r="C171"/>
  <c r="K19" i="3"/>
  <c r="C121" i="2"/>
  <c r="D121"/>
  <c r="E121"/>
  <c r="F121"/>
  <c r="B121"/>
  <c r="C122"/>
  <c r="D122"/>
  <c r="E122"/>
  <c r="F122"/>
  <c r="B122"/>
  <c r="D70"/>
  <c r="D71"/>
  <c r="D72"/>
  <c r="D73"/>
  <c r="D74"/>
  <c r="B75"/>
  <c r="C75"/>
  <c r="F75"/>
  <c r="H21" i="3"/>
  <c r="H19"/>
  <c r="I22"/>
  <c r="I19"/>
  <c r="J19"/>
  <c r="L22"/>
  <c r="L19"/>
  <c r="I21"/>
  <c r="J22"/>
  <c r="J21"/>
  <c r="L21"/>
  <c r="C197" i="2"/>
  <c r="D75"/>
  <c r="E75"/>
  <c r="H22" i="3"/>
  <c r="K22"/>
  <c r="K21"/>
  <c r="B24" i="2"/>
  <c r="B18"/>
  <c r="F77" i="1"/>
  <c r="G77"/>
  <c r="E77"/>
  <c r="F66"/>
  <c r="G66"/>
  <c r="E66"/>
  <c r="F53"/>
  <c r="F51"/>
  <c r="G51"/>
  <c r="F41"/>
  <c r="G41"/>
  <c r="E41"/>
  <c r="E51"/>
  <c r="G15"/>
  <c r="F12"/>
  <c r="G12"/>
  <c r="G10" i="3"/>
  <c r="E12" i="1"/>
  <c r="F15"/>
  <c r="F10" i="3"/>
  <c r="E15" i="1"/>
  <c r="E10" i="3"/>
  <c r="F79" i="1"/>
  <c r="G21"/>
  <c r="G13" i="3"/>
  <c r="H3"/>
  <c r="G79" i="1"/>
  <c r="E79"/>
  <c r="G53"/>
  <c r="E53"/>
  <c r="B80" i="2"/>
  <c r="F34" i="3"/>
  <c r="G34"/>
  <c r="F35"/>
  <c r="G35"/>
  <c r="F36"/>
  <c r="G36"/>
  <c r="F37"/>
  <c r="G37"/>
  <c r="F38"/>
  <c r="G38"/>
  <c r="F39"/>
  <c r="G39"/>
  <c r="F40"/>
  <c r="G40"/>
  <c r="E35"/>
  <c r="E36"/>
  <c r="E37"/>
  <c r="E38"/>
  <c r="E39"/>
  <c r="E40"/>
  <c r="E34"/>
  <c r="F18"/>
  <c r="G18"/>
  <c r="F17"/>
  <c r="G17"/>
  <c r="F16"/>
  <c r="G16"/>
  <c r="F15"/>
  <c r="G15"/>
  <c r="E18"/>
  <c r="E17"/>
  <c r="E16"/>
  <c r="E15"/>
  <c r="F12"/>
  <c r="G12"/>
  <c r="F9"/>
  <c r="G9"/>
  <c r="F8"/>
  <c r="G8"/>
  <c r="F7"/>
  <c r="G7"/>
  <c r="E12"/>
  <c r="E9"/>
  <c r="E8"/>
  <c r="E7"/>
  <c r="F4"/>
  <c r="G4"/>
  <c r="E4"/>
  <c r="F3"/>
  <c r="G3"/>
  <c r="E3"/>
  <c r="E21" i="1"/>
  <c r="E13" i="3"/>
  <c r="I3"/>
  <c r="F21" i="1"/>
  <c r="F13" i="3"/>
  <c r="H7"/>
  <c r="H5"/>
  <c r="H4"/>
  <c r="G23" i="1"/>
  <c r="G19" i="3"/>
  <c r="G5"/>
  <c r="F5"/>
  <c r="E5"/>
  <c r="H8"/>
  <c r="I7"/>
  <c r="H9"/>
  <c r="E19"/>
  <c r="E23" i="1"/>
  <c r="F23"/>
  <c r="F19" i="3"/>
  <c r="J3"/>
  <c r="G24" i="1"/>
  <c r="G22" i="3"/>
  <c r="G21"/>
  <c r="I8"/>
  <c r="I4"/>
  <c r="H10"/>
  <c r="J7"/>
  <c r="K12" i="1"/>
  <c r="H25" i="3"/>
  <c r="H12"/>
  <c r="J8"/>
  <c r="J4"/>
  <c r="F24" i="1"/>
  <c r="F22" i="3"/>
  <c r="F21"/>
  <c r="E24" i="1"/>
  <c r="E22" i="3"/>
  <c r="E21"/>
  <c r="K3"/>
  <c r="I5"/>
  <c r="H24"/>
  <c r="K7"/>
  <c r="I25"/>
  <c r="L3"/>
  <c r="K8"/>
  <c r="K4"/>
  <c r="J25"/>
  <c r="J5"/>
  <c r="I10"/>
  <c r="I9"/>
  <c r="I12"/>
  <c r="L7"/>
  <c r="K16" i="1"/>
  <c r="J12" i="3"/>
  <c r="K5"/>
  <c r="J10"/>
  <c r="J9"/>
  <c r="L8"/>
  <c r="L4"/>
  <c r="B120" i="2"/>
  <c r="K25" i="3"/>
  <c r="J24"/>
  <c r="I24"/>
  <c r="L5"/>
  <c r="K10"/>
  <c r="K9"/>
  <c r="B123" i="2"/>
  <c r="B124"/>
  <c r="K12" i="3"/>
  <c r="L25"/>
  <c r="C120" i="2"/>
  <c r="C123"/>
  <c r="L10" i="3"/>
  <c r="L9"/>
  <c r="D120" i="2"/>
  <c r="D123"/>
  <c r="L12" i="3"/>
  <c r="E120" i="2"/>
  <c r="E123"/>
  <c r="K24" i="3"/>
  <c r="C124" i="2"/>
  <c r="D124"/>
  <c r="L24" i="3"/>
  <c r="E124" i="2"/>
  <c r="F120"/>
  <c r="F123"/>
  <c r="I41" i="3"/>
  <c r="F124" i="2"/>
  <c r="H41" i="3"/>
  <c r="J41"/>
  <c r="K41"/>
  <c r="L41"/>
</calcChain>
</file>

<file path=xl/sharedStrings.xml><?xml version="1.0" encoding="utf-8"?>
<sst xmlns="http://schemas.openxmlformats.org/spreadsheetml/2006/main" count="392" uniqueCount="216">
  <si>
    <t>Revenue</t>
  </si>
  <si>
    <t>[42]</t>
  </si>
  <si>
    <t>Income Statement, MLN $</t>
  </si>
  <si>
    <t>Service revenue</t>
  </si>
  <si>
    <t>Equipment sales</t>
  </si>
  <si>
    <t>System operating expenses</t>
  </si>
  <si>
    <t xml:space="preserve">Cost of equipment sold </t>
  </si>
  <si>
    <t>Selling, general, administration costs</t>
  </si>
  <si>
    <t>Depreciation, amortization</t>
  </si>
  <si>
    <t>Interest expenditures</t>
  </si>
  <si>
    <t>Gain/Loss on investment</t>
  </si>
  <si>
    <t>Other Income</t>
  </si>
  <si>
    <t>Assets</t>
  </si>
  <si>
    <t>Current Assets</t>
  </si>
  <si>
    <t>Cash</t>
  </si>
  <si>
    <t>Accounts receivable</t>
  </si>
  <si>
    <t>Inventory</t>
  </si>
  <si>
    <t>Prepaid expenses</t>
  </si>
  <si>
    <t>Total current assets</t>
  </si>
  <si>
    <t>Fixed (Long-Term) Assets</t>
  </si>
  <si>
    <t>Property, plant, and equipment</t>
  </si>
  <si>
    <t>Total fixed assets</t>
  </si>
  <si>
    <t>Deferred income tax</t>
  </si>
  <si>
    <t>Total Assets</t>
  </si>
  <si>
    <t>Liabilities and Owner's Equity</t>
  </si>
  <si>
    <t>Current Liabilities</t>
  </si>
  <si>
    <t>Accounts payable</t>
  </si>
  <si>
    <t>Total current liabilities</t>
  </si>
  <si>
    <t>Long-Term Liabilities</t>
  </si>
  <si>
    <t>Long-term debt</t>
  </si>
  <si>
    <t>Total long-term liabilities</t>
  </si>
  <si>
    <t>Total Liabilities and Owner's Equity</t>
  </si>
  <si>
    <t>Balance Sheet, MLN$</t>
  </si>
  <si>
    <t>Marketable securities</t>
  </si>
  <si>
    <t>Deferred taxes</t>
  </si>
  <si>
    <t>Other current assets</t>
  </si>
  <si>
    <t>Licenses</t>
  </si>
  <si>
    <t>Goodwill</t>
  </si>
  <si>
    <t>Marketable equity securities</t>
  </si>
  <si>
    <t>Investment in affiliated entities</t>
  </si>
  <si>
    <t>Long-Term note receivable</t>
  </si>
  <si>
    <t>Other Long-Term assets</t>
  </si>
  <si>
    <t>Deffered revenue deposits</t>
  </si>
  <si>
    <t>Note payables</t>
  </si>
  <si>
    <t>Other current liabilities</t>
  </si>
  <si>
    <t>Accrued liabilities</t>
  </si>
  <si>
    <t>Assets retirement obligation</t>
  </si>
  <si>
    <t>Other deffered liabilities</t>
  </si>
  <si>
    <t>Common,stocks, paid in capital</t>
  </si>
  <si>
    <t>Retained earning</t>
  </si>
  <si>
    <t>Service revenue increase</t>
  </si>
  <si>
    <t>Сapital expenditures to revenue ratio</t>
  </si>
  <si>
    <t>Payment</t>
  </si>
  <si>
    <t>Annual interest</t>
  </si>
  <si>
    <t>Principal</t>
  </si>
  <si>
    <t>Tax rate</t>
  </si>
  <si>
    <t>Capex=capital expenditures</t>
  </si>
  <si>
    <t>chage NWC=change working capital</t>
  </si>
  <si>
    <t>CapEx = PP&amp;E (current period) – PP&amp;E (prior period) + Depreciation (current period)</t>
  </si>
  <si>
    <t>NWC= (accunt recievable+inventory+prepaid expenses)-(accounts payable+deffered revenue deposits+accrued liabilities)</t>
  </si>
  <si>
    <t>NWC</t>
  </si>
  <si>
    <t>CapEx</t>
  </si>
  <si>
    <t>Delta NWC</t>
  </si>
  <si>
    <t>Delta NWC=WCt-WCt-1</t>
  </si>
  <si>
    <t>-</t>
  </si>
  <si>
    <t>EBITDA=ser.rev+eq.rev.-sys.oper.exp-cost of eq.sold-selling,gen,adm exp</t>
  </si>
  <si>
    <t>EBIT=EBITDA-depr,amort</t>
  </si>
  <si>
    <t>NOPAT=(1-t)*EBIT</t>
  </si>
  <si>
    <t>UNLFCF=NOPAT+depr,amort-deltaNWC-CaPex</t>
  </si>
  <si>
    <t>EBITDA</t>
  </si>
  <si>
    <t>EBIT</t>
  </si>
  <si>
    <t>NOPAT</t>
  </si>
  <si>
    <t>Unlevered FCF</t>
  </si>
  <si>
    <t>turnover assets=Balance/(revenue/360)</t>
  </si>
  <si>
    <t>forcasted indicator= turnover*revenue or cost of sales/360</t>
  </si>
  <si>
    <t>EBT</t>
  </si>
  <si>
    <t>Net income</t>
  </si>
  <si>
    <t>NRR</t>
  </si>
  <si>
    <t>ROC</t>
  </si>
  <si>
    <t>g</t>
  </si>
  <si>
    <t>Cost of debt (rd)</t>
  </si>
  <si>
    <t>Discounted tax savings</t>
  </si>
  <si>
    <t>Historical Results</t>
  </si>
  <si>
    <t xml:space="preserve"> Forecast Period</t>
  </si>
  <si>
    <t>LOAN</t>
  </si>
  <si>
    <t>WACC (D/V=average)</t>
  </si>
  <si>
    <t>loan= sum of principal</t>
  </si>
  <si>
    <t>turnover liabilities=Balance/(cash operating expenditure/360)</t>
  </si>
  <si>
    <t xml:space="preserve">Universal Mobile </t>
  </si>
  <si>
    <t xml:space="preserve">Neuberger Wireless </t>
  </si>
  <si>
    <t xml:space="preserve">Agile Connections </t>
  </si>
  <si>
    <t xml:space="preserve">Rocky Mountain Wireless </t>
  </si>
  <si>
    <t>Average</t>
  </si>
  <si>
    <t>ba</t>
  </si>
  <si>
    <t>bl=be</t>
  </si>
  <si>
    <t xml:space="preserve">Big Country Communications </t>
  </si>
  <si>
    <t>re</t>
  </si>
  <si>
    <t>Risk free rate</t>
  </si>
  <si>
    <t>Market risk premium</t>
  </si>
  <si>
    <t>ba average</t>
  </si>
  <si>
    <t>Debt/Value average</t>
  </si>
  <si>
    <t>Net debt</t>
  </si>
  <si>
    <t>D/V</t>
  </si>
  <si>
    <t>D/E</t>
  </si>
  <si>
    <t>rd</t>
  </si>
  <si>
    <t>wacc</t>
  </si>
  <si>
    <t>re (D/E=0) WACC</t>
  </si>
  <si>
    <t>Total revenue</t>
  </si>
  <si>
    <t>Equity in Earnings of Affiliates</t>
  </si>
  <si>
    <t>Interest expenses</t>
  </si>
  <si>
    <t>Tax</t>
  </si>
  <si>
    <t>Customer lists</t>
  </si>
  <si>
    <t>Tax payble</t>
  </si>
  <si>
    <t>Deffered taxes</t>
  </si>
  <si>
    <t>Forward contract</t>
  </si>
  <si>
    <t>Derivative liability</t>
  </si>
  <si>
    <t>Forward contracts</t>
  </si>
  <si>
    <t>Minority interest</t>
  </si>
  <si>
    <t xml:space="preserve">Operating Assumptions </t>
  </si>
  <si>
    <t>SG&amp;A/Total Revenue</t>
  </si>
  <si>
    <t>Tax Rate</t>
  </si>
  <si>
    <t>Working Capital Assumptions:</t>
  </si>
  <si>
    <t>Cap-x/Total Revenue</t>
  </si>
  <si>
    <t>Service Revenue</t>
  </si>
  <si>
    <t>Equipment sales/Service revenue</t>
  </si>
  <si>
    <t>System operating expenses/Service revenue</t>
  </si>
  <si>
    <t>Equipment COGS (Cost of equipment sold/equipment sales)</t>
  </si>
  <si>
    <t>Depreciation, amortization in CapEX</t>
  </si>
  <si>
    <t>Accounts Receivable (turnover)</t>
  </si>
  <si>
    <t>Days Sales Equip. Rev. (turnover)</t>
  </si>
  <si>
    <t>Prepaid Expenses (turnover)</t>
  </si>
  <si>
    <t>Accounts Payable (turnover)</t>
  </si>
  <si>
    <t>Deferred Serv. Revenue (turnover)</t>
  </si>
  <si>
    <t>Accrued Liabilities (turnover)</t>
  </si>
  <si>
    <t>1.</t>
  </si>
  <si>
    <t>2.</t>
  </si>
  <si>
    <t>Operating Results</t>
  </si>
  <si>
    <t>Plus: Equipment Sales</t>
  </si>
  <si>
    <t>Total Revenue</t>
  </si>
  <si>
    <t>Less: System Operating Expenses</t>
  </si>
  <si>
    <t>Less:  Cost of Equipment Sold</t>
  </si>
  <si>
    <t>Less: Selling, General &amp; Administrative</t>
  </si>
  <si>
    <t>Less: Depreciation &amp; Amortization</t>
  </si>
  <si>
    <t>Un-Levered Free Cash Flow:</t>
  </si>
  <si>
    <t>Plus: Depreciation &amp; Amortization</t>
  </si>
  <si>
    <t>Less:  Changes in Working Capital</t>
  </si>
  <si>
    <t>Less: Capital Expenditures</t>
  </si>
  <si>
    <t>Un-Levered Free Cash Flow</t>
  </si>
  <si>
    <t>CapEX</t>
  </si>
  <si>
    <t>3.</t>
  </si>
  <si>
    <t>0.</t>
  </si>
  <si>
    <t>4.</t>
  </si>
  <si>
    <t xml:space="preserve">PV Intermediate FCF </t>
  </si>
  <si>
    <t>WACC (D/V=0)</t>
  </si>
  <si>
    <t>Discounted un-FCF</t>
  </si>
  <si>
    <t>PV un-FCF</t>
  </si>
  <si>
    <t>5.</t>
  </si>
  <si>
    <t>Intermediate Tax Shields</t>
  </si>
  <si>
    <t>Annual interest (inrest tax shield)</t>
  </si>
  <si>
    <t>Tax shield</t>
  </si>
  <si>
    <t>PV tax sheild</t>
  </si>
  <si>
    <t>6.</t>
  </si>
  <si>
    <t xml:space="preserve">Cash Reconciliation </t>
  </si>
  <si>
    <t>Less:  After-Tax Interest Expenses</t>
  </si>
  <si>
    <t>Less: Scheduled Principal Payments</t>
  </si>
  <si>
    <t>Excess Cash</t>
  </si>
  <si>
    <t>Cash on Balance Sheet</t>
  </si>
  <si>
    <t>7.</t>
  </si>
  <si>
    <t>Projected Income Statement</t>
  </si>
  <si>
    <t>Plus:  Equipment Sales</t>
  </si>
  <si>
    <t>Less:  System Operating Expenses</t>
  </si>
  <si>
    <t>Less:  Selling, General &amp; Administrative</t>
  </si>
  <si>
    <t>Less:  Depreciation &amp; Amortization</t>
  </si>
  <si>
    <t>Less:  Interest Expense</t>
  </si>
  <si>
    <t>Plus:  Equity in Earnings of Affiliates</t>
  </si>
  <si>
    <t>Plus:  Gains (Losses) on Investments</t>
  </si>
  <si>
    <t>Plus:  Other Income</t>
  </si>
  <si>
    <t>Less:  Taxes</t>
  </si>
  <si>
    <t>Net Income</t>
  </si>
  <si>
    <t>8.</t>
  </si>
  <si>
    <t xml:space="preserve">Projected Balance Sheets </t>
  </si>
  <si>
    <t>9.</t>
  </si>
  <si>
    <t xml:space="preserve">Long-Term Growth Rate </t>
  </si>
  <si>
    <t>IN 2012</t>
  </si>
  <si>
    <t>Где E = Total Equity (2012) - Minority Interest (2012)</t>
  </si>
  <si>
    <t>Total Equity (2012) =Common Stock &amp; Paid-In Capital (2012) +Retained Earnings (2012)</t>
  </si>
  <si>
    <t>D = Long Term Debt (2012)</t>
  </si>
  <si>
    <t>Total Equity</t>
  </si>
  <si>
    <t>Minority Interest</t>
  </si>
  <si>
    <t>Long Term Debt</t>
  </si>
  <si>
    <t>Invested Capital</t>
  </si>
  <si>
    <t>Capex</t>
  </si>
  <si>
    <t>∆WC</t>
  </si>
  <si>
    <t>Depreciation</t>
  </si>
  <si>
    <t>Net Reinvestment</t>
  </si>
  <si>
    <t>10.</t>
  </si>
  <si>
    <t xml:space="preserve">Terminal Value </t>
  </si>
  <si>
    <t>TV</t>
  </si>
  <si>
    <t>11.</t>
  </si>
  <si>
    <t>Adjusted Present Value</t>
  </si>
  <si>
    <t>Plus:  Depreciation &amp; Amortization</t>
  </si>
  <si>
    <t>Less:  Capital Expenditures</t>
  </si>
  <si>
    <t>WACC (un-levered)</t>
  </si>
  <si>
    <t>PV of FCF</t>
  </si>
  <si>
    <t>Interest rate</t>
  </si>
  <si>
    <t>Tax Shield</t>
  </si>
  <si>
    <t>Total Intermediate Term Value</t>
  </si>
  <si>
    <t>TV Growth Rate</t>
  </si>
  <si>
    <t>WACC (long-term)</t>
  </si>
  <si>
    <t>Terminal Value</t>
  </si>
  <si>
    <t>PV of Terminal Value</t>
  </si>
  <si>
    <t>Value of Operating Assets</t>
  </si>
  <si>
    <t xml:space="preserve">Intermediate Operating Cash Flows </t>
  </si>
  <si>
    <t xml:space="preserve">Cost of capital </t>
  </si>
  <si>
    <t>Value</t>
  </si>
  <si>
    <t xml:space="preserve">Term Loan </t>
  </si>
</sst>
</file>

<file path=xl/styles.xml><?xml version="1.0" encoding="utf-8"?>
<styleSheet xmlns="http://schemas.openxmlformats.org/spreadsheetml/2006/main">
  <numFmts count="8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"/>
    <numFmt numFmtId="166" formatCode="0.00000"/>
    <numFmt numFmtId="167" formatCode="_-* #,##0_-;\(#,##0\)_-;_-* &quot;-&quot;_-;_-@_-"/>
    <numFmt numFmtId="168" formatCode="0.0%"/>
    <numFmt numFmtId="169" formatCode="#,##0.0\ _₽;\(#,##0.0\)\ _₽"/>
  </numFmts>
  <fonts count="3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4"/>
      <color indexed="9"/>
      <name val="Arial"/>
      <family val="2"/>
    </font>
    <font>
      <sz val="2"/>
      <color indexed="9"/>
      <name val="Arial"/>
      <family val="2"/>
    </font>
    <font>
      <sz val="10"/>
      <name val="Calibri"/>
      <family val="2"/>
      <scheme val="minor"/>
    </font>
    <font>
      <b/>
      <sz val="14"/>
      <color indexed="9"/>
      <name val="Cambria"/>
      <family val="1"/>
      <scheme val="maj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2060"/>
      <name val="Arial Black"/>
      <family val="2"/>
      <charset val="204"/>
    </font>
    <font>
      <b/>
      <sz val="14"/>
      <color rgb="FF002060"/>
      <name val="Arial Black"/>
      <family val="2"/>
    </font>
    <font>
      <sz val="10"/>
      <name val="Arial"/>
      <family val="2"/>
      <charset val="204"/>
    </font>
    <font>
      <b/>
      <sz val="14"/>
      <color indexed="9"/>
      <name val="Arial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0"/>
      <color rgb="FF3F3F3F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indexed="9"/>
      <name val="Arial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sz val="10"/>
      <name val="Arial"/>
      <family val="2"/>
      <charset val="204"/>
    </font>
    <font>
      <b/>
      <sz val="8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1"/>
      <color indexed="9"/>
      <name val="Arial"/>
      <family val="2"/>
      <charset val="204"/>
    </font>
    <font>
      <b/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32E57"/>
        <bgColor indexed="64"/>
      </patternFill>
    </fill>
  </fills>
  <borders count="1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Border="1"/>
    <xf numFmtId="0" fontId="4" fillId="0" borderId="0" xfId="0" applyFont="1" applyBorder="1" applyAlignment="1" applyProtection="1"/>
    <xf numFmtId="0" fontId="4" fillId="0" borderId="0" xfId="0" applyFont="1" applyBorder="1" applyProtection="1"/>
    <xf numFmtId="0" fontId="4" fillId="0" borderId="0" xfId="0" applyFont="1" applyBorder="1" applyAlignment="1" applyProtection="1">
      <protection locked="0"/>
    </xf>
    <xf numFmtId="0" fontId="4" fillId="0" borderId="0" xfId="0" applyFont="1" applyBorder="1" applyProtection="1">
      <protection locked="0"/>
    </xf>
    <xf numFmtId="0" fontId="5" fillId="3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8" fillId="3" borderId="0" xfId="0" applyFont="1" applyFill="1" applyAlignment="1" applyProtection="1">
      <alignment vertical="center"/>
    </xf>
    <xf numFmtId="0" fontId="9" fillId="4" borderId="0" xfId="0" applyFont="1" applyFill="1" applyAlignment="1" applyProtection="1">
      <alignment vertical="center"/>
    </xf>
    <xf numFmtId="0" fontId="10" fillId="4" borderId="0" xfId="0" applyFont="1" applyFill="1" applyAlignment="1" applyProtection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</xf>
    <xf numFmtId="0" fontId="12" fillId="5" borderId="0" xfId="0" applyFont="1" applyFill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13" fillId="0" borderId="0" xfId="0" applyFont="1" applyAlignment="1" applyProtection="1">
      <alignment horizontal="right" vertical="center"/>
    </xf>
    <xf numFmtId="38" fontId="14" fillId="0" borderId="0" xfId="0" applyNumberFormat="1" applyFont="1" applyFill="1" applyAlignment="1" applyProtection="1">
      <alignment horizontal="centerContinuous"/>
      <protection locked="0"/>
    </xf>
    <xf numFmtId="0" fontId="7" fillId="4" borderId="0" xfId="1" applyNumberFormat="1" applyFont="1" applyFill="1" applyAlignment="1" applyProtection="1">
      <alignment horizontal="center" vertical="center"/>
    </xf>
    <xf numFmtId="0" fontId="15" fillId="0" borderId="0" xfId="1" applyNumberFormat="1" applyFont="1" applyAlignment="1" applyProtection="1">
      <alignment horizontal="center" vertical="center"/>
      <protection locked="0"/>
    </xf>
    <xf numFmtId="0" fontId="15" fillId="4" borderId="0" xfId="1" applyNumberFormat="1" applyFont="1" applyFill="1" applyAlignment="1" applyProtection="1">
      <alignment horizontal="center" vertical="center"/>
    </xf>
    <xf numFmtId="0" fontId="15" fillId="0" borderId="0" xfId="0" applyNumberFormat="1" applyFont="1" applyAlignment="1" applyProtection="1">
      <alignment horizontal="center" vertical="center"/>
    </xf>
    <xf numFmtId="0" fontId="16" fillId="3" borderId="0" xfId="0" applyNumberFormat="1" applyFont="1" applyFill="1" applyAlignment="1" applyProtection="1">
      <alignment horizontal="center" vertical="center"/>
    </xf>
    <xf numFmtId="0" fontId="0" fillId="0" borderId="0" xfId="0" applyNumberFormat="1"/>
    <xf numFmtId="10" fontId="15" fillId="4" borderId="0" xfId="0" applyNumberFormat="1" applyFont="1" applyFill="1" applyAlignment="1" applyProtection="1">
      <alignment horizontal="center" vertical="center"/>
    </xf>
    <xf numFmtId="0" fontId="15" fillId="4" borderId="0" xfId="0" applyNumberFormat="1" applyFont="1" applyFill="1" applyAlignment="1" applyProtection="1">
      <alignment horizontal="center" vertical="center"/>
    </xf>
    <xf numFmtId="0" fontId="17" fillId="4" borderId="0" xfId="0" applyFont="1" applyFill="1" applyAlignment="1" applyProtection="1">
      <alignment vertical="center"/>
    </xf>
    <xf numFmtId="0" fontId="5" fillId="3" borderId="0" xfId="0" applyFont="1" applyFill="1" applyBorder="1" applyAlignment="1" applyProtection="1"/>
    <xf numFmtId="0" fontId="3" fillId="0" borderId="0" xfId="0" applyFont="1"/>
    <xf numFmtId="10" fontId="19" fillId="2" borderId="1" xfId="2" applyNumberFormat="1" applyFont="1" applyAlignment="1" applyProtection="1"/>
    <xf numFmtId="0" fontId="20" fillId="0" borderId="0" xfId="0" applyFont="1"/>
    <xf numFmtId="0" fontId="4" fillId="0" borderId="0" xfId="0" applyFont="1" applyFill="1" applyBorder="1" applyAlignment="1" applyProtection="1">
      <protection locked="0"/>
    </xf>
    <xf numFmtId="164" fontId="0" fillId="0" borderId="0" xfId="0" applyNumberFormat="1" applyAlignment="1">
      <alignment horizontal="center"/>
    </xf>
    <xf numFmtId="0" fontId="0" fillId="0" borderId="0" xfId="0"/>
    <xf numFmtId="164" fontId="18" fillId="0" borderId="6" xfId="0" applyNumberFormat="1" applyFont="1" applyBorder="1" applyAlignment="1">
      <alignment horizontal="center"/>
    </xf>
    <xf numFmtId="164" fontId="20" fillId="0" borderId="6" xfId="0" applyNumberFormat="1" applyFont="1" applyBorder="1" applyAlignment="1">
      <alignment horizontal="center"/>
    </xf>
    <xf numFmtId="0" fontId="5" fillId="3" borderId="0" xfId="0" applyFont="1" applyFill="1" applyBorder="1" applyAlignment="1" applyProtection="1">
      <alignment horizontal="center"/>
    </xf>
    <xf numFmtId="10" fontId="18" fillId="0" borderId="6" xfId="0" applyNumberFormat="1" applyFont="1" applyBorder="1" applyAlignment="1">
      <alignment horizontal="center"/>
    </xf>
    <xf numFmtId="0" fontId="13" fillId="0" borderId="0" xfId="0" applyFont="1" applyAlignment="1" applyProtection="1">
      <alignment horizontal="left" vertical="center"/>
    </xf>
    <xf numFmtId="0" fontId="21" fillId="3" borderId="0" xfId="0" applyFont="1" applyFill="1" applyBorder="1" applyAlignment="1" applyProtection="1"/>
    <xf numFmtId="10" fontId="0" fillId="0" borderId="0" xfId="0" applyNumberFormat="1"/>
    <xf numFmtId="0" fontId="0" fillId="0" borderId="0" xfId="0"/>
    <xf numFmtId="0" fontId="0" fillId="0" borderId="0" xfId="0"/>
    <xf numFmtId="165" fontId="4" fillId="0" borderId="7" xfId="1" applyNumberFormat="1" applyFont="1" applyBorder="1" applyAlignment="1" applyProtection="1">
      <alignment horizontal="center"/>
      <protection locked="0"/>
    </xf>
    <xf numFmtId="164" fontId="4" fillId="0" borderId="2" xfId="1" applyNumberFormat="1" applyFont="1" applyBorder="1" applyAlignment="1" applyProtection="1">
      <alignment horizontal="center"/>
      <protection locked="0"/>
    </xf>
    <xf numFmtId="165" fontId="0" fillId="0" borderId="0" xfId="0" applyNumberFormat="1"/>
    <xf numFmtId="166" fontId="0" fillId="0" borderId="0" xfId="0" applyNumberFormat="1"/>
    <xf numFmtId="164" fontId="15" fillId="0" borderId="0" xfId="1" applyNumberFormat="1" applyFont="1" applyAlignment="1" applyProtection="1">
      <alignment horizontal="center" vertical="center"/>
      <protection locked="0"/>
    </xf>
    <xf numFmtId="164" fontId="20" fillId="0" borderId="0" xfId="0" applyNumberFormat="1" applyFont="1" applyAlignment="1">
      <alignment horizontal="center"/>
    </xf>
    <xf numFmtId="167" fontId="22" fillId="6" borderId="0" xfId="3" applyNumberFormat="1" applyFont="1" applyFill="1" applyAlignment="1">
      <alignment horizontal="centerContinuous"/>
    </xf>
    <xf numFmtId="167" fontId="23" fillId="6" borderId="0" xfId="3" applyNumberFormat="1" applyFont="1" applyFill="1" applyAlignment="1">
      <alignment horizontal="centerContinuous"/>
    </xf>
    <xf numFmtId="167" fontId="22" fillId="7" borderId="0" xfId="3" applyNumberFormat="1" applyFont="1" applyFill="1" applyAlignment="1">
      <alignment horizontal="centerContinuous"/>
    </xf>
    <xf numFmtId="167" fontId="23" fillId="7" borderId="0" xfId="3" applyNumberFormat="1" applyFont="1" applyFill="1" applyAlignment="1">
      <alignment horizontal="centerContinuous"/>
    </xf>
    <xf numFmtId="164" fontId="15" fillId="0" borderId="2" xfId="1" applyNumberFormat="1" applyFont="1" applyBorder="1" applyAlignment="1" applyProtection="1">
      <alignment horizontal="center"/>
      <protection locked="0"/>
    </xf>
    <xf numFmtId="164" fontId="15" fillId="5" borderId="4" xfId="1" applyNumberFormat="1" applyFont="1" applyFill="1" applyBorder="1" applyAlignment="1" applyProtection="1">
      <alignment horizontal="center" vertical="center"/>
    </xf>
    <xf numFmtId="10" fontId="2" fillId="2" borderId="1" xfId="2" applyNumberFormat="1"/>
    <xf numFmtId="10" fontId="0" fillId="0" borderId="0" xfId="0" applyNumberFormat="1" applyAlignment="1">
      <alignment horizontal="center"/>
    </xf>
    <xf numFmtId="2" fontId="19" fillId="2" borderId="1" xfId="2" applyNumberFormat="1" applyFont="1" applyAlignment="1" applyProtection="1"/>
    <xf numFmtId="164" fontId="20" fillId="0" borderId="8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/>
    <xf numFmtId="0" fontId="0" fillId="0" borderId="0" xfId="0"/>
    <xf numFmtId="0" fontId="24" fillId="0" borderId="0" xfId="0" applyFont="1" applyBorder="1" applyProtection="1"/>
    <xf numFmtId="169" fontId="4" fillId="0" borderId="2" xfId="1" applyNumberFormat="1" applyFont="1" applyBorder="1" applyAlignment="1" applyProtection="1">
      <alignment horizontal="center"/>
      <protection locked="0"/>
    </xf>
    <xf numFmtId="0" fontId="24" fillId="0" borderId="0" xfId="1" applyNumberFormat="1" applyFont="1" applyBorder="1" applyAlignment="1" applyProtection="1">
      <alignment horizontal="center"/>
      <protection locked="0"/>
    </xf>
    <xf numFmtId="0" fontId="24" fillId="0" borderId="0" xfId="0" applyFont="1" applyBorder="1" applyAlignment="1" applyProtection="1">
      <protection locked="0"/>
    </xf>
    <xf numFmtId="0" fontId="24" fillId="0" borderId="0" xfId="0" applyFont="1" applyFill="1" applyBorder="1" applyAlignment="1" applyProtection="1">
      <protection locked="0"/>
    </xf>
    <xf numFmtId="164" fontId="24" fillId="0" borderId="3" xfId="1" applyNumberFormat="1" applyFont="1" applyBorder="1" applyAlignment="1" applyProtection="1">
      <alignment horizontal="center"/>
      <protection locked="0"/>
    </xf>
    <xf numFmtId="164" fontId="24" fillId="0" borderId="7" xfId="1" applyNumberFormat="1" applyFont="1" applyBorder="1" applyAlignment="1" applyProtection="1">
      <alignment horizontal="center"/>
      <protection locked="0"/>
    </xf>
    <xf numFmtId="164" fontId="24" fillId="0" borderId="2" xfId="1" applyNumberFormat="1" applyFont="1" applyBorder="1" applyAlignment="1" applyProtection="1">
      <alignment horizontal="center"/>
      <protection locked="0"/>
    </xf>
    <xf numFmtId="0" fontId="24" fillId="0" borderId="0" xfId="0" applyFont="1" applyBorder="1" applyProtection="1">
      <protection locked="0"/>
    </xf>
    <xf numFmtId="164" fontId="24" fillId="0" borderId="0" xfId="1" applyNumberFormat="1" applyFont="1" applyBorder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 vertical="center"/>
      <protection locked="0"/>
    </xf>
    <xf numFmtId="164" fontId="15" fillId="4" borderId="5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0" fillId="0" borderId="0" xfId="0" applyFont="1"/>
    <xf numFmtId="164" fontId="4" fillId="0" borderId="7" xfId="1" applyNumberFormat="1" applyFont="1" applyBorder="1" applyAlignment="1" applyProtection="1">
      <alignment horizontal="center"/>
      <protection locked="0"/>
    </xf>
    <xf numFmtId="2" fontId="4" fillId="0" borderId="7" xfId="1" applyNumberFormat="1" applyFont="1" applyBorder="1" applyAlignment="1" applyProtection="1">
      <alignment horizontal="center"/>
      <protection locked="0"/>
    </xf>
    <xf numFmtId="2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13" fillId="0" borderId="0" xfId="0" applyFont="1" applyAlignment="1" applyProtection="1">
      <alignment horizontal="center" vertical="center"/>
    </xf>
    <xf numFmtId="0" fontId="3" fillId="0" borderId="0" xfId="0" applyFont="1" applyAlignment="1">
      <alignment horizontal="center"/>
    </xf>
    <xf numFmtId="10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0" fontId="20" fillId="0" borderId="9" xfId="0" applyNumberFormat="1" applyFont="1" applyBorder="1" applyAlignment="1">
      <alignment horizontal="center"/>
    </xf>
    <xf numFmtId="0" fontId="0" fillId="0" borderId="0" xfId="0" applyFill="1" applyBorder="1"/>
    <xf numFmtId="2" fontId="0" fillId="0" borderId="9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8" fontId="3" fillId="0" borderId="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right"/>
    </xf>
    <xf numFmtId="0" fontId="26" fillId="0" borderId="0" xfId="0" applyFont="1"/>
    <xf numFmtId="165" fontId="3" fillId="0" borderId="9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164" fontId="0" fillId="0" borderId="9" xfId="0" applyNumberFormat="1" applyFont="1" applyBorder="1" applyAlignment="1">
      <alignment horizontal="center"/>
    </xf>
    <xf numFmtId="164" fontId="27" fillId="0" borderId="6" xfId="0" applyNumberFormat="1" applyFont="1" applyBorder="1" applyAlignment="1">
      <alignment horizontal="center"/>
    </xf>
    <xf numFmtId="0" fontId="28" fillId="3" borderId="0" xfId="0" applyFont="1" applyFill="1" applyBorder="1" applyAlignment="1" applyProtection="1"/>
    <xf numFmtId="0" fontId="25" fillId="0" borderId="0" xfId="0" applyFont="1"/>
    <xf numFmtId="0" fontId="3" fillId="0" borderId="0" xfId="0" applyFont="1" applyAlignment="1">
      <alignment horizontal="left"/>
    </xf>
    <xf numFmtId="38" fontId="14" fillId="0" borderId="0" xfId="0" applyNumberFormat="1" applyFont="1" applyFill="1" applyAlignment="1" applyProtection="1">
      <alignment horizontal="left"/>
      <protection locked="0"/>
    </xf>
    <xf numFmtId="164" fontId="15" fillId="0" borderId="10" xfId="1" applyNumberFormat="1" applyFont="1" applyBorder="1" applyAlignment="1" applyProtection="1">
      <alignment horizontal="center"/>
      <protection locked="0"/>
    </xf>
    <xf numFmtId="164" fontId="24" fillId="0" borderId="11" xfId="1" applyNumberFormat="1" applyFont="1" applyBorder="1" applyAlignment="1" applyProtection="1">
      <alignment horizontal="center"/>
      <protection locked="0"/>
    </xf>
    <xf numFmtId="164" fontId="29" fillId="0" borderId="8" xfId="0" applyNumberFormat="1" applyFont="1" applyBorder="1" applyAlignment="1">
      <alignment horizontal="center"/>
    </xf>
    <xf numFmtId="164" fontId="29" fillId="0" borderId="9" xfId="0" applyNumberFormat="1" applyFont="1" applyBorder="1" applyAlignment="1">
      <alignment horizontal="center"/>
    </xf>
    <xf numFmtId="164" fontId="24" fillId="0" borderId="10" xfId="1" applyNumberFormat="1" applyFont="1" applyBorder="1" applyAlignment="1" applyProtection="1">
      <alignment horizontal="center"/>
      <protection locked="0"/>
    </xf>
    <xf numFmtId="164" fontId="0" fillId="0" borderId="12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0" fontId="4" fillId="0" borderId="7" xfId="1" applyNumberFormat="1" applyFont="1" applyBorder="1" applyAlignment="1" applyProtection="1">
      <alignment horizontal="center"/>
      <protection locked="0"/>
    </xf>
    <xf numFmtId="164" fontId="24" fillId="0" borderId="15" xfId="1" applyNumberFormat="1" applyFont="1" applyBorder="1" applyAlignment="1" applyProtection="1">
      <alignment horizontal="center"/>
      <protection locked="0"/>
    </xf>
    <xf numFmtId="164" fontId="24" fillId="0" borderId="16" xfId="1" applyNumberFormat="1" applyFont="1" applyBorder="1" applyAlignment="1" applyProtection="1">
      <alignment horizontal="center"/>
      <protection locked="0"/>
    </xf>
    <xf numFmtId="164" fontId="3" fillId="0" borderId="8" xfId="0" applyNumberFormat="1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15" fillId="5" borderId="0" xfId="1" applyNumberFormat="1" applyFont="1" applyFill="1" applyBorder="1" applyAlignment="1" applyProtection="1">
      <alignment horizontal="center" vertical="center"/>
    </xf>
    <xf numFmtId="0" fontId="12" fillId="5" borderId="0" xfId="0" applyFont="1" applyFill="1" applyAlignment="1" applyProtection="1">
      <alignment horizontal="center" vertical="center"/>
    </xf>
    <xf numFmtId="164" fontId="12" fillId="5" borderId="0" xfId="0" applyNumberFormat="1" applyFont="1" applyFill="1" applyAlignment="1" applyProtection="1">
      <alignment horizontal="center" vertical="center"/>
    </xf>
    <xf numFmtId="164" fontId="0" fillId="0" borderId="17" xfId="0" applyNumberFormat="1" applyBorder="1" applyAlignment="1">
      <alignment horizontal="center"/>
    </xf>
    <xf numFmtId="0" fontId="5" fillId="3" borderId="0" xfId="0" applyFont="1" applyFill="1" applyBorder="1" applyAlignment="1" applyProtection="1">
      <alignment horizontal="left"/>
    </xf>
    <xf numFmtId="0" fontId="0" fillId="0" borderId="0" xfId="0"/>
  </cellXfs>
  <cellStyles count="4">
    <cellStyle name="Вывод" xfId="2" builtinId="21"/>
    <cellStyle name="Денежный" xfId="1" builtinId="4"/>
    <cellStyle name="Обычный" xfId="0" builtinId="0"/>
    <cellStyle name="Финансовый" xfId="3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3257550</xdr:colOff>
      <xdr:row>85</xdr:row>
      <xdr:rowOff>9525</xdr:rowOff>
    </xdr:from>
    <xdr:to>
      <xdr:col>2</xdr:col>
      <xdr:colOff>1181100</xdr:colOff>
      <xdr:row>87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57550" y="19935825"/>
          <a:ext cx="3219450" cy="495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2609850</xdr:colOff>
      <xdr:row>100</xdr:row>
      <xdr:rowOff>85725</xdr:rowOff>
    </xdr:from>
    <xdr:to>
      <xdr:col>3</xdr:col>
      <xdr:colOff>742950</xdr:colOff>
      <xdr:row>103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609850" y="23002875"/>
          <a:ext cx="4848225" cy="4857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914400</xdr:colOff>
      <xdr:row>207</xdr:row>
      <xdr:rowOff>171450</xdr:rowOff>
    </xdr:from>
    <xdr:to>
      <xdr:col>2</xdr:col>
      <xdr:colOff>171450</xdr:colOff>
      <xdr:row>208</xdr:row>
      <xdr:rowOff>161925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514850" y="42376725"/>
          <a:ext cx="952500" cy="1809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3219450</xdr:colOff>
      <xdr:row>210</xdr:row>
      <xdr:rowOff>85725</xdr:rowOff>
    </xdr:from>
    <xdr:to>
      <xdr:col>3</xdr:col>
      <xdr:colOff>247650</xdr:colOff>
      <xdr:row>212</xdr:row>
      <xdr:rowOff>38100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19450" y="42862500"/>
          <a:ext cx="3743325" cy="3333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533400</xdr:colOff>
      <xdr:row>214</xdr:row>
      <xdr:rowOff>66675</xdr:rowOff>
    </xdr:from>
    <xdr:to>
      <xdr:col>2</xdr:col>
      <xdr:colOff>981075</xdr:colOff>
      <xdr:row>216</xdr:row>
      <xdr:rowOff>47625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133850" y="43605450"/>
          <a:ext cx="2143125" cy="3619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3343275</xdr:colOff>
      <xdr:row>238</xdr:row>
      <xdr:rowOff>66675</xdr:rowOff>
    </xdr:from>
    <xdr:to>
      <xdr:col>2</xdr:col>
      <xdr:colOff>438150</xdr:colOff>
      <xdr:row>240</xdr:row>
      <xdr:rowOff>66675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343275" y="48310800"/>
          <a:ext cx="2390775" cy="381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10"/>
  <sheetViews>
    <sheetView topLeftCell="C76" zoomScaleNormal="100" workbookViewId="0">
      <selection activeCell="I26" sqref="I26"/>
    </sheetView>
  </sheetViews>
  <sheetFormatPr defaultRowHeight="15"/>
  <cols>
    <col min="1" max="1" width="2.85546875" customWidth="1"/>
    <col min="2" max="2" width="6" customWidth="1"/>
    <col min="3" max="3" width="37.140625" customWidth="1"/>
    <col min="4" max="4" width="32" bestFit="1" customWidth="1"/>
    <col min="5" max="5" width="14" bestFit="1" customWidth="1"/>
    <col min="6" max="7" width="14.7109375" customWidth="1"/>
    <col min="8" max="8" width="14.42578125" customWidth="1"/>
    <col min="9" max="9" width="15.42578125" customWidth="1"/>
    <col min="10" max="10" width="33.7109375" customWidth="1"/>
    <col min="11" max="11" width="12.28515625" customWidth="1"/>
  </cols>
  <sheetData>
    <row r="2" spans="1:12" ht="22.5">
      <c r="D2" s="17" t="s">
        <v>2</v>
      </c>
    </row>
    <row r="3" spans="1:12" ht="15.75">
      <c r="A3" s="1"/>
      <c r="B3" s="1"/>
      <c r="C3" s="2"/>
      <c r="D3" s="2"/>
      <c r="E3" s="49" t="s">
        <v>82</v>
      </c>
      <c r="F3" s="50"/>
      <c r="G3" s="50"/>
    </row>
    <row r="4" spans="1:12" ht="18">
      <c r="A4" s="1"/>
      <c r="B4" s="1"/>
      <c r="C4" s="125" t="s">
        <v>0</v>
      </c>
      <c r="D4" s="125"/>
      <c r="E4" s="6">
        <v>2005</v>
      </c>
      <c r="F4" s="6">
        <v>2006</v>
      </c>
      <c r="G4" s="6">
        <v>2007</v>
      </c>
      <c r="J4" s="27" t="s">
        <v>55</v>
      </c>
      <c r="K4" s="29">
        <v>0.2</v>
      </c>
    </row>
    <row r="5" spans="1:12">
      <c r="A5" s="1"/>
      <c r="B5" s="1"/>
      <c r="C5" s="3"/>
      <c r="D5" s="4" t="s">
        <v>3</v>
      </c>
      <c r="E5" s="44">
        <v>2827</v>
      </c>
      <c r="F5" s="44">
        <v>3214.4</v>
      </c>
      <c r="G5" s="44">
        <v>3679.2</v>
      </c>
      <c r="K5" s="30"/>
    </row>
    <row r="6" spans="1:12" ht="18">
      <c r="A6" s="1"/>
      <c r="B6" s="1"/>
      <c r="C6" s="3"/>
      <c r="D6" s="4" t="s">
        <v>4</v>
      </c>
      <c r="E6" s="44">
        <v>203.7</v>
      </c>
      <c r="F6" s="44">
        <v>258.7</v>
      </c>
      <c r="G6" s="44">
        <v>267</v>
      </c>
      <c r="J6" s="27" t="s">
        <v>80</v>
      </c>
      <c r="K6" s="29">
        <v>5.5E-2</v>
      </c>
    </row>
    <row r="7" spans="1:12">
      <c r="A7" s="1"/>
      <c r="B7" s="1"/>
      <c r="C7" s="3"/>
      <c r="D7" s="64" t="s">
        <v>107</v>
      </c>
      <c r="E7" s="69">
        <v>3030.8</v>
      </c>
      <c r="F7" s="69">
        <v>3473.2</v>
      </c>
      <c r="G7" s="69">
        <v>3946.3</v>
      </c>
    </row>
    <row r="8" spans="1:12" s="62" customFormat="1" ht="18">
      <c r="A8" s="1"/>
      <c r="B8" s="1"/>
      <c r="C8" s="3"/>
      <c r="D8" s="64"/>
      <c r="E8" s="66"/>
      <c r="F8" s="66"/>
      <c r="G8" s="66"/>
      <c r="J8" s="27" t="s">
        <v>97</v>
      </c>
      <c r="K8" s="29">
        <v>4.2500000000000003E-2</v>
      </c>
    </row>
    <row r="9" spans="1:12">
      <c r="A9" s="1"/>
      <c r="B9" s="1"/>
      <c r="C9" s="3"/>
      <c r="D9" s="4" t="s">
        <v>5</v>
      </c>
      <c r="E9" s="44">
        <v>604.1</v>
      </c>
      <c r="F9" s="44">
        <v>639.70000000000005</v>
      </c>
      <c r="G9" s="44">
        <v>717.1</v>
      </c>
    </row>
    <row r="10" spans="1:12" ht="18">
      <c r="A10" s="1"/>
      <c r="B10" s="1"/>
      <c r="C10" s="3"/>
      <c r="D10" s="5" t="s">
        <v>6</v>
      </c>
      <c r="E10" s="44">
        <v>511.9</v>
      </c>
      <c r="F10" s="44">
        <v>568.9</v>
      </c>
      <c r="G10" s="44">
        <v>640.20000000000005</v>
      </c>
      <c r="J10" s="27" t="s">
        <v>98</v>
      </c>
      <c r="K10" s="29">
        <v>0.05</v>
      </c>
    </row>
    <row r="11" spans="1:12">
      <c r="A11" s="1"/>
      <c r="B11" s="1"/>
      <c r="C11" s="3"/>
      <c r="D11" s="4" t="s">
        <v>7</v>
      </c>
      <c r="E11" s="44">
        <v>1217.7</v>
      </c>
      <c r="F11" s="44">
        <v>1399.6</v>
      </c>
      <c r="G11" s="44">
        <v>1555.6</v>
      </c>
      <c r="K11" s="30"/>
    </row>
    <row r="12" spans="1:12" s="62" customFormat="1" ht="18">
      <c r="A12" s="1"/>
      <c r="B12" s="1"/>
      <c r="C12" s="3"/>
      <c r="D12" s="67" t="s">
        <v>69</v>
      </c>
      <c r="E12" s="70">
        <f>E7-E9-E10-E11</f>
        <v>697.10000000000014</v>
      </c>
      <c r="F12" s="70">
        <f>F7-F9-F10-F11</f>
        <v>865</v>
      </c>
      <c r="G12" s="70">
        <f>G7-G9-G10-G11</f>
        <v>1033.4000000000001</v>
      </c>
      <c r="J12" s="27" t="s">
        <v>99</v>
      </c>
      <c r="K12" s="57">
        <f>Сalculations!G75</f>
        <v>0.76828256726338418</v>
      </c>
    </row>
    <row r="13" spans="1:12" s="62" customFormat="1">
      <c r="A13" s="1"/>
      <c r="B13" s="1"/>
      <c r="C13" s="3"/>
      <c r="J13" s="33"/>
      <c r="K13" s="33"/>
    </row>
    <row r="14" spans="1:12" ht="18">
      <c r="A14" s="1"/>
      <c r="B14" s="1"/>
      <c r="C14" s="3"/>
      <c r="D14" s="4" t="s">
        <v>8</v>
      </c>
      <c r="E14" s="44">
        <v>490.1</v>
      </c>
      <c r="F14" s="44">
        <v>555.5</v>
      </c>
      <c r="G14" s="44">
        <v>582.29999999999995</v>
      </c>
      <c r="I14" s="33"/>
      <c r="J14" s="27" t="s">
        <v>100</v>
      </c>
      <c r="K14" s="29">
        <v>0.28100000000000003</v>
      </c>
      <c r="L14" s="42"/>
    </row>
    <row r="15" spans="1:12">
      <c r="A15" s="1"/>
      <c r="B15" s="1"/>
      <c r="C15" s="3"/>
      <c r="D15" s="68" t="s">
        <v>70</v>
      </c>
      <c r="E15" s="71">
        <f>E12-E14</f>
        <v>207.00000000000011</v>
      </c>
      <c r="F15" s="71">
        <f t="shared" ref="F15:G15" si="0">F12-F14</f>
        <v>309.5</v>
      </c>
      <c r="G15" s="71">
        <f t="shared" si="0"/>
        <v>451.10000000000014</v>
      </c>
      <c r="I15" s="33"/>
      <c r="L15" s="33"/>
    </row>
    <row r="16" spans="1:12" s="63" customFormat="1" ht="18">
      <c r="A16" s="1"/>
      <c r="B16" s="1"/>
      <c r="C16" s="76"/>
      <c r="D16" s="68"/>
      <c r="J16" s="27" t="s">
        <v>106</v>
      </c>
      <c r="K16" s="29">
        <f>Сalculations!E80</f>
        <v>8.0914128363169219E-2</v>
      </c>
    </row>
    <row r="17" spans="1:12">
      <c r="A17" s="1"/>
      <c r="B17" s="1"/>
      <c r="C17" s="3"/>
      <c r="D17" s="4" t="s">
        <v>109</v>
      </c>
      <c r="E17" s="44">
        <v>84.9</v>
      </c>
      <c r="F17" s="44">
        <v>93.7</v>
      </c>
      <c r="G17" s="44">
        <v>84.7</v>
      </c>
      <c r="I17" s="33"/>
      <c r="J17" s="63"/>
      <c r="K17" s="63"/>
    </row>
    <row r="18" spans="1:12" ht="18">
      <c r="A18" s="1"/>
      <c r="B18" s="1"/>
      <c r="C18" s="3"/>
      <c r="D18" s="4" t="s">
        <v>108</v>
      </c>
      <c r="E18" s="44">
        <v>66.7</v>
      </c>
      <c r="F18" s="44">
        <v>93.1</v>
      </c>
      <c r="G18" s="44">
        <v>90</v>
      </c>
      <c r="I18" s="33"/>
      <c r="J18" s="27" t="s">
        <v>85</v>
      </c>
      <c r="K18" s="55">
        <f>Сalculations!G81</f>
        <v>6.2780106212752318E-2</v>
      </c>
      <c r="L18" s="42"/>
    </row>
    <row r="19" spans="1:12">
      <c r="A19" s="1"/>
      <c r="B19" s="1"/>
      <c r="C19" s="3"/>
      <c r="D19" s="5" t="s">
        <v>10</v>
      </c>
      <c r="E19" s="44">
        <v>18.100000000000001</v>
      </c>
      <c r="F19" s="44">
        <v>50.8</v>
      </c>
      <c r="G19" s="44">
        <v>83.1</v>
      </c>
      <c r="I19" s="33"/>
      <c r="L19" s="42"/>
    </row>
    <row r="20" spans="1:12">
      <c r="A20" s="1"/>
      <c r="B20" s="1"/>
      <c r="C20" s="3"/>
      <c r="D20" s="5" t="s">
        <v>11</v>
      </c>
      <c r="E20" s="44">
        <v>54.5</v>
      </c>
      <c r="F20" s="65">
        <v>-46.6</v>
      </c>
      <c r="G20" s="44">
        <v>7</v>
      </c>
      <c r="I20" s="33"/>
      <c r="L20" s="42"/>
    </row>
    <row r="21" spans="1:12">
      <c r="A21" s="1"/>
      <c r="B21" s="1"/>
      <c r="D21" s="72" t="s">
        <v>75</v>
      </c>
      <c r="E21" s="71">
        <f>E15-E17+E18+E19+E20</f>
        <v>261.40000000000009</v>
      </c>
      <c r="F21" s="71">
        <f>F15-F17+F18+F19+F20</f>
        <v>313.09999999999997</v>
      </c>
      <c r="G21" s="71">
        <f>G15-G17+G18+G19+G20</f>
        <v>546.50000000000011</v>
      </c>
      <c r="J21" s="42"/>
      <c r="K21" s="42"/>
      <c r="L21" s="42"/>
    </row>
    <row r="22" spans="1:12" s="62" customFormat="1">
      <c r="A22" s="1"/>
      <c r="B22" s="1"/>
      <c r="D22" s="72"/>
      <c r="E22" s="73"/>
      <c r="F22" s="73"/>
      <c r="G22" s="73"/>
    </row>
    <row r="23" spans="1:12" s="62" customFormat="1">
      <c r="A23" s="1"/>
      <c r="B23" s="1"/>
      <c r="D23" s="4" t="s">
        <v>110</v>
      </c>
      <c r="E23" s="44">
        <f>$K$4*E21</f>
        <v>52.280000000000022</v>
      </c>
      <c r="F23" s="44">
        <f t="shared" ref="F23:G23" si="1">$K$4*F21</f>
        <v>62.62</v>
      </c>
      <c r="G23" s="44">
        <f t="shared" si="1"/>
        <v>109.30000000000003</v>
      </c>
    </row>
    <row r="24" spans="1:12" s="62" customFormat="1">
      <c r="A24" s="1"/>
      <c r="B24" s="1"/>
      <c r="D24" s="67" t="s">
        <v>76</v>
      </c>
      <c r="E24" s="71">
        <f>E21-E23</f>
        <v>209.12000000000006</v>
      </c>
      <c r="F24" s="71">
        <f t="shared" ref="F24:G24" si="2">F21-F23</f>
        <v>250.47999999999996</v>
      </c>
      <c r="G24" s="71">
        <f t="shared" si="2"/>
        <v>437.2000000000001</v>
      </c>
    </row>
    <row r="25" spans="1:12" s="62" customFormat="1" ht="18">
      <c r="A25" s="1"/>
      <c r="B25" s="1"/>
      <c r="C25" s="125"/>
      <c r="D25" s="125"/>
      <c r="E25" s="6"/>
      <c r="F25" s="6"/>
      <c r="G25" s="6"/>
    </row>
    <row r="26" spans="1:12" s="62" customFormat="1">
      <c r="A26" s="1"/>
      <c r="B26" s="1"/>
      <c r="D26" s="67"/>
      <c r="E26" s="73"/>
      <c r="F26" s="73"/>
      <c r="G26" s="73"/>
    </row>
    <row r="27" spans="1:12" s="62" customFormat="1">
      <c r="A27" s="1"/>
      <c r="B27" s="1"/>
      <c r="D27" s="67"/>
      <c r="E27" s="73"/>
      <c r="F27" s="73"/>
      <c r="G27" s="73"/>
    </row>
    <row r="28" spans="1:12">
      <c r="A28" s="1"/>
      <c r="B28" s="1"/>
      <c r="L28" s="42"/>
    </row>
    <row r="29" spans="1:12" ht="22.5">
      <c r="A29" s="1"/>
      <c r="D29" s="16" t="s">
        <v>32</v>
      </c>
    </row>
    <row r="30" spans="1:12">
      <c r="A30" s="1"/>
    </row>
    <row r="31" spans="1:12" ht="15.75">
      <c r="A31" s="1"/>
      <c r="B31" s="7"/>
      <c r="C31" s="8"/>
      <c r="D31" s="8"/>
      <c r="E31" s="49" t="s">
        <v>82</v>
      </c>
      <c r="F31" s="50"/>
      <c r="G31" s="50"/>
    </row>
    <row r="32" spans="1:12" ht="18">
      <c r="A32" s="1"/>
      <c r="B32" s="7"/>
      <c r="C32" s="9" t="s">
        <v>12</v>
      </c>
      <c r="D32" s="9"/>
      <c r="E32" s="6">
        <v>2005</v>
      </c>
      <c r="F32" s="6">
        <v>2006</v>
      </c>
      <c r="G32" s="6">
        <v>2007</v>
      </c>
    </row>
    <row r="33" spans="1:9">
      <c r="B33" s="7"/>
      <c r="C33" s="10" t="s">
        <v>13</v>
      </c>
      <c r="D33" s="11"/>
      <c r="E33" s="18"/>
      <c r="F33" s="18"/>
      <c r="G33" s="18"/>
    </row>
    <row r="34" spans="1:9">
      <c r="B34" s="7"/>
      <c r="C34" s="8"/>
      <c r="D34" s="12" t="s">
        <v>14</v>
      </c>
      <c r="E34" s="47">
        <v>29</v>
      </c>
      <c r="F34" s="47">
        <v>32.9</v>
      </c>
      <c r="G34" s="47">
        <v>204.5</v>
      </c>
      <c r="I34" s="19"/>
    </row>
    <row r="35" spans="1:9">
      <c r="A35" s="7"/>
      <c r="B35" s="7"/>
      <c r="C35" s="8"/>
      <c r="D35" s="12" t="s">
        <v>33</v>
      </c>
      <c r="E35" s="47">
        <v>0</v>
      </c>
      <c r="F35" s="47">
        <v>249</v>
      </c>
      <c r="G35" s="47">
        <v>16.399999999999999</v>
      </c>
    </row>
    <row r="36" spans="1:9">
      <c r="A36" s="7"/>
      <c r="B36" s="7"/>
      <c r="C36" s="8"/>
      <c r="D36" s="12" t="s">
        <v>15</v>
      </c>
      <c r="E36" s="47">
        <v>362.4</v>
      </c>
      <c r="F36" s="47">
        <v>407.4</v>
      </c>
      <c r="G36" s="47">
        <v>435.5</v>
      </c>
    </row>
    <row r="37" spans="1:9">
      <c r="A37" s="7"/>
      <c r="B37" s="7"/>
      <c r="C37" s="8"/>
      <c r="D37" s="12" t="s">
        <v>16</v>
      </c>
      <c r="E37" s="47">
        <v>92.7</v>
      </c>
      <c r="F37" s="47">
        <v>117.2</v>
      </c>
      <c r="G37" s="47">
        <v>101</v>
      </c>
    </row>
    <row r="38" spans="1:9">
      <c r="A38" s="7"/>
      <c r="B38" s="7"/>
      <c r="C38" s="8"/>
      <c r="D38" s="12" t="s">
        <v>17</v>
      </c>
      <c r="E38" s="47">
        <v>32.1</v>
      </c>
      <c r="F38" s="47">
        <v>35</v>
      </c>
      <c r="G38" s="47">
        <v>41.6</v>
      </c>
    </row>
    <row r="39" spans="1:9">
      <c r="A39" s="7"/>
      <c r="B39" s="7"/>
      <c r="C39" s="8"/>
      <c r="D39" s="12" t="s">
        <v>34</v>
      </c>
      <c r="E39" s="47">
        <v>8.1999999999999993</v>
      </c>
      <c r="F39" s="47">
        <v>0</v>
      </c>
      <c r="G39" s="47">
        <v>18.600000000000001</v>
      </c>
    </row>
    <row r="40" spans="1:9">
      <c r="A40" s="7"/>
      <c r="B40" s="7"/>
      <c r="C40" s="8"/>
      <c r="D40" s="12" t="s">
        <v>35</v>
      </c>
      <c r="E40" s="47">
        <v>15.5</v>
      </c>
      <c r="F40" s="47">
        <v>13.4</v>
      </c>
      <c r="G40" s="47">
        <v>16.2</v>
      </c>
    </row>
    <row r="41" spans="1:9">
      <c r="A41" s="7"/>
      <c r="B41" s="7"/>
      <c r="C41" s="8"/>
      <c r="D41" s="13" t="s">
        <v>18</v>
      </c>
      <c r="E41" s="54">
        <f>SUM(E34:E40)</f>
        <v>539.9</v>
      </c>
      <c r="F41" s="54">
        <f t="shared" ref="F41:G41" si="3">SUM(F34:F40)</f>
        <v>854.9</v>
      </c>
      <c r="G41" s="54">
        <f t="shared" si="3"/>
        <v>833.80000000000007</v>
      </c>
    </row>
    <row r="42" spans="1:9">
      <c r="A42" s="7"/>
      <c r="B42" s="7"/>
      <c r="C42" s="10" t="s">
        <v>19</v>
      </c>
      <c r="D42" s="11"/>
      <c r="E42" s="20"/>
      <c r="F42" s="20"/>
      <c r="G42" s="20"/>
    </row>
    <row r="43" spans="1:9">
      <c r="A43" s="7"/>
      <c r="B43" s="7"/>
      <c r="C43" s="8"/>
      <c r="D43" s="12" t="s">
        <v>20</v>
      </c>
      <c r="E43" s="47">
        <v>2553</v>
      </c>
      <c r="F43" s="47">
        <v>2628.8</v>
      </c>
      <c r="G43" s="47">
        <v>2595.1</v>
      </c>
    </row>
    <row r="44" spans="1:9">
      <c r="A44" s="7"/>
      <c r="B44" s="7"/>
      <c r="C44" s="8"/>
      <c r="D44" s="12" t="s">
        <v>36</v>
      </c>
      <c r="E44" s="47">
        <v>1362.3</v>
      </c>
      <c r="F44" s="47">
        <v>1494.3</v>
      </c>
      <c r="G44" s="47">
        <v>1482.4</v>
      </c>
    </row>
    <row r="45" spans="1:9" s="62" customFormat="1">
      <c r="A45" s="7"/>
      <c r="B45" s="7"/>
      <c r="C45" s="8"/>
      <c r="D45" s="12" t="s">
        <v>111</v>
      </c>
      <c r="E45" s="47">
        <v>47.6</v>
      </c>
      <c r="F45" s="47">
        <v>26.2</v>
      </c>
      <c r="G45" s="47">
        <v>15.4</v>
      </c>
    </row>
    <row r="46" spans="1:9">
      <c r="A46" s="7"/>
      <c r="B46" s="7"/>
      <c r="C46" s="8"/>
      <c r="D46" s="12" t="s">
        <v>38</v>
      </c>
      <c r="E46" s="47">
        <v>225.4</v>
      </c>
      <c r="F46" s="47">
        <v>4.9000000000000004</v>
      </c>
      <c r="G46" s="47">
        <v>0</v>
      </c>
    </row>
    <row r="47" spans="1:9">
      <c r="A47" s="7"/>
      <c r="B47" s="7"/>
      <c r="C47" s="8"/>
      <c r="D47" s="12" t="s">
        <v>39</v>
      </c>
      <c r="E47" s="47">
        <v>172.1</v>
      </c>
      <c r="F47" s="47">
        <v>150.30000000000001</v>
      </c>
      <c r="G47" s="47">
        <v>157.69999999999999</v>
      </c>
    </row>
    <row r="48" spans="1:9">
      <c r="A48" s="7"/>
      <c r="B48" s="7"/>
      <c r="C48" s="8"/>
      <c r="D48" s="12" t="s">
        <v>40</v>
      </c>
      <c r="E48" s="47">
        <v>4.7</v>
      </c>
      <c r="F48" s="47">
        <v>4.5</v>
      </c>
      <c r="G48" s="47">
        <v>4.4000000000000004</v>
      </c>
    </row>
    <row r="49" spans="1:7">
      <c r="A49" s="7"/>
      <c r="B49" s="7"/>
      <c r="C49" s="8"/>
      <c r="D49" s="12" t="s">
        <v>37</v>
      </c>
      <c r="E49" s="47">
        <v>481.2</v>
      </c>
      <c r="F49" s="47">
        <v>485.5</v>
      </c>
      <c r="G49" s="47">
        <v>491.3</v>
      </c>
    </row>
    <row r="50" spans="1:7">
      <c r="A50" s="7"/>
      <c r="B50" s="7"/>
      <c r="C50" s="8"/>
      <c r="D50" s="12" t="s">
        <v>41</v>
      </c>
      <c r="E50" s="47">
        <v>30</v>
      </c>
      <c r="F50" s="47">
        <v>31.4</v>
      </c>
      <c r="G50" s="47">
        <v>31.8</v>
      </c>
    </row>
    <row r="51" spans="1:7">
      <c r="A51" s="7"/>
      <c r="B51" s="7"/>
      <c r="C51" s="8"/>
      <c r="D51" s="13" t="s">
        <v>21</v>
      </c>
      <c r="E51" s="54">
        <f>SUM(E43:E50)</f>
        <v>4876.3</v>
      </c>
      <c r="F51" s="54">
        <f t="shared" ref="F51:G51" si="4">SUM(F43:F50)</f>
        <v>4825.8999999999996</v>
      </c>
      <c r="G51" s="54">
        <f t="shared" si="4"/>
        <v>4778.1000000000004</v>
      </c>
    </row>
    <row r="52" spans="1:7">
      <c r="A52" s="7"/>
      <c r="B52" s="7"/>
      <c r="C52" s="8"/>
      <c r="D52" s="8"/>
    </row>
    <row r="53" spans="1:7" ht="15.75">
      <c r="A53" s="7"/>
      <c r="B53" s="7"/>
      <c r="C53" s="14" t="s">
        <v>23</v>
      </c>
      <c r="D53" s="14"/>
      <c r="E53" s="74">
        <f>E41+E51</f>
        <v>5416.2</v>
      </c>
      <c r="F53" s="74">
        <f t="shared" ref="F53:G53" si="5">F41+F51</f>
        <v>5680.7999999999993</v>
      </c>
      <c r="G53" s="74">
        <f t="shared" si="5"/>
        <v>5611.9000000000005</v>
      </c>
    </row>
    <row r="54" spans="1:7">
      <c r="A54" s="7"/>
      <c r="B54" s="7"/>
      <c r="C54" s="8"/>
      <c r="D54" s="8"/>
      <c r="E54" s="21"/>
      <c r="F54" s="21"/>
      <c r="G54" s="21"/>
    </row>
    <row r="55" spans="1:7" ht="18">
      <c r="A55" s="7"/>
      <c r="B55" s="15" t="s">
        <v>1</v>
      </c>
      <c r="C55" s="9" t="s">
        <v>24</v>
      </c>
      <c r="D55" s="9"/>
      <c r="E55" s="22"/>
      <c r="F55" s="22"/>
      <c r="G55" s="22"/>
    </row>
    <row r="56" spans="1:7">
      <c r="A56" s="7"/>
      <c r="B56" s="7"/>
      <c r="C56" s="10" t="s">
        <v>25</v>
      </c>
      <c r="D56" s="11"/>
      <c r="E56" s="20"/>
      <c r="F56" s="20"/>
      <c r="G56" s="20"/>
    </row>
    <row r="57" spans="1:7">
      <c r="A57" s="7"/>
      <c r="B57" s="7"/>
      <c r="C57" s="8"/>
      <c r="D57" s="12" t="s">
        <v>26</v>
      </c>
      <c r="E57" s="47">
        <v>254.1</v>
      </c>
      <c r="F57" s="47">
        <v>254.9</v>
      </c>
      <c r="G57" s="47">
        <v>260.8</v>
      </c>
    </row>
    <row r="58" spans="1:7">
      <c r="A58" s="7"/>
      <c r="B58" s="7"/>
      <c r="C58" s="8"/>
      <c r="D58" s="12" t="s">
        <v>42</v>
      </c>
      <c r="E58" s="47">
        <v>111.4</v>
      </c>
      <c r="F58" s="47">
        <v>123.3</v>
      </c>
      <c r="G58" s="47">
        <v>143.4</v>
      </c>
    </row>
    <row r="59" spans="1:7" s="62" customFormat="1">
      <c r="A59" s="7"/>
      <c r="B59" s="7"/>
      <c r="C59" s="8"/>
      <c r="D59" s="12" t="s">
        <v>45</v>
      </c>
      <c r="E59" s="47">
        <v>42.9</v>
      </c>
      <c r="F59" s="47">
        <v>47.8</v>
      </c>
      <c r="G59" s="47">
        <v>59.2</v>
      </c>
    </row>
    <row r="60" spans="1:7" s="62" customFormat="1">
      <c r="A60" s="7"/>
      <c r="B60" s="7"/>
      <c r="C60" s="8"/>
      <c r="D60" s="12" t="s">
        <v>112</v>
      </c>
      <c r="E60" s="47">
        <v>36.700000000000003</v>
      </c>
      <c r="F60" s="47">
        <v>26.9</v>
      </c>
      <c r="G60" s="47">
        <v>43.1</v>
      </c>
    </row>
    <row r="61" spans="1:7" s="62" customFormat="1">
      <c r="A61" s="7"/>
      <c r="B61" s="7"/>
      <c r="C61" s="8"/>
      <c r="D61" s="12" t="s">
        <v>113</v>
      </c>
      <c r="E61" s="47">
        <v>0</v>
      </c>
      <c r="F61" s="47">
        <v>26.3</v>
      </c>
      <c r="G61" s="47">
        <v>0</v>
      </c>
    </row>
    <row r="62" spans="1:7">
      <c r="A62" s="15" t="s">
        <v>1</v>
      </c>
      <c r="B62" s="7"/>
      <c r="C62" s="8"/>
      <c r="D62" s="12" t="s">
        <v>43</v>
      </c>
      <c r="E62" s="47">
        <v>135</v>
      </c>
      <c r="F62" s="47">
        <v>35</v>
      </c>
      <c r="G62" s="47">
        <v>0</v>
      </c>
    </row>
    <row r="63" spans="1:7" s="62" customFormat="1">
      <c r="A63" s="15"/>
      <c r="B63" s="7"/>
      <c r="C63" s="8"/>
      <c r="D63" s="12" t="s">
        <v>114</v>
      </c>
      <c r="E63" s="47">
        <v>0</v>
      </c>
      <c r="F63" s="47">
        <v>159.9</v>
      </c>
      <c r="G63" s="47">
        <v>0</v>
      </c>
    </row>
    <row r="64" spans="1:7" s="62" customFormat="1">
      <c r="A64" s="15"/>
      <c r="B64" s="7"/>
      <c r="C64" s="8"/>
      <c r="D64" s="12" t="s">
        <v>115</v>
      </c>
      <c r="E64" s="47">
        <v>0</v>
      </c>
      <c r="F64" s="47">
        <v>88.8</v>
      </c>
      <c r="G64" s="47">
        <v>0</v>
      </c>
    </row>
    <row r="65" spans="1:7">
      <c r="A65" s="7"/>
      <c r="B65" s="7"/>
      <c r="C65" s="8"/>
      <c r="D65" s="12" t="s">
        <v>44</v>
      </c>
      <c r="E65" s="47">
        <v>82.6</v>
      </c>
      <c r="F65" s="47">
        <v>93.7</v>
      </c>
      <c r="G65" s="47">
        <v>97.7</v>
      </c>
    </row>
    <row r="66" spans="1:7">
      <c r="A66" s="7"/>
      <c r="B66" s="7"/>
      <c r="C66" s="8"/>
      <c r="D66" s="13" t="s">
        <v>27</v>
      </c>
      <c r="E66" s="54">
        <f>SUM(E57:E65)</f>
        <v>662.69999999999993</v>
      </c>
      <c r="F66" s="54">
        <f t="shared" ref="F66:G66" si="6">SUM(F57:F65)</f>
        <v>856.6</v>
      </c>
      <c r="G66" s="54">
        <f t="shared" si="6"/>
        <v>604.20000000000005</v>
      </c>
    </row>
    <row r="67" spans="1:7">
      <c r="A67" s="7"/>
      <c r="B67" s="7"/>
      <c r="C67" s="10" t="s">
        <v>28</v>
      </c>
      <c r="D67" s="11"/>
      <c r="E67" s="20"/>
      <c r="F67" s="20"/>
      <c r="G67" s="20"/>
    </row>
    <row r="68" spans="1:7">
      <c r="A68" s="7"/>
      <c r="B68" s="7"/>
      <c r="C68" s="8"/>
      <c r="D68" s="12" t="s">
        <v>29</v>
      </c>
      <c r="E68" s="47">
        <v>1001.4</v>
      </c>
      <c r="F68" s="47">
        <v>1001.8</v>
      </c>
      <c r="G68" s="47">
        <v>1002.3</v>
      </c>
    </row>
    <row r="69" spans="1:7" s="62" customFormat="1">
      <c r="A69" s="7"/>
      <c r="B69" s="7"/>
      <c r="C69" s="8"/>
      <c r="D69" s="12" t="s">
        <v>116</v>
      </c>
      <c r="E69" s="47">
        <v>159.9</v>
      </c>
      <c r="F69" s="47">
        <v>0</v>
      </c>
      <c r="G69" s="47">
        <v>0</v>
      </c>
    </row>
    <row r="70" spans="1:7" s="62" customFormat="1">
      <c r="A70" s="7"/>
      <c r="B70" s="7"/>
      <c r="C70" s="8"/>
      <c r="D70" s="12" t="s">
        <v>115</v>
      </c>
      <c r="E70" s="47">
        <v>25.8</v>
      </c>
      <c r="F70" s="47">
        <v>0</v>
      </c>
      <c r="G70" s="47">
        <v>0</v>
      </c>
    </row>
    <row r="71" spans="1:7">
      <c r="A71" s="7"/>
      <c r="B71" s="7"/>
      <c r="C71" s="8"/>
      <c r="D71" s="12" t="s">
        <v>22</v>
      </c>
      <c r="E71" s="47">
        <v>647.1</v>
      </c>
      <c r="F71" s="47">
        <v>601.5</v>
      </c>
      <c r="G71" s="47">
        <v>554.4</v>
      </c>
    </row>
    <row r="72" spans="1:7">
      <c r="A72" s="7"/>
      <c r="B72" s="7"/>
      <c r="C72" s="8"/>
      <c r="D72" s="12" t="s">
        <v>46</v>
      </c>
      <c r="E72" s="47">
        <v>90.2</v>
      </c>
      <c r="F72" s="47">
        <v>127.6</v>
      </c>
      <c r="G72" s="47">
        <v>126.8</v>
      </c>
    </row>
    <row r="73" spans="1:7">
      <c r="A73" s="7"/>
      <c r="B73" s="7"/>
      <c r="C73" s="8"/>
      <c r="D73" s="12" t="s">
        <v>47</v>
      </c>
      <c r="E73" s="47">
        <v>46.2</v>
      </c>
      <c r="F73" s="47">
        <v>62.9</v>
      </c>
      <c r="G73" s="47">
        <v>84.5</v>
      </c>
    </row>
    <row r="74" spans="1:7" s="62" customFormat="1">
      <c r="A74" s="7"/>
      <c r="B74" s="7"/>
      <c r="C74" s="8"/>
      <c r="D74" s="12" t="s">
        <v>117</v>
      </c>
      <c r="E74" s="47">
        <v>41.9</v>
      </c>
      <c r="F74" s="47">
        <v>36.700000000000003</v>
      </c>
      <c r="G74" s="47">
        <v>43.4</v>
      </c>
    </row>
    <row r="75" spans="1:7">
      <c r="A75" s="7"/>
      <c r="B75" s="7"/>
      <c r="C75" s="8"/>
      <c r="D75" s="12" t="s">
        <v>48</v>
      </c>
      <c r="E75" s="47">
        <v>1375</v>
      </c>
      <c r="F75" s="47">
        <v>1378.9</v>
      </c>
      <c r="G75" s="47">
        <v>1404.1</v>
      </c>
    </row>
    <row r="76" spans="1:7">
      <c r="A76" s="7"/>
      <c r="B76" s="7"/>
      <c r="C76" s="8"/>
      <c r="D76" s="12" t="s">
        <v>49</v>
      </c>
      <c r="E76" s="47">
        <v>1366</v>
      </c>
      <c r="F76" s="47">
        <v>1614.4</v>
      </c>
      <c r="G76" s="47">
        <v>1792.1</v>
      </c>
    </row>
    <row r="77" spans="1:7">
      <c r="A77" s="7"/>
      <c r="B77" s="7"/>
      <c r="C77" s="8"/>
      <c r="D77" s="13" t="s">
        <v>30</v>
      </c>
      <c r="E77" s="54">
        <f>SUM(E68:E76)</f>
        <v>4753.5</v>
      </c>
      <c r="F77" s="54">
        <f t="shared" ref="F77:G77" si="7">SUM(F68:F76)</f>
        <v>4823.8</v>
      </c>
      <c r="G77" s="54">
        <f t="shared" si="7"/>
        <v>5007.6000000000004</v>
      </c>
    </row>
    <row r="78" spans="1:7">
      <c r="A78" s="7"/>
      <c r="B78" s="7"/>
      <c r="C78" s="8"/>
    </row>
    <row r="79" spans="1:7" ht="16.5" thickBot="1">
      <c r="A79" s="7"/>
      <c r="B79" s="7"/>
      <c r="C79" s="14" t="s">
        <v>31</v>
      </c>
      <c r="D79" s="14"/>
      <c r="E79" s="75">
        <f>E66+E77</f>
        <v>5416.2</v>
      </c>
      <c r="F79" s="75">
        <f t="shared" ref="F79:G79" si="8">F66+F77</f>
        <v>5680.4000000000005</v>
      </c>
      <c r="G79" s="75">
        <f t="shared" si="8"/>
        <v>5611.8</v>
      </c>
    </row>
    <row r="80" spans="1:7" ht="18.75" thickTop="1">
      <c r="A80" s="7"/>
      <c r="B80" s="7"/>
      <c r="C80" s="125"/>
      <c r="D80" s="125"/>
      <c r="E80" s="6"/>
      <c r="F80" s="6"/>
      <c r="G80" s="6"/>
    </row>
    <row r="81" spans="1:9" s="62" customFormat="1">
      <c r="A81" s="7"/>
      <c r="B81" s="7"/>
    </row>
    <row r="82" spans="1:9" s="62" customFormat="1">
      <c r="A82" s="7"/>
      <c r="B82" s="7"/>
    </row>
    <row r="83" spans="1:9" s="62" customFormat="1">
      <c r="A83" s="7"/>
      <c r="B83" s="7"/>
    </row>
    <row r="84" spans="1:9" s="62" customFormat="1">
      <c r="A84" s="7"/>
      <c r="B84" s="7"/>
    </row>
    <row r="85" spans="1:9">
      <c r="A85" s="7"/>
    </row>
    <row r="86" spans="1:9" ht="22.5">
      <c r="A86" s="7"/>
      <c r="D86" s="16" t="s">
        <v>118</v>
      </c>
      <c r="E86" s="51" t="s">
        <v>83</v>
      </c>
      <c r="F86" s="52"/>
      <c r="G86" s="52"/>
      <c r="H86" s="52"/>
      <c r="I86" s="52"/>
    </row>
    <row r="87" spans="1:9" ht="18">
      <c r="A87" s="7"/>
      <c r="C87" s="9" t="s">
        <v>50</v>
      </c>
      <c r="D87" s="9"/>
      <c r="E87" s="6">
        <v>2008</v>
      </c>
      <c r="F87" s="6">
        <v>2009</v>
      </c>
      <c r="G87" s="6">
        <v>2010</v>
      </c>
      <c r="H87" s="6">
        <v>2011</v>
      </c>
      <c r="I87" s="6">
        <v>2012</v>
      </c>
    </row>
    <row r="88" spans="1:9">
      <c r="A88" s="7"/>
      <c r="C88" s="11"/>
      <c r="D88" s="11"/>
      <c r="E88" s="24">
        <v>0.14000000000000001</v>
      </c>
      <c r="F88" s="24">
        <v>0.14000000000000001</v>
      </c>
      <c r="G88" s="24">
        <v>0.125</v>
      </c>
      <c r="H88" s="24">
        <v>0.1</v>
      </c>
      <c r="I88" s="24">
        <v>7.0000000000000007E-2</v>
      </c>
    </row>
    <row r="89" spans="1:9">
      <c r="A89" s="7"/>
    </row>
    <row r="90" spans="1:9">
      <c r="A90" s="7"/>
    </row>
    <row r="91" spans="1:9">
      <c r="A91" s="7"/>
    </row>
    <row r="92" spans="1:9" ht="22.5">
      <c r="A92" s="7"/>
      <c r="D92" s="16" t="s">
        <v>51</v>
      </c>
      <c r="E92" s="51" t="s">
        <v>83</v>
      </c>
      <c r="F92" s="52"/>
      <c r="G92" s="52"/>
      <c r="H92" s="52"/>
      <c r="I92" s="52"/>
    </row>
    <row r="93" spans="1:9" ht="18">
      <c r="A93" s="7"/>
      <c r="C93" s="9" t="s">
        <v>51</v>
      </c>
      <c r="D93" s="9"/>
      <c r="E93" s="6">
        <v>2008</v>
      </c>
      <c r="F93" s="6">
        <v>2009</v>
      </c>
      <c r="G93" s="6">
        <v>2010</v>
      </c>
      <c r="H93" s="6">
        <v>2011</v>
      </c>
      <c r="I93" s="6">
        <v>2012</v>
      </c>
    </row>
    <row r="94" spans="1:9">
      <c r="A94" s="7"/>
      <c r="C94" s="11"/>
      <c r="D94" s="11"/>
      <c r="E94" s="24">
        <v>0.14000000000000001</v>
      </c>
      <c r="F94" s="24">
        <v>0.14000000000000001</v>
      </c>
      <c r="G94" s="24">
        <v>0.15</v>
      </c>
      <c r="H94" s="24">
        <v>0.153</v>
      </c>
      <c r="I94" s="24">
        <v>0.155</v>
      </c>
    </row>
    <row r="97" spans="3:9" ht="22.5">
      <c r="D97" s="16" t="s">
        <v>215</v>
      </c>
      <c r="E97" s="51" t="s">
        <v>83</v>
      </c>
      <c r="F97" s="52"/>
      <c r="G97" s="52"/>
      <c r="H97" s="52"/>
      <c r="I97" s="52"/>
    </row>
    <row r="98" spans="3:9" ht="18">
      <c r="C98" s="9"/>
      <c r="D98" s="9"/>
      <c r="E98" s="6">
        <v>2008</v>
      </c>
      <c r="F98" s="6">
        <v>2009</v>
      </c>
      <c r="G98" s="6">
        <v>2010</v>
      </c>
      <c r="H98" s="6">
        <v>2011</v>
      </c>
      <c r="I98" s="6">
        <v>2012</v>
      </c>
    </row>
    <row r="99" spans="3:9" ht="15.75" customHeight="1">
      <c r="C99" s="11"/>
      <c r="D99" s="26" t="s">
        <v>52</v>
      </c>
      <c r="E99" s="25">
        <v>492</v>
      </c>
      <c r="F99" s="25">
        <v>492</v>
      </c>
      <c r="G99" s="25">
        <v>492</v>
      </c>
      <c r="H99" s="25">
        <v>492</v>
      </c>
      <c r="I99" s="25">
        <v>2627</v>
      </c>
    </row>
    <row r="100" spans="3:9" ht="15" customHeight="1">
      <c r="C100" s="11"/>
      <c r="D100" s="26" t="s">
        <v>53</v>
      </c>
      <c r="E100" s="25">
        <v>199</v>
      </c>
      <c r="F100" s="25">
        <v>184</v>
      </c>
      <c r="G100" s="25">
        <v>165</v>
      </c>
      <c r="H100" s="25">
        <v>148</v>
      </c>
      <c r="I100" s="25">
        <v>127</v>
      </c>
    </row>
    <row r="101" spans="3:9">
      <c r="C101" s="11"/>
      <c r="D101" s="26" t="s">
        <v>54</v>
      </c>
      <c r="E101" s="25">
        <v>293</v>
      </c>
      <c r="F101" s="25">
        <v>308</v>
      </c>
      <c r="G101" s="25">
        <v>327</v>
      </c>
      <c r="H101" s="25">
        <v>344</v>
      </c>
      <c r="I101" s="25">
        <v>2500</v>
      </c>
    </row>
    <row r="109" spans="3:9">
      <c r="E109" s="23"/>
      <c r="F109" s="23"/>
      <c r="G109" s="23"/>
      <c r="H109" s="23"/>
      <c r="I109" s="23"/>
    </row>
    <row r="110" spans="3:9">
      <c r="E110" s="23"/>
      <c r="F110" s="23"/>
      <c r="G110" s="23"/>
      <c r="H110" s="23"/>
      <c r="I110" s="23"/>
    </row>
  </sheetData>
  <mergeCells count="3">
    <mergeCell ref="C4:D4"/>
    <mergeCell ref="C25:D25"/>
    <mergeCell ref="C80:D8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26"/>
  <sheetViews>
    <sheetView topLeftCell="A253" zoomScaleNormal="100" workbookViewId="0">
      <selection activeCell="B108" sqref="B108:F108"/>
    </sheetView>
  </sheetViews>
  <sheetFormatPr defaultRowHeight="15"/>
  <cols>
    <col min="1" max="1" width="54" customWidth="1"/>
    <col min="2" max="2" width="25.42578125" customWidth="1"/>
    <col min="3" max="3" width="21.28515625" customWidth="1"/>
    <col min="4" max="4" width="21.5703125" customWidth="1"/>
    <col min="5" max="5" width="24.42578125" customWidth="1"/>
    <col min="6" max="6" width="21.42578125" customWidth="1"/>
    <col min="7" max="7" width="21.140625" customWidth="1"/>
    <col min="8" max="8" width="19.7109375" customWidth="1"/>
    <col min="9" max="9" width="23.140625" customWidth="1"/>
    <col min="10" max="10" width="16.42578125" style="42" customWidth="1"/>
    <col min="11" max="13" width="15.5703125" style="42" customWidth="1"/>
    <col min="14" max="14" width="17.42578125" customWidth="1"/>
    <col min="15" max="15" width="16.7109375" customWidth="1"/>
    <col min="16" max="16" width="16.85546875" customWidth="1"/>
    <col min="17" max="17" width="16" customWidth="1"/>
    <col min="18" max="18" width="16.5703125" customWidth="1"/>
  </cols>
  <sheetData>
    <row r="1" spans="1:8" ht="22.5">
      <c r="A1" s="63" t="s">
        <v>150</v>
      </c>
      <c r="B1" s="105" t="s">
        <v>82</v>
      </c>
    </row>
    <row r="2" spans="1:8" ht="18">
      <c r="A2" s="27"/>
      <c r="B2" s="6">
        <v>2005</v>
      </c>
      <c r="C2" s="6">
        <v>2006</v>
      </c>
      <c r="D2" s="6">
        <v>2007</v>
      </c>
    </row>
    <row r="3" spans="1:8">
      <c r="A3" s="4" t="s">
        <v>61</v>
      </c>
      <c r="B3" s="44" t="s">
        <v>64</v>
      </c>
      <c r="C3" s="44">
        <f>Inputs!F43-Inputs!E43+Inputs!F14</f>
        <v>631.30000000000018</v>
      </c>
      <c r="D3" s="44">
        <f>Inputs!G43-Inputs!F43+Inputs!G14</f>
        <v>548.59999999999968</v>
      </c>
      <c r="F3" t="s">
        <v>56</v>
      </c>
    </row>
    <row r="4" spans="1:8">
      <c r="A4" s="4" t="s">
        <v>60</v>
      </c>
      <c r="B4" s="44">
        <f>Inputs!E36+Inputs!E37+Inputs!E38-Inputs!E57-Inputs!E58-Inputs!E59</f>
        <v>78.799999999999983</v>
      </c>
      <c r="C4" s="44">
        <f>Inputs!F36+Inputs!F37+Inputs!F38-Inputs!F57-Inputs!F58-Inputs!F59</f>
        <v>133.60000000000002</v>
      </c>
      <c r="D4" s="44">
        <f>Inputs!G36+Inputs!G37+Inputs!G38-Inputs!G57-Inputs!G58-Inputs!G59</f>
        <v>114.7</v>
      </c>
      <c r="F4" t="s">
        <v>57</v>
      </c>
    </row>
    <row r="5" spans="1:8">
      <c r="A5" t="s">
        <v>62</v>
      </c>
      <c r="B5" s="44" t="s">
        <v>64</v>
      </c>
      <c r="C5" s="44">
        <f>C4-B4</f>
        <v>54.80000000000004</v>
      </c>
      <c r="D5" s="44">
        <f>D4-C4</f>
        <v>-18.90000000000002</v>
      </c>
      <c r="F5" s="95" t="s">
        <v>58</v>
      </c>
    </row>
    <row r="6" spans="1:8">
      <c r="A6" s="63" t="s">
        <v>69</v>
      </c>
      <c r="B6" s="44">
        <f>Inputs!E12</f>
        <v>697.10000000000014</v>
      </c>
      <c r="C6" s="44">
        <f>Inputs!F12</f>
        <v>865</v>
      </c>
      <c r="D6" s="44">
        <f>Inputs!G12</f>
        <v>1033.4000000000001</v>
      </c>
      <c r="F6" s="95" t="s">
        <v>59</v>
      </c>
    </row>
    <row r="7" spans="1:8" s="63" customFormat="1">
      <c r="A7" s="63" t="s">
        <v>70</v>
      </c>
      <c r="B7" s="78">
        <f>Inputs!E15</f>
        <v>207.00000000000011</v>
      </c>
      <c r="C7" s="78">
        <f>Inputs!F15</f>
        <v>309.5</v>
      </c>
      <c r="D7" s="78">
        <f>Inputs!G15</f>
        <v>451.10000000000014</v>
      </c>
      <c r="F7" s="95"/>
    </row>
    <row r="8" spans="1:8" ht="18" customHeight="1">
      <c r="A8" s="63" t="s">
        <v>71</v>
      </c>
      <c r="B8" s="44">
        <f>(1-Inputs!$K$4)*Сalculations!B7</f>
        <v>165.60000000000011</v>
      </c>
      <c r="C8" s="44">
        <f>(1-Inputs!$K$4)*Сalculations!C7</f>
        <v>247.60000000000002</v>
      </c>
      <c r="D8" s="44">
        <f>(1-Inputs!$K$4)*Сalculations!D7</f>
        <v>360.88000000000011</v>
      </c>
      <c r="F8" s="85" t="s">
        <v>63</v>
      </c>
    </row>
    <row r="9" spans="1:8" ht="15" customHeight="1">
      <c r="A9" s="89" t="s">
        <v>72</v>
      </c>
      <c r="B9" s="44" t="s">
        <v>64</v>
      </c>
      <c r="C9" s="44">
        <f>C8+Inputs!F14-C5-C3</f>
        <v>116.99999999999977</v>
      </c>
      <c r="D9" s="44">
        <f>D8+Inputs!G14-D5-D3</f>
        <v>413.48000000000036</v>
      </c>
    </row>
    <row r="10" spans="1:8">
      <c r="F10" s="95" t="s">
        <v>65</v>
      </c>
    </row>
    <row r="11" spans="1:8">
      <c r="A11" s="63"/>
      <c r="B11" s="63"/>
      <c r="C11" s="63"/>
      <c r="D11" s="63"/>
      <c r="F11" s="85" t="s">
        <v>66</v>
      </c>
    </row>
    <row r="12" spans="1:8">
      <c r="A12" s="63"/>
      <c r="B12" s="63"/>
      <c r="C12" s="63"/>
      <c r="D12" s="63"/>
      <c r="F12" s="104" t="s">
        <v>67</v>
      </c>
    </row>
    <row r="13" spans="1:8">
      <c r="A13" s="63"/>
      <c r="B13" s="63"/>
      <c r="C13" s="63"/>
      <c r="D13" s="63"/>
      <c r="F13" s="104" t="s">
        <v>68</v>
      </c>
    </row>
    <row r="14" spans="1:8">
      <c r="A14" s="63"/>
      <c r="B14" s="63"/>
      <c r="C14" s="63"/>
      <c r="D14" s="63"/>
    </row>
    <row r="15" spans="1:8">
      <c r="D15" s="41"/>
      <c r="E15" s="41"/>
      <c r="F15" s="41"/>
      <c r="G15" s="41"/>
      <c r="H15" s="41"/>
    </row>
    <row r="16" spans="1:8" ht="22.5">
      <c r="A16" s="63" t="s">
        <v>134</v>
      </c>
      <c r="B16" s="38" t="s">
        <v>118</v>
      </c>
      <c r="D16" s="41"/>
    </row>
    <row r="17" spans="1:11" ht="18">
      <c r="A17" s="27"/>
      <c r="B17" s="6">
        <v>2007</v>
      </c>
      <c r="C17" s="63"/>
      <c r="D17" s="41"/>
    </row>
    <row r="18" spans="1:11">
      <c r="A18" s="4" t="s">
        <v>3</v>
      </c>
      <c r="B18" s="78">
        <f>Inputs!G5</f>
        <v>3679.2</v>
      </c>
      <c r="C18" s="63"/>
      <c r="D18" s="41"/>
    </row>
    <row r="19" spans="1:11">
      <c r="A19" s="4" t="s">
        <v>124</v>
      </c>
      <c r="B19" s="43">
        <f>Inputs!G6/Inputs!G5</f>
        <v>7.2570123939986964E-2</v>
      </c>
      <c r="C19" s="63"/>
      <c r="D19" s="41"/>
    </row>
    <row r="20" spans="1:11">
      <c r="A20" s="4" t="s">
        <v>125</v>
      </c>
      <c r="B20" s="43">
        <f>Inputs!G9/Inputs!G5</f>
        <v>0.19490650141335075</v>
      </c>
      <c r="C20" s="63"/>
      <c r="D20" s="45"/>
    </row>
    <row r="21" spans="1:11">
      <c r="A21" s="5" t="s">
        <v>126</v>
      </c>
      <c r="B21" s="43">
        <f>Inputs!G10/Inputs!G6</f>
        <v>2.3977528089887641</v>
      </c>
      <c r="C21" s="63"/>
      <c r="D21" s="41"/>
    </row>
    <row r="22" spans="1:11">
      <c r="A22" s="4" t="s">
        <v>119</v>
      </c>
      <c r="B22" s="43">
        <f>Inputs!G11/Inputs!G7</f>
        <v>0.39419202797557201</v>
      </c>
      <c r="C22" s="63"/>
      <c r="D22" s="41"/>
    </row>
    <row r="23" spans="1:11">
      <c r="A23" s="4" t="s">
        <v>127</v>
      </c>
      <c r="B23" s="43">
        <f>Inputs!G14/Сalculations!D3</f>
        <v>1.06142909223478</v>
      </c>
      <c r="C23" s="63"/>
      <c r="D23" s="46"/>
    </row>
    <row r="24" spans="1:11" s="41" customFormat="1">
      <c r="A24" s="4" t="s">
        <v>120</v>
      </c>
      <c r="B24" s="115">
        <f>Inputs!K4</f>
        <v>0.2</v>
      </c>
      <c r="C24" s="63"/>
    </row>
    <row r="25" spans="1:11" s="41" customFormat="1">
      <c r="A25" s="4" t="s">
        <v>121</v>
      </c>
      <c r="B25" s="63"/>
      <c r="C25" s="63"/>
    </row>
    <row r="26" spans="1:11" s="41" customFormat="1">
      <c r="A26" s="5" t="s">
        <v>128</v>
      </c>
      <c r="B26" s="79">
        <f>Inputs!G36/((Inputs!$G$7)/360)</f>
        <v>39.728353140916809</v>
      </c>
      <c r="C26" s="63"/>
      <c r="D26" s="28" t="s">
        <v>73</v>
      </c>
    </row>
    <row r="27" spans="1:11" s="41" customFormat="1">
      <c r="A27" s="5" t="s">
        <v>129</v>
      </c>
      <c r="B27" s="79">
        <f>Inputs!G37/((Inputs!$G$7)/360)</f>
        <v>9.2136938397993049</v>
      </c>
      <c r="C27" s="63"/>
      <c r="D27" s="28" t="s">
        <v>87</v>
      </c>
    </row>
    <row r="28" spans="1:11">
      <c r="A28" s="63" t="s">
        <v>130</v>
      </c>
      <c r="B28" s="80">
        <f>Inputs!G38/((Inputs!$G$7)/360)</f>
        <v>3.794947165699516</v>
      </c>
      <c r="C28" s="63"/>
      <c r="D28" t="s">
        <v>74</v>
      </c>
    </row>
    <row r="29" spans="1:11">
      <c r="A29" s="63" t="s">
        <v>131</v>
      </c>
      <c r="B29" s="80">
        <f>Inputs!G57/((Inputs!G9)/360)</f>
        <v>130.92734625575233</v>
      </c>
      <c r="C29" s="63"/>
    </row>
    <row r="30" spans="1:11">
      <c r="A30" s="31" t="s">
        <v>132</v>
      </c>
      <c r="B30" s="80">
        <f>Inputs!G58/((Inputs!G9)/360)</f>
        <v>71.989959559336214</v>
      </c>
      <c r="E30" s="56"/>
      <c r="F30" s="42"/>
      <c r="G30" s="42"/>
      <c r="H30" s="42"/>
      <c r="I30" s="42"/>
      <c r="J30" s="41"/>
      <c r="K30" s="41"/>
    </row>
    <row r="31" spans="1:11">
      <c r="A31" s="63" t="s">
        <v>133</v>
      </c>
      <c r="B31" s="80">
        <f>Inputs!G59/((Inputs!G9)/360)</f>
        <v>29.719704364802677</v>
      </c>
    </row>
    <row r="32" spans="1:11" s="63" customFormat="1">
      <c r="A32" s="63" t="s">
        <v>122</v>
      </c>
      <c r="B32" s="81">
        <f>D3/Inputs!G7</f>
        <v>0.13901629374350649</v>
      </c>
    </row>
    <row r="33" spans="1:7" s="63" customFormat="1">
      <c r="A33" s="28"/>
    </row>
    <row r="34" spans="1:7" s="63" customFormat="1">
      <c r="A34" s="28"/>
    </row>
    <row r="35" spans="1:7" s="63" customFormat="1" ht="22.5">
      <c r="A35" s="28" t="s">
        <v>135</v>
      </c>
      <c r="B35" s="38" t="s">
        <v>212</v>
      </c>
    </row>
    <row r="36" spans="1:7" s="63" customFormat="1" ht="18">
      <c r="A36" s="27" t="s">
        <v>136</v>
      </c>
      <c r="B36" s="6">
        <v>2008</v>
      </c>
      <c r="C36" s="6">
        <v>2009</v>
      </c>
      <c r="D36" s="6">
        <v>2010</v>
      </c>
      <c r="E36" s="6">
        <v>2011</v>
      </c>
      <c r="F36" s="6">
        <v>2012</v>
      </c>
    </row>
    <row r="37" spans="1:7" s="63" customFormat="1">
      <c r="A37" s="77" t="s">
        <v>123</v>
      </c>
      <c r="B37" s="82">
        <f>Inputs!G5*(1+Inputs!E88)</f>
        <v>4194.2880000000005</v>
      </c>
      <c r="C37" s="82">
        <f>B37*(1+Inputs!F88)</f>
        <v>4781.4883200000013</v>
      </c>
      <c r="D37" s="82">
        <f>C37*(1+Inputs!G88)</f>
        <v>5379.1743600000018</v>
      </c>
      <c r="E37" s="82">
        <f>D37*(1+Inputs!H88)</f>
        <v>5917.0917960000024</v>
      </c>
      <c r="F37" s="82">
        <f>E37*(1+Inputs!I88)</f>
        <v>6331.2882217200031</v>
      </c>
    </row>
    <row r="38" spans="1:7" s="63" customFormat="1">
      <c r="A38" s="77" t="s">
        <v>137</v>
      </c>
      <c r="B38" s="82">
        <f>$B$19*B37</f>
        <v>304.38000000000005</v>
      </c>
      <c r="C38" s="82">
        <f t="shared" ref="C38:F38" si="0">$B$19*C37</f>
        <v>346.99320000000012</v>
      </c>
      <c r="D38" s="82">
        <f t="shared" si="0"/>
        <v>390.36735000000016</v>
      </c>
      <c r="E38" s="82">
        <f t="shared" si="0"/>
        <v>429.40408500000024</v>
      </c>
      <c r="F38" s="82">
        <f t="shared" si="0"/>
        <v>459.46237095000026</v>
      </c>
    </row>
    <row r="39" spans="1:7" s="63" customFormat="1">
      <c r="A39" s="28" t="s">
        <v>138</v>
      </c>
      <c r="B39" s="83">
        <f>B37+B38</f>
        <v>4498.6680000000006</v>
      </c>
      <c r="C39" s="83">
        <f t="shared" ref="C39:F39" si="1">C37+C38</f>
        <v>5128.4815200000012</v>
      </c>
      <c r="D39" s="83">
        <f t="shared" si="1"/>
        <v>5769.5417100000022</v>
      </c>
      <c r="E39" s="83">
        <f t="shared" si="1"/>
        <v>6346.4958810000026</v>
      </c>
      <c r="F39" s="83">
        <f t="shared" si="1"/>
        <v>6790.7505926700032</v>
      </c>
    </row>
    <row r="40" spans="1:7">
      <c r="A40" s="77" t="s">
        <v>139</v>
      </c>
      <c r="B40" s="82">
        <f>$B$20*B37</f>
        <v>817.49400000000014</v>
      </c>
      <c r="C40" s="82">
        <f t="shared" ref="C40:F40" si="2">$B$20*C37</f>
        <v>931.94316000000038</v>
      </c>
      <c r="D40" s="82">
        <f t="shared" si="2"/>
        <v>1048.4360550000006</v>
      </c>
      <c r="E40" s="82">
        <f t="shared" si="2"/>
        <v>1153.2796605000005</v>
      </c>
      <c r="F40" s="82">
        <f t="shared" si="2"/>
        <v>1234.0092367350007</v>
      </c>
    </row>
    <row r="41" spans="1:7">
      <c r="A41" s="77" t="s">
        <v>140</v>
      </c>
      <c r="B41" s="82">
        <f>$B$21*B38</f>
        <v>729.82800000000009</v>
      </c>
      <c r="C41" s="82">
        <f t="shared" ref="C41:F41" si="3">$B$21*C38</f>
        <v>832.00392000000033</v>
      </c>
      <c r="D41" s="82">
        <f t="shared" si="3"/>
        <v>936.00441000000035</v>
      </c>
      <c r="E41" s="82">
        <f t="shared" si="3"/>
        <v>1029.6048510000005</v>
      </c>
      <c r="F41" s="82">
        <f t="shared" si="3"/>
        <v>1101.6771905700007</v>
      </c>
      <c r="G41" s="63"/>
    </row>
    <row r="42" spans="1:7">
      <c r="A42" s="77" t="s">
        <v>141</v>
      </c>
      <c r="B42" s="82">
        <f>$B$22*B39</f>
        <v>1773.3390621088108</v>
      </c>
      <c r="C42" s="82">
        <f t="shared" ref="C42:F42" si="4">$B$22*C39</f>
        <v>2021.6065308040445</v>
      </c>
      <c r="D42" s="82">
        <f t="shared" si="4"/>
        <v>2274.3073471545504</v>
      </c>
      <c r="E42" s="82">
        <f t="shared" si="4"/>
        <v>2501.7380818700058</v>
      </c>
      <c r="F42" s="82">
        <f t="shared" si="4"/>
        <v>2676.8597476009063</v>
      </c>
      <c r="G42" s="63"/>
    </row>
    <row r="43" spans="1:7">
      <c r="A43" s="28" t="s">
        <v>69</v>
      </c>
      <c r="B43" s="83">
        <f>B39-B40-B41-B42</f>
        <v>1178.0069378911896</v>
      </c>
      <c r="C43" s="83">
        <f t="shared" ref="C43:F43" si="5">C39-C40-C41-C42</f>
        <v>1342.9279091959559</v>
      </c>
      <c r="D43" s="83">
        <f t="shared" si="5"/>
        <v>1510.7938978454504</v>
      </c>
      <c r="E43" s="83">
        <f t="shared" si="5"/>
        <v>1661.8732876299964</v>
      </c>
      <c r="F43" s="83">
        <f t="shared" si="5"/>
        <v>1778.2044177640955</v>
      </c>
      <c r="G43" s="63"/>
    </row>
    <row r="44" spans="1:7">
      <c r="A44" s="77" t="s">
        <v>142</v>
      </c>
      <c r="B44" s="82">
        <f>$B$23*B55</f>
        <v>668.50239281079166</v>
      </c>
      <c r="C44" s="82">
        <f>$B$23*C55</f>
        <v>762.09272780430251</v>
      </c>
      <c r="D44" s="82">
        <f>$B$23*D55</f>
        <v>918.59391297840045</v>
      </c>
      <c r="E44" s="82">
        <f>$B$23*E55</f>
        <v>1030.6623703617652</v>
      </c>
      <c r="F44" s="82">
        <f>$B$23*F55</f>
        <v>1117.22453676143</v>
      </c>
      <c r="G44" s="63"/>
    </row>
    <row r="45" spans="1:7">
      <c r="A45" s="28" t="s">
        <v>70</v>
      </c>
      <c r="B45" s="83">
        <f>B43-B44</f>
        <v>509.50454508039797</v>
      </c>
      <c r="C45" s="83">
        <f t="shared" ref="C45:F45" si="6">C43-C44</f>
        <v>580.83518139165335</v>
      </c>
      <c r="D45" s="83">
        <f t="shared" si="6"/>
        <v>592.19998486704992</v>
      </c>
      <c r="E45" s="83">
        <f t="shared" si="6"/>
        <v>631.21091726823124</v>
      </c>
      <c r="F45" s="83">
        <f t="shared" si="6"/>
        <v>660.97988100266548</v>
      </c>
      <c r="G45" s="63"/>
    </row>
    <row r="46" spans="1:7">
      <c r="A46" s="77" t="s">
        <v>143</v>
      </c>
      <c r="B46" s="63"/>
      <c r="C46" s="63"/>
      <c r="D46" s="63"/>
      <c r="E46" s="63"/>
      <c r="F46" s="63"/>
      <c r="G46" s="63"/>
    </row>
    <row r="47" spans="1:7">
      <c r="A47" s="28" t="s">
        <v>71</v>
      </c>
      <c r="B47" s="83">
        <f>(1-Inputs!$K$4)*Сalculations!B45</f>
        <v>407.60363606431838</v>
      </c>
      <c r="C47" s="83">
        <f>(1-Inputs!$K$4)*Сalculations!C45</f>
        <v>464.66814511332268</v>
      </c>
      <c r="D47" s="83">
        <f>(1-Inputs!$K$4)*Сalculations!D45</f>
        <v>473.75998789363996</v>
      </c>
      <c r="E47" s="83">
        <f>(1-Inputs!$K$4)*Сalculations!E45</f>
        <v>504.96873381458499</v>
      </c>
      <c r="F47" s="83">
        <f>(1-Inputs!$K$4)*Сalculations!F45</f>
        <v>528.78390480213238</v>
      </c>
      <c r="G47" s="63"/>
    </row>
    <row r="48" spans="1:7">
      <c r="A48" s="77" t="s">
        <v>144</v>
      </c>
      <c r="B48" s="82">
        <f>$B$23*B55</f>
        <v>668.50239281079166</v>
      </c>
      <c r="C48" s="82">
        <f>$B$23*C55</f>
        <v>762.09272780430251</v>
      </c>
      <c r="D48" s="82">
        <f>$B$23*D55</f>
        <v>918.59391297840045</v>
      </c>
      <c r="E48" s="82">
        <f>$B$23*E55</f>
        <v>1030.6623703617652</v>
      </c>
      <c r="F48" s="82">
        <f>$B$23*F55</f>
        <v>1117.22453676143</v>
      </c>
      <c r="G48" s="63"/>
    </row>
    <row r="49" spans="1:13">
      <c r="A49" s="77" t="s">
        <v>145</v>
      </c>
      <c r="B49" s="82">
        <f>B63</f>
        <v>16.041299951853645</v>
      </c>
      <c r="C49" s="82">
        <f>C63</f>
        <v>18.30378199325952</v>
      </c>
      <c r="D49" s="82">
        <f>D63</f>
        <v>18.630635243139125</v>
      </c>
      <c r="E49" s="82">
        <f>E63</f>
        <v>16.767571718825252</v>
      </c>
      <c r="F49" s="82">
        <f>F63</f>
        <v>12.911030223495345</v>
      </c>
      <c r="G49" s="63"/>
    </row>
    <row r="50" spans="1:13">
      <c r="A50" s="77" t="s">
        <v>146</v>
      </c>
      <c r="B50" s="82">
        <f>B55</f>
        <v>629.81352000000015</v>
      </c>
      <c r="C50" s="82">
        <f>C55</f>
        <v>717.98741280000024</v>
      </c>
      <c r="D50" s="82">
        <f>D55</f>
        <v>865.43125650000036</v>
      </c>
      <c r="E50" s="82">
        <f>E55</f>
        <v>971.01386979300037</v>
      </c>
      <c r="F50" s="82">
        <f>F55</f>
        <v>1052.5663418638505</v>
      </c>
      <c r="G50" s="63"/>
    </row>
    <row r="51" spans="1:13">
      <c r="A51" s="28" t="s">
        <v>147</v>
      </c>
      <c r="B51" s="83">
        <f>B47+B48-B49-B50</f>
        <v>430.25120892325617</v>
      </c>
      <c r="C51" s="83">
        <f t="shared" ref="C51:E51" si="7">C47+C48-C49-C50</f>
        <v>490.46967812436549</v>
      </c>
      <c r="D51" s="83">
        <f t="shared" si="7"/>
        <v>508.29200912890099</v>
      </c>
      <c r="E51" s="83">
        <f t="shared" si="7"/>
        <v>547.84966266452443</v>
      </c>
      <c r="F51" s="83">
        <f>F47+F48-F49-F50</f>
        <v>580.53106947621654</v>
      </c>
      <c r="G51" s="63"/>
    </row>
    <row r="52" spans="1:13" s="41" customFormat="1">
      <c r="A52" s="126"/>
      <c r="B52" s="126"/>
      <c r="C52" s="63"/>
      <c r="D52" s="126"/>
      <c r="E52" s="126"/>
      <c r="F52" s="63"/>
      <c r="G52" s="63"/>
      <c r="J52" s="42"/>
      <c r="K52" s="42"/>
      <c r="L52" s="42"/>
      <c r="M52" s="42"/>
    </row>
    <row r="53" spans="1:13" s="41" customFormat="1">
      <c r="A53" s="63"/>
      <c r="B53" s="63"/>
      <c r="C53" s="63"/>
      <c r="D53" s="63"/>
      <c r="E53" s="63"/>
      <c r="F53" s="63"/>
      <c r="G53" s="63"/>
      <c r="J53" s="42"/>
      <c r="K53" s="42"/>
      <c r="L53" s="42"/>
      <c r="M53" s="42"/>
    </row>
    <row r="54" spans="1:13" s="63" customFormat="1" ht="18">
      <c r="A54" s="27"/>
      <c r="B54" s="6">
        <v>2008</v>
      </c>
      <c r="C54" s="6">
        <v>2009</v>
      </c>
      <c r="D54" s="6">
        <v>2010</v>
      </c>
      <c r="E54" s="6">
        <v>2011</v>
      </c>
      <c r="F54" s="6">
        <v>2012</v>
      </c>
    </row>
    <row r="55" spans="1:13" s="63" customFormat="1">
      <c r="A55" s="63" t="s">
        <v>148</v>
      </c>
      <c r="B55" s="82">
        <f>B39*Inputs!E94</f>
        <v>629.81352000000015</v>
      </c>
      <c r="C55" s="82">
        <f>C39*Inputs!F94</f>
        <v>717.98741280000024</v>
      </c>
      <c r="D55" s="82">
        <f>D39*Inputs!G94</f>
        <v>865.43125650000036</v>
      </c>
      <c r="E55" s="82">
        <f>E39*Inputs!H94</f>
        <v>971.01386979300037</v>
      </c>
      <c r="F55" s="82">
        <f>F39*Inputs!I94</f>
        <v>1052.5663418638505</v>
      </c>
    </row>
    <row r="56" spans="1:13" s="63" customFormat="1">
      <c r="A56" s="12" t="s">
        <v>15</v>
      </c>
      <c r="B56" s="82">
        <f>$B$26*B39/360</f>
        <v>496.45741935483875</v>
      </c>
      <c r="C56" s="82">
        <f>$B$26*C39/360</f>
        <v>565.96145806451625</v>
      </c>
      <c r="D56" s="82">
        <f>$B$26*D39/360</f>
        <v>636.70664032258094</v>
      </c>
      <c r="E56" s="82">
        <f>$B$26*E39/360</f>
        <v>700.377304354839</v>
      </c>
      <c r="F56" s="82">
        <f>$B$26*F39/360</f>
        <v>749.4037156596778</v>
      </c>
    </row>
    <row r="57" spans="1:13" s="63" customFormat="1">
      <c r="A57" s="12" t="s">
        <v>16</v>
      </c>
      <c r="B57" s="82">
        <f>$B$27*B39/360</f>
        <v>115.13708233028406</v>
      </c>
      <c r="C57" s="82">
        <f>$B$27*C39/360</f>
        <v>131.25627385652385</v>
      </c>
      <c r="D57" s="82">
        <f>$B$27*D39/360</f>
        <v>147.66330808858936</v>
      </c>
      <c r="E57" s="82">
        <f>$B$27*E39/360</f>
        <v>162.42963889744831</v>
      </c>
      <c r="F57" s="82">
        <f>$B$27*F39/360</f>
        <v>173.79971362026967</v>
      </c>
    </row>
    <row r="58" spans="1:13" s="63" customFormat="1">
      <c r="A58" s="12" t="s">
        <v>17</v>
      </c>
      <c r="B58" s="82">
        <f>$B$28*B39/360</f>
        <v>47.422798266730865</v>
      </c>
      <c r="C58" s="82">
        <f>$B$28*C39/360</f>
        <v>54.061990024073189</v>
      </c>
      <c r="D58" s="82">
        <f>$B$28*D39/360</f>
        <v>60.81973877708235</v>
      </c>
      <c r="E58" s="82">
        <f>$B$28*E39/360</f>
        <v>66.901712654790586</v>
      </c>
      <c r="F58" s="82">
        <f>$B$28*F39/360</f>
        <v>71.584832540625939</v>
      </c>
    </row>
    <row r="59" spans="1:13" s="63" customFormat="1">
      <c r="A59" s="12" t="s">
        <v>26</v>
      </c>
      <c r="B59" s="82">
        <f>$B$29*B40/360</f>
        <v>297.31200000000001</v>
      </c>
      <c r="C59" s="82">
        <f>$B$29*C40/360</f>
        <v>338.9356800000001</v>
      </c>
      <c r="D59" s="82">
        <f>$B$29*D40/360</f>
        <v>381.30264000000017</v>
      </c>
      <c r="E59" s="82">
        <f>$B$29*E40/360</f>
        <v>419.43290400000018</v>
      </c>
      <c r="F59" s="82">
        <f>$B$29*F40/360</f>
        <v>448.79320728000022</v>
      </c>
    </row>
    <row r="60" spans="1:13" s="63" customFormat="1">
      <c r="A60" s="12" t="s">
        <v>42</v>
      </c>
      <c r="B60" s="82">
        <f>$B$30*B40/360</f>
        <v>163.47600000000003</v>
      </c>
      <c r="C60" s="82">
        <f>$B$30*C40/360</f>
        <v>186.36264000000006</v>
      </c>
      <c r="D60" s="82">
        <f>$B$30*D40/360</f>
        <v>209.65797000000012</v>
      </c>
      <c r="E60" s="82">
        <f>$B$30*E40/360</f>
        <v>230.6237670000001</v>
      </c>
      <c r="F60" s="82">
        <f>$B$30*F40/360</f>
        <v>246.76743069000017</v>
      </c>
    </row>
    <row r="61" spans="1:13" s="63" customFormat="1">
      <c r="A61" s="12" t="s">
        <v>45</v>
      </c>
      <c r="B61" s="82">
        <f>$B$31*B40/360</f>
        <v>67.488000000000014</v>
      </c>
      <c r="C61" s="82">
        <f>$B$31*C40/360</f>
        <v>76.936320000000023</v>
      </c>
      <c r="D61" s="82">
        <f>$B$31*D40/360</f>
        <v>86.55336000000004</v>
      </c>
      <c r="E61" s="82">
        <f>$B$31*E40/360</f>
        <v>95.208696000000032</v>
      </c>
      <c r="F61" s="82">
        <f>$B$31*F40/360</f>
        <v>101.87330472000006</v>
      </c>
    </row>
    <row r="62" spans="1:13" s="63" customFormat="1">
      <c r="A62" s="4" t="s">
        <v>60</v>
      </c>
      <c r="B62" s="82">
        <f>B56+B57+B58-B59-B60-B61</f>
        <v>130.74129995185365</v>
      </c>
      <c r="C62" s="82">
        <f t="shared" ref="C62:F62" si="8">C56+C57+C58-C59-C60-C61</f>
        <v>149.04508194511317</v>
      </c>
      <c r="D62" s="82">
        <f t="shared" si="8"/>
        <v>167.67571718825229</v>
      </c>
      <c r="E62" s="82">
        <f t="shared" si="8"/>
        <v>184.44328890707754</v>
      </c>
      <c r="F62" s="82">
        <f t="shared" si="8"/>
        <v>197.35431913057289</v>
      </c>
    </row>
    <row r="63" spans="1:13" s="63" customFormat="1">
      <c r="A63" s="63" t="s">
        <v>62</v>
      </c>
      <c r="B63" s="82">
        <f>B62-D4</f>
        <v>16.041299951853645</v>
      </c>
      <c r="C63" s="82">
        <f>C62-B62</f>
        <v>18.30378199325952</v>
      </c>
      <c r="D63" s="82">
        <f t="shared" ref="D63:F63" si="9">D62-C62</f>
        <v>18.630635243139125</v>
      </c>
      <c r="E63" s="82">
        <f t="shared" si="9"/>
        <v>16.767571718825252</v>
      </c>
      <c r="F63" s="82">
        <f t="shared" si="9"/>
        <v>12.911030223495345</v>
      </c>
    </row>
    <row r="64" spans="1:13" s="63" customFormat="1"/>
    <row r="65" spans="1:13" s="63" customFormat="1"/>
    <row r="66" spans="1:13" s="63" customFormat="1"/>
    <row r="67" spans="1:13" s="41" customFormat="1">
      <c r="A67" s="63"/>
      <c r="B67" s="63"/>
      <c r="C67" s="63"/>
      <c r="D67" s="63"/>
      <c r="E67" s="63"/>
      <c r="F67" s="63"/>
      <c r="G67" s="63"/>
      <c r="J67" s="42"/>
      <c r="K67" s="42"/>
      <c r="L67" s="42"/>
      <c r="M67" s="42"/>
    </row>
    <row r="68" spans="1:13" s="41" customFormat="1" ht="22.5">
      <c r="A68" s="63" t="s">
        <v>149</v>
      </c>
      <c r="B68" s="16"/>
      <c r="C68" s="84" t="s">
        <v>213</v>
      </c>
      <c r="D68" s="16"/>
      <c r="E68" s="16"/>
      <c r="F68"/>
      <c r="G68"/>
      <c r="H68" s="42"/>
      <c r="I68" s="42"/>
      <c r="J68"/>
      <c r="K68"/>
      <c r="L68" s="42"/>
      <c r="M68" s="42"/>
    </row>
    <row r="69" spans="1:13" s="41" customFormat="1" ht="18">
      <c r="A69" s="27"/>
      <c r="B69" s="36" t="s">
        <v>214</v>
      </c>
      <c r="C69" s="36" t="s">
        <v>101</v>
      </c>
      <c r="D69" s="36" t="s">
        <v>102</v>
      </c>
      <c r="E69" s="36" t="s">
        <v>103</v>
      </c>
      <c r="F69" s="36" t="s">
        <v>94</v>
      </c>
      <c r="G69" s="36" t="s">
        <v>93</v>
      </c>
      <c r="H69" s="63"/>
      <c r="I69" s="63"/>
      <c r="J69" s="63"/>
      <c r="K69" s="63"/>
      <c r="L69" s="42"/>
      <c r="M69" s="42"/>
    </row>
    <row r="70" spans="1:13" s="41" customFormat="1">
      <c r="A70" s="42" t="s">
        <v>88</v>
      </c>
      <c r="B70" s="87">
        <v>118497</v>
      </c>
      <c r="C70" s="87">
        <v>69130</v>
      </c>
      <c r="D70" s="91">
        <f>C70/(B70+C70)</f>
        <v>0.36844377408368734</v>
      </c>
      <c r="E70" s="91">
        <f>C70/B70</f>
        <v>0.58339029680076293</v>
      </c>
      <c r="F70" s="87">
        <v>0.86</v>
      </c>
      <c r="G70" s="90">
        <f>F70/(1+(1-Inputs!$K$4)*E70)</f>
        <v>0.58634541803556939</v>
      </c>
      <c r="H70" s="63"/>
      <c r="I70" s="63"/>
      <c r="J70" s="63"/>
      <c r="K70" s="63"/>
      <c r="L70" s="42"/>
      <c r="M70" s="42"/>
    </row>
    <row r="71" spans="1:13">
      <c r="A71" s="42" t="s">
        <v>89</v>
      </c>
      <c r="B71" s="87">
        <v>189470</v>
      </c>
      <c r="C71" s="87">
        <v>79351</v>
      </c>
      <c r="D71" s="91">
        <f t="shared" ref="D71:D74" si="10">C71/(B71+C71)</f>
        <v>0.29518155203648522</v>
      </c>
      <c r="E71" s="91">
        <f t="shared" ref="E71:E74" si="11">C71/B71</f>
        <v>0.41880508787670873</v>
      </c>
      <c r="F71" s="87">
        <v>0.89</v>
      </c>
      <c r="G71" s="90">
        <f>F71/(1+(1-Inputs!$K$4)*E71)</f>
        <v>0.66664465975201492</v>
      </c>
      <c r="H71" s="63"/>
      <c r="I71" s="63"/>
      <c r="J71" s="63"/>
      <c r="K71" s="63"/>
    </row>
    <row r="72" spans="1:13">
      <c r="A72" s="42" t="s">
        <v>90</v>
      </c>
      <c r="B72" s="87">
        <v>21079</v>
      </c>
      <c r="C72" s="87">
        <v>5080</v>
      </c>
      <c r="D72" s="91">
        <f t="shared" si="10"/>
        <v>0.19419702588019419</v>
      </c>
      <c r="E72" s="91">
        <f t="shared" si="11"/>
        <v>0.24099814981735376</v>
      </c>
      <c r="F72" s="87">
        <v>1.17</v>
      </c>
      <c r="G72" s="90">
        <f>F72/(1+(1-Inputs!$K$4)*E72)</f>
        <v>0.98088652905381213</v>
      </c>
      <c r="H72" s="63"/>
      <c r="I72" s="63"/>
      <c r="J72" s="63"/>
      <c r="K72" s="63"/>
    </row>
    <row r="73" spans="1:13">
      <c r="A73" s="42" t="s">
        <v>95</v>
      </c>
      <c r="B73" s="87">
        <v>26285</v>
      </c>
      <c r="C73" s="87">
        <v>8335</v>
      </c>
      <c r="D73" s="91">
        <f t="shared" si="10"/>
        <v>0.24075678798382438</v>
      </c>
      <c r="E73" s="91">
        <f t="shared" si="11"/>
        <v>0.3171010081795701</v>
      </c>
      <c r="F73" s="87">
        <v>0.97</v>
      </c>
      <c r="G73" s="90">
        <f>F73/(1+(1-Inputs!$K$4)*E73)</f>
        <v>0.7737216641883895</v>
      </c>
      <c r="H73" s="63"/>
      <c r="I73" s="63"/>
      <c r="J73" s="63"/>
      <c r="K73" s="63"/>
    </row>
    <row r="74" spans="1:13">
      <c r="A74" s="42" t="s">
        <v>91</v>
      </c>
      <c r="B74" s="87">
        <v>7360</v>
      </c>
      <c r="C74" s="87">
        <v>3268</v>
      </c>
      <c r="D74" s="91">
        <f t="shared" si="10"/>
        <v>0.30748964998118178</v>
      </c>
      <c r="E74" s="91">
        <f t="shared" si="11"/>
        <v>0.4440217391304348</v>
      </c>
      <c r="F74" s="87">
        <v>1.1299999999999999</v>
      </c>
      <c r="G74" s="90">
        <f>F74/(1+(1-Inputs!$K$4)*E74)</f>
        <v>0.83381456528713493</v>
      </c>
      <c r="H74" s="63"/>
      <c r="I74" s="63"/>
      <c r="J74" s="63"/>
      <c r="K74" s="63"/>
    </row>
    <row r="75" spans="1:13">
      <c r="A75" s="28" t="s">
        <v>92</v>
      </c>
      <c r="B75" s="92">
        <f>AVERAGE(B70:B74)</f>
        <v>72538.2</v>
      </c>
      <c r="C75" s="92">
        <f>AVERAGE(C70:C74)</f>
        <v>33032.800000000003</v>
      </c>
      <c r="D75" s="93">
        <f>AVERAGE(D70:D74)</f>
        <v>0.28121375799307458</v>
      </c>
      <c r="E75" s="93">
        <f>AVERAGE(E70:E74)</f>
        <v>0.40086325636096609</v>
      </c>
      <c r="F75" s="94">
        <f t="shared" ref="F75:G75" si="12">AVERAGE(F70:F74)</f>
        <v>1.004</v>
      </c>
      <c r="G75" s="94">
        <f t="shared" si="12"/>
        <v>0.76828256726338418</v>
      </c>
      <c r="H75" s="63"/>
      <c r="I75" s="63"/>
      <c r="J75" s="63"/>
      <c r="K75" s="63"/>
    </row>
    <row r="76" spans="1:13">
      <c r="B76" s="42"/>
      <c r="C76" s="42"/>
      <c r="D76" s="42"/>
      <c r="E76" s="42"/>
      <c r="H76" s="41"/>
      <c r="I76" s="42"/>
      <c r="J76" s="41"/>
      <c r="K76" s="41"/>
    </row>
    <row r="77" spans="1:13">
      <c r="B77" s="42"/>
      <c r="C77" s="42"/>
      <c r="D77" s="42"/>
      <c r="E77" s="42"/>
      <c r="H77" s="41"/>
      <c r="I77" s="42"/>
      <c r="J77" s="41"/>
      <c r="K77" s="41"/>
    </row>
    <row r="78" spans="1:13">
      <c r="A78" s="42"/>
      <c r="B78" s="42"/>
      <c r="C78" s="42"/>
      <c r="H78" s="41"/>
      <c r="I78" s="42"/>
      <c r="J78" s="41"/>
      <c r="K78" s="41"/>
    </row>
    <row r="79" spans="1:13" ht="18">
      <c r="A79" s="36" t="s">
        <v>102</v>
      </c>
      <c r="B79" s="36" t="s">
        <v>103</v>
      </c>
      <c r="C79" s="36" t="s">
        <v>93</v>
      </c>
      <c r="D79" s="36" t="s">
        <v>94</v>
      </c>
      <c r="E79" s="36" t="s">
        <v>96</v>
      </c>
      <c r="F79" s="36" t="s">
        <v>104</v>
      </c>
      <c r="G79" s="36" t="s">
        <v>105</v>
      </c>
      <c r="H79" s="41"/>
      <c r="I79" s="42"/>
      <c r="J79" s="41"/>
      <c r="K79" s="41"/>
    </row>
    <row r="80" spans="1:13">
      <c r="A80" s="86">
        <v>0</v>
      </c>
      <c r="B80" s="86">
        <f>A80</f>
        <v>0</v>
      </c>
      <c r="C80" s="90">
        <f>G75</f>
        <v>0.76828256726338418</v>
      </c>
      <c r="D80" s="90">
        <f>C80/(1-A80)</f>
        <v>0.76828256726338418</v>
      </c>
      <c r="E80" s="86">
        <f>Inputs!K8+Сalculations!D80*Inputs!K10</f>
        <v>8.0914128363169219E-2</v>
      </c>
      <c r="F80" s="86">
        <f>Inputs!K6</f>
        <v>5.5E-2</v>
      </c>
      <c r="G80" s="86">
        <f>E80*(1-A80)+F80*A80*(1-Inputs!K4)</f>
        <v>8.0914128363169219E-2</v>
      </c>
      <c r="H80" s="42"/>
      <c r="I80" s="42"/>
      <c r="J80"/>
      <c r="K80"/>
    </row>
    <row r="81" spans="1:13">
      <c r="A81" s="86">
        <v>0.28100000000000003</v>
      </c>
      <c r="B81" s="91">
        <f>A81/(1-A81)</f>
        <v>0.39082058414464538</v>
      </c>
      <c r="C81" s="90">
        <f>G75</f>
        <v>0.76828256726338418</v>
      </c>
      <c r="D81" s="90">
        <f>C81/(1/(1-A81))</f>
        <v>0.55239516586237314</v>
      </c>
      <c r="E81" s="86">
        <f>Inputs!K8+D81*Inputs!K10</f>
        <v>7.0119758293118659E-2</v>
      </c>
      <c r="F81" s="86">
        <f>Inputs!K6</f>
        <v>5.5E-2</v>
      </c>
      <c r="G81" s="86">
        <f>E81*(1-A81)+F81*A81*(1-Inputs!K4)</f>
        <v>6.2780106212752318E-2</v>
      </c>
      <c r="H81" s="42"/>
      <c r="I81" s="42"/>
      <c r="J81"/>
      <c r="K81"/>
    </row>
    <row r="82" spans="1:13">
      <c r="A82" s="63"/>
      <c r="B82" s="63"/>
      <c r="C82" s="63"/>
      <c r="D82" s="63"/>
      <c r="E82" s="63"/>
      <c r="F82" s="63"/>
      <c r="G82" s="63"/>
    </row>
    <row r="83" spans="1:13">
      <c r="A83" s="63"/>
      <c r="B83" s="63"/>
      <c r="C83" s="63"/>
      <c r="D83" s="63"/>
      <c r="E83" s="40"/>
      <c r="F83" s="63"/>
      <c r="G83" s="63"/>
    </row>
    <row r="84" spans="1:13">
      <c r="A84" s="63"/>
      <c r="B84" s="63"/>
      <c r="C84" s="63"/>
      <c r="D84" s="63"/>
      <c r="E84" s="63"/>
      <c r="F84" s="63"/>
      <c r="G84" s="40"/>
    </row>
    <row r="85" spans="1:13" ht="22.5">
      <c r="A85" s="63" t="s">
        <v>151</v>
      </c>
      <c r="B85" s="38" t="s">
        <v>152</v>
      </c>
      <c r="C85" s="63"/>
      <c r="D85" s="63"/>
      <c r="E85" s="63"/>
      <c r="F85" s="63"/>
      <c r="G85" s="63"/>
    </row>
    <row r="86" spans="1:13">
      <c r="A86" s="63"/>
      <c r="C86" s="63"/>
      <c r="D86" s="63"/>
      <c r="E86" s="63"/>
      <c r="F86" s="63"/>
      <c r="G86" s="63"/>
      <c r="H86" s="40"/>
    </row>
    <row r="87" spans="1:13">
      <c r="A87" s="63"/>
      <c r="B87" s="63"/>
      <c r="C87" s="63"/>
      <c r="D87" s="63"/>
      <c r="E87" s="63"/>
      <c r="F87" s="63"/>
      <c r="G87" s="63"/>
    </row>
    <row r="88" spans="1:13">
      <c r="A88" s="63"/>
      <c r="B88" s="63"/>
      <c r="C88" s="63"/>
      <c r="D88" s="63"/>
      <c r="E88" s="63"/>
      <c r="F88" s="63"/>
      <c r="G88" s="63"/>
    </row>
    <row r="89" spans="1:13" s="41" customFormat="1">
      <c r="A89" s="63"/>
      <c r="B89" s="63"/>
      <c r="C89" s="63"/>
      <c r="D89" s="63"/>
      <c r="E89" s="63"/>
      <c r="F89" s="63"/>
      <c r="G89" s="63"/>
      <c r="J89" s="42"/>
      <c r="K89" s="42"/>
      <c r="L89" s="42"/>
      <c r="M89" s="42"/>
    </row>
    <row r="90" spans="1:13" s="41" customFormat="1" ht="18">
      <c r="A90" s="27"/>
      <c r="B90" s="6">
        <v>2008</v>
      </c>
      <c r="C90" s="6">
        <v>2009</v>
      </c>
      <c r="D90" s="6">
        <v>2010</v>
      </c>
      <c r="E90" s="6">
        <v>2011</v>
      </c>
      <c r="F90" s="6">
        <v>2012</v>
      </c>
      <c r="G90" s="63"/>
      <c r="J90" s="42"/>
      <c r="K90" s="42"/>
      <c r="L90" s="42"/>
      <c r="M90" s="42"/>
    </row>
    <row r="91" spans="1:13" s="41" customFormat="1">
      <c r="A91" s="28" t="s">
        <v>147</v>
      </c>
      <c r="B91" s="83">
        <f>B51</f>
        <v>430.25120892325617</v>
      </c>
      <c r="C91" s="83">
        <f t="shared" ref="C91:F91" si="13">C51</f>
        <v>490.46967812436549</v>
      </c>
      <c r="D91" s="83">
        <f t="shared" si="13"/>
        <v>508.29200912890099</v>
      </c>
      <c r="E91" s="83">
        <f t="shared" si="13"/>
        <v>547.84966266452443</v>
      </c>
      <c r="F91" s="83">
        <f t="shared" si="13"/>
        <v>580.53106947621654</v>
      </c>
      <c r="G91" s="63"/>
      <c r="J91" s="42"/>
      <c r="K91" s="42"/>
      <c r="L91" s="42"/>
      <c r="M91" s="42"/>
    </row>
    <row r="92" spans="1:13">
      <c r="A92" s="63" t="s">
        <v>153</v>
      </c>
      <c r="B92" s="86">
        <f>G80</f>
        <v>8.0914128363169219E-2</v>
      </c>
      <c r="C92" s="86">
        <f>G80</f>
        <v>8.0914128363169219E-2</v>
      </c>
      <c r="D92" s="86">
        <f>G80</f>
        <v>8.0914128363169219E-2</v>
      </c>
      <c r="E92" s="86">
        <f>G80</f>
        <v>8.0914128363169219E-2</v>
      </c>
      <c r="F92" s="86">
        <f>G80</f>
        <v>8.0914128363169219E-2</v>
      </c>
      <c r="G92" s="63"/>
    </row>
    <row r="93" spans="1:13">
      <c r="A93" s="63" t="s">
        <v>154</v>
      </c>
      <c r="B93" s="82">
        <f>B91/(1+B92)^1</f>
        <v>398.04383866717205</v>
      </c>
      <c r="C93" s="82">
        <f>C91/(1+C92)^2</f>
        <v>419.78776504402788</v>
      </c>
      <c r="D93" s="82">
        <f>D91/(1+D92)^3</f>
        <v>402.47573475255393</v>
      </c>
      <c r="E93" s="82">
        <f>E91/(1+E92)^4</f>
        <v>401.32537930121566</v>
      </c>
      <c r="F93" s="82">
        <f>F91/(1+F92)^5</f>
        <v>393.43183689758473</v>
      </c>
      <c r="G93" s="63"/>
    </row>
    <row r="94" spans="1:13">
      <c r="A94" s="63"/>
      <c r="B94" s="63"/>
      <c r="C94" s="63"/>
      <c r="D94" s="63"/>
      <c r="E94" s="63"/>
      <c r="F94" s="63"/>
      <c r="G94" s="63"/>
    </row>
    <row r="95" spans="1:13">
      <c r="A95" s="63"/>
      <c r="B95" s="63"/>
      <c r="C95" s="63"/>
      <c r="D95" s="63"/>
      <c r="E95" s="63"/>
      <c r="F95" s="63"/>
      <c r="G95" s="63"/>
    </row>
    <row r="96" spans="1:13">
      <c r="A96" s="63"/>
      <c r="B96" s="39" t="s">
        <v>155</v>
      </c>
      <c r="C96" s="34">
        <f>SUM(B93:F93)</f>
        <v>2015.0645546625542</v>
      </c>
      <c r="D96" s="63"/>
      <c r="E96" s="63"/>
      <c r="F96" s="63"/>
      <c r="G96" s="63"/>
    </row>
    <row r="97" spans="1:13">
      <c r="A97" s="63"/>
      <c r="B97" s="63"/>
      <c r="C97" s="63"/>
      <c r="D97" s="63"/>
      <c r="E97" s="63"/>
      <c r="F97" s="63"/>
      <c r="G97" s="63"/>
    </row>
    <row r="98" spans="1:13">
      <c r="A98" s="63"/>
      <c r="D98" s="63"/>
      <c r="E98" s="63"/>
      <c r="F98" s="63"/>
      <c r="G98" s="63"/>
    </row>
    <row r="99" spans="1:13">
      <c r="A99" s="63"/>
      <c r="D99" s="63"/>
      <c r="E99" s="63"/>
      <c r="F99" s="63"/>
      <c r="G99" s="63"/>
    </row>
    <row r="100" spans="1:13" s="41" customFormat="1" ht="22.5">
      <c r="A100" s="63" t="s">
        <v>156</v>
      </c>
      <c r="B100" s="38" t="s">
        <v>157</v>
      </c>
      <c r="C100" s="63"/>
      <c r="D100" s="63"/>
      <c r="E100" s="63"/>
      <c r="F100" s="63"/>
      <c r="G100" s="63"/>
      <c r="J100" s="42"/>
      <c r="K100" s="42"/>
      <c r="L100" s="42"/>
      <c r="M100" s="42"/>
    </row>
    <row r="101" spans="1:13" s="41" customFormat="1">
      <c r="A101" s="63"/>
      <c r="B101" s="63"/>
      <c r="C101" s="63"/>
      <c r="D101" s="63"/>
      <c r="E101" s="63"/>
      <c r="F101" s="63"/>
      <c r="G101" s="63"/>
      <c r="J101" s="42"/>
      <c r="K101" s="42"/>
      <c r="L101" s="42"/>
      <c r="M101" s="42"/>
    </row>
    <row r="102" spans="1:13" s="63" customFormat="1">
      <c r="B102"/>
    </row>
    <row r="103" spans="1:13" s="63" customFormat="1"/>
    <row r="104" spans="1:13" s="63" customFormat="1"/>
    <row r="105" spans="1:13" s="63" customFormat="1" ht="18">
      <c r="A105" s="27"/>
      <c r="B105" s="36">
        <v>2008</v>
      </c>
      <c r="C105" s="6">
        <v>2009</v>
      </c>
      <c r="D105" s="6">
        <v>2010</v>
      </c>
      <c r="E105" s="6">
        <v>2011</v>
      </c>
      <c r="F105" s="6">
        <v>2012</v>
      </c>
    </row>
    <row r="106" spans="1:13" s="63" customFormat="1">
      <c r="A106" s="63" t="s">
        <v>158</v>
      </c>
      <c r="B106" s="59">
        <v>199</v>
      </c>
      <c r="C106" s="59">
        <v>184</v>
      </c>
      <c r="D106" s="59">
        <v>165</v>
      </c>
      <c r="E106" s="59">
        <v>148</v>
      </c>
      <c r="F106" s="59">
        <v>127</v>
      </c>
    </row>
    <row r="107" spans="1:13" s="63" customFormat="1">
      <c r="A107" s="63" t="s">
        <v>55</v>
      </c>
      <c r="B107" s="88">
        <f>Inputs!$K$4</f>
        <v>0.2</v>
      </c>
      <c r="C107" s="88">
        <f>Inputs!$K$4</f>
        <v>0.2</v>
      </c>
      <c r="D107" s="88">
        <f>Inputs!$K$4</f>
        <v>0.2</v>
      </c>
      <c r="E107" s="88">
        <f>Inputs!$K$4</f>
        <v>0.2</v>
      </c>
      <c r="F107" s="88">
        <f>Inputs!$K$4</f>
        <v>0.2</v>
      </c>
    </row>
    <row r="108" spans="1:13" s="63" customFormat="1">
      <c r="A108" s="63" t="s">
        <v>159</v>
      </c>
      <c r="B108" s="58">
        <f>(B106)*B107</f>
        <v>39.800000000000004</v>
      </c>
      <c r="C108" s="58">
        <f t="shared" ref="C108:F108" si="14">(C106)*C107</f>
        <v>36.800000000000004</v>
      </c>
      <c r="D108" s="58">
        <f t="shared" si="14"/>
        <v>33</v>
      </c>
      <c r="E108" s="58">
        <f t="shared" si="14"/>
        <v>29.6</v>
      </c>
      <c r="F108" s="58">
        <f t="shared" si="14"/>
        <v>25.400000000000002</v>
      </c>
    </row>
    <row r="109" spans="1:13" s="63" customFormat="1">
      <c r="A109" s="89" t="s">
        <v>204</v>
      </c>
      <c r="B109" s="88">
        <f>Inputs!$K$6</f>
        <v>5.5E-2</v>
      </c>
      <c r="C109" s="88">
        <f>Inputs!$K$6</f>
        <v>5.5E-2</v>
      </c>
      <c r="D109" s="88">
        <f>Inputs!$K$6</f>
        <v>5.5E-2</v>
      </c>
      <c r="E109" s="88">
        <f>Inputs!$K$6</f>
        <v>5.5E-2</v>
      </c>
      <c r="F109" s="88">
        <f>Inputs!$K$6</f>
        <v>5.5E-2</v>
      </c>
    </row>
    <row r="110" spans="1:13" s="63" customFormat="1">
      <c r="A110" s="63" t="s">
        <v>81</v>
      </c>
      <c r="B110" s="58">
        <f>B108/(1+B109)^1</f>
        <v>37.725118483412331</v>
      </c>
      <c r="C110" s="58">
        <f>C108/(1+C109)^2</f>
        <v>33.063048898272733</v>
      </c>
      <c r="D110" s="58">
        <f>D108/(1+D109)^3</f>
        <v>28.103250918066149</v>
      </c>
      <c r="E110" s="58">
        <f>E108/(1+E109)^4</f>
        <v>23.893615601745168</v>
      </c>
      <c r="F110" s="58">
        <f>F108/(1+F109)^5</f>
        <v>19.434412587560118</v>
      </c>
    </row>
    <row r="111" spans="1:13" s="63" customFormat="1"/>
    <row r="112" spans="1:13" s="63" customFormat="1"/>
    <row r="113" spans="1:6" s="63" customFormat="1"/>
    <row r="114" spans="1:6" s="63" customFormat="1">
      <c r="B114" s="39" t="s">
        <v>160</v>
      </c>
      <c r="C114" s="34">
        <f>SUM(B110:F110)</f>
        <v>142.21944648905651</v>
      </c>
    </row>
    <row r="115" spans="1:6" s="63" customFormat="1"/>
    <row r="116" spans="1:6" s="63" customFormat="1"/>
    <row r="117" spans="1:6" s="63" customFormat="1"/>
    <row r="118" spans="1:6" s="63" customFormat="1" ht="22.5">
      <c r="A118" s="63" t="s">
        <v>161</v>
      </c>
      <c r="B118" s="38" t="s">
        <v>162</v>
      </c>
    </row>
    <row r="119" spans="1:6" s="63" customFormat="1" ht="18">
      <c r="A119" s="27"/>
      <c r="B119" s="36">
        <v>2008</v>
      </c>
      <c r="C119" s="6">
        <v>2009</v>
      </c>
      <c r="D119" s="6">
        <v>2010</v>
      </c>
      <c r="E119" s="6">
        <v>2011</v>
      </c>
      <c r="F119" s="6">
        <v>2012</v>
      </c>
    </row>
    <row r="120" spans="1:6" s="63" customFormat="1">
      <c r="A120" s="28" t="s">
        <v>147</v>
      </c>
      <c r="B120" s="83">
        <f>B51</f>
        <v>430.25120892325617</v>
      </c>
      <c r="C120" s="83">
        <f t="shared" ref="C120:F120" si="15">C51</f>
        <v>490.46967812436549</v>
      </c>
      <c r="D120" s="83">
        <f t="shared" si="15"/>
        <v>508.29200912890099</v>
      </c>
      <c r="E120" s="83">
        <f t="shared" si="15"/>
        <v>547.84966266452443</v>
      </c>
      <c r="F120" s="83">
        <f t="shared" si="15"/>
        <v>580.53106947621654</v>
      </c>
    </row>
    <row r="121" spans="1:6" s="63" customFormat="1">
      <c r="A121" s="63" t="s">
        <v>163</v>
      </c>
      <c r="B121" s="82">
        <f>Inputs!E100*(1-Inputs!$K$4)</f>
        <v>159.20000000000002</v>
      </c>
      <c r="C121" s="82">
        <f>Inputs!F100*(1-Inputs!$K$4)</f>
        <v>147.20000000000002</v>
      </c>
      <c r="D121" s="82">
        <f>Inputs!G100*(1-Inputs!$K$4)</f>
        <v>132</v>
      </c>
      <c r="E121" s="82">
        <f>Inputs!H100*(1-Inputs!$K$4)</f>
        <v>118.4</v>
      </c>
      <c r="F121" s="82">
        <f>Inputs!I100*(1-Inputs!$K$4)</f>
        <v>101.60000000000001</v>
      </c>
    </row>
    <row r="122" spans="1:6" s="63" customFormat="1">
      <c r="A122" s="63" t="s">
        <v>164</v>
      </c>
      <c r="B122" s="82">
        <f>Inputs!E101</f>
        <v>293</v>
      </c>
      <c r="C122" s="82">
        <f>Inputs!F101</f>
        <v>308</v>
      </c>
      <c r="D122" s="82">
        <f>Inputs!G101</f>
        <v>327</v>
      </c>
      <c r="E122" s="82">
        <f>Inputs!H101</f>
        <v>344</v>
      </c>
      <c r="F122" s="82">
        <f>Inputs!I101</f>
        <v>2500</v>
      </c>
    </row>
    <row r="123" spans="1:6" s="63" customFormat="1">
      <c r="A123" s="28" t="s">
        <v>165</v>
      </c>
      <c r="B123" s="83">
        <f>B120-B121-B122</f>
        <v>-21.948791076743873</v>
      </c>
      <c r="C123" s="83">
        <f t="shared" ref="C123:F123" si="16">C120-C121-C122</f>
        <v>35.269678124365441</v>
      </c>
      <c r="D123" s="83">
        <f t="shared" si="16"/>
        <v>49.292009128900986</v>
      </c>
      <c r="E123" s="83">
        <f t="shared" si="16"/>
        <v>85.449662664524453</v>
      </c>
      <c r="F123" s="83">
        <f t="shared" si="16"/>
        <v>-2021.0689305237834</v>
      </c>
    </row>
    <row r="124" spans="1:6" s="63" customFormat="1">
      <c r="A124" s="28" t="s">
        <v>166</v>
      </c>
      <c r="B124" s="83">
        <f>Inputs!G34+Сalculations!B120-Сalculations!B121-Сalculations!B122</f>
        <v>182.55120892325613</v>
      </c>
      <c r="C124" s="83">
        <f>B124+C120-C121-C122</f>
        <v>217.82088704762157</v>
      </c>
      <c r="D124" s="83">
        <f>C124+D120-D121-D122</f>
        <v>267.11289617652255</v>
      </c>
      <c r="E124" s="83">
        <f>D124+E120-E121-E122</f>
        <v>352.56255884104701</v>
      </c>
      <c r="F124" s="83">
        <f t="shared" ref="F124" si="17">E124+F120-F121-F122</f>
        <v>-1668.5063716827365</v>
      </c>
    </row>
    <row r="125" spans="1:6" s="63" customFormat="1"/>
    <row r="126" spans="1:6" s="63" customFormat="1"/>
    <row r="127" spans="1:6" s="63" customFormat="1"/>
    <row r="128" spans="1:6" s="63" customFormat="1" ht="22.5">
      <c r="A128" s="63" t="s">
        <v>167</v>
      </c>
      <c r="B128" s="38" t="s">
        <v>168</v>
      </c>
    </row>
    <row r="129" spans="1:7" s="63" customFormat="1" ht="18">
      <c r="A129" s="27"/>
      <c r="B129" s="6">
        <v>2007</v>
      </c>
      <c r="C129" s="6">
        <v>2008</v>
      </c>
      <c r="D129" s="6">
        <v>2009</v>
      </c>
      <c r="E129" s="6">
        <v>2010</v>
      </c>
      <c r="F129" s="6">
        <v>2011</v>
      </c>
      <c r="G129" s="6">
        <v>2012</v>
      </c>
    </row>
    <row r="130" spans="1:7" s="63" customFormat="1">
      <c r="A130" s="63" t="s">
        <v>123</v>
      </c>
      <c r="B130" s="44">
        <v>3679.2</v>
      </c>
      <c r="C130" s="44">
        <v>4194.3</v>
      </c>
      <c r="D130" s="44">
        <v>4781.5</v>
      </c>
      <c r="E130" s="44">
        <v>5379.2</v>
      </c>
      <c r="F130" s="44">
        <v>5917.1</v>
      </c>
      <c r="G130" s="44">
        <v>6331.3</v>
      </c>
    </row>
    <row r="131" spans="1:7" s="63" customFormat="1">
      <c r="A131" s="63" t="s">
        <v>169</v>
      </c>
      <c r="B131" s="44">
        <v>267</v>
      </c>
      <c r="C131" s="44">
        <v>304.39999999999998</v>
      </c>
      <c r="D131" s="44">
        <v>347</v>
      </c>
      <c r="E131" s="44">
        <v>390.4</v>
      </c>
      <c r="F131" s="44">
        <v>429.4</v>
      </c>
      <c r="G131" s="44">
        <v>459.5</v>
      </c>
    </row>
    <row r="132" spans="1:7" s="63" customFormat="1">
      <c r="A132" s="28" t="s">
        <v>138</v>
      </c>
      <c r="B132" s="69">
        <v>3946.3</v>
      </c>
      <c r="C132" s="69">
        <v>4498.7</v>
      </c>
      <c r="D132" s="69">
        <v>5128.5</v>
      </c>
      <c r="E132" s="69">
        <v>5769.5</v>
      </c>
      <c r="F132" s="69">
        <v>6346.5</v>
      </c>
      <c r="G132" s="69">
        <v>6790.8</v>
      </c>
    </row>
    <row r="133" spans="1:7" s="63" customFormat="1">
      <c r="A133" s="63" t="s">
        <v>170</v>
      </c>
      <c r="B133" s="44">
        <v>717.1</v>
      </c>
      <c r="C133" s="44">
        <v>817.5</v>
      </c>
      <c r="D133" s="44">
        <v>931.9</v>
      </c>
      <c r="E133" s="44">
        <v>1048.4000000000001</v>
      </c>
      <c r="F133" s="44">
        <v>1153.3</v>
      </c>
      <c r="G133" s="44">
        <v>1234</v>
      </c>
    </row>
    <row r="134" spans="1:7" s="63" customFormat="1">
      <c r="A134" s="63" t="s">
        <v>140</v>
      </c>
      <c r="B134" s="44">
        <v>640.20000000000005</v>
      </c>
      <c r="C134" s="44">
        <v>729.8</v>
      </c>
      <c r="D134" s="44">
        <v>832</v>
      </c>
      <c r="E134" s="44">
        <v>936</v>
      </c>
      <c r="F134" s="44">
        <v>1029.5999999999999</v>
      </c>
      <c r="G134" s="44">
        <v>1101.7</v>
      </c>
    </row>
    <row r="135" spans="1:7" s="63" customFormat="1">
      <c r="A135" s="63" t="s">
        <v>171</v>
      </c>
      <c r="B135" s="44">
        <v>1555.6</v>
      </c>
      <c r="C135" s="44">
        <v>1773.3</v>
      </c>
      <c r="D135" s="44">
        <v>2021.6</v>
      </c>
      <c r="E135" s="44">
        <v>2274.3000000000002</v>
      </c>
      <c r="F135" s="44">
        <v>2501.6999999999998</v>
      </c>
      <c r="G135" s="44">
        <v>2676.9</v>
      </c>
    </row>
    <row r="136" spans="1:7" s="63" customFormat="1">
      <c r="A136" s="28" t="s">
        <v>69</v>
      </c>
      <c r="B136" s="70">
        <v>1033.4000000000001</v>
      </c>
      <c r="C136" s="70">
        <v>1178</v>
      </c>
      <c r="D136" s="70">
        <v>1342.9</v>
      </c>
      <c r="E136" s="70">
        <v>1510.8</v>
      </c>
      <c r="F136" s="70">
        <v>1661.9</v>
      </c>
      <c r="G136" s="70">
        <v>1778.2</v>
      </c>
    </row>
    <row r="137" spans="1:7" s="63" customFormat="1">
      <c r="A137" s="63" t="s">
        <v>172</v>
      </c>
      <c r="B137" s="44">
        <v>582.29999999999995</v>
      </c>
      <c r="C137" s="44">
        <v>663.8</v>
      </c>
      <c r="D137" s="44">
        <v>756.8</v>
      </c>
      <c r="E137" s="44">
        <v>912.2</v>
      </c>
      <c r="F137" s="44">
        <v>1023.4</v>
      </c>
      <c r="G137" s="44">
        <v>1109.4000000000001</v>
      </c>
    </row>
    <row r="138" spans="1:7" s="63" customFormat="1">
      <c r="A138" s="28" t="s">
        <v>70</v>
      </c>
      <c r="B138" s="71">
        <v>451.1</v>
      </c>
      <c r="C138" s="71">
        <v>514.20000000000005</v>
      </c>
      <c r="D138" s="71">
        <v>586.20000000000005</v>
      </c>
      <c r="E138" s="71">
        <v>598.6</v>
      </c>
      <c r="F138" s="71">
        <v>638.4</v>
      </c>
      <c r="G138" s="71">
        <v>668.8</v>
      </c>
    </row>
    <row r="139" spans="1:7" s="63" customFormat="1">
      <c r="A139" s="63" t="s">
        <v>173</v>
      </c>
      <c r="B139" s="44">
        <v>84.7</v>
      </c>
      <c r="C139" s="44">
        <f>B106</f>
        <v>199</v>
      </c>
      <c r="D139" s="44">
        <f t="shared" ref="D139:G139" si="18">C106</f>
        <v>184</v>
      </c>
      <c r="E139" s="44">
        <f t="shared" si="18"/>
        <v>165</v>
      </c>
      <c r="F139" s="44">
        <f t="shared" si="18"/>
        <v>148</v>
      </c>
      <c r="G139" s="44">
        <f t="shared" si="18"/>
        <v>127</v>
      </c>
    </row>
    <row r="140" spans="1:7" s="63" customFormat="1">
      <c r="A140" s="63" t="s">
        <v>174</v>
      </c>
      <c r="B140" s="44">
        <v>90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</row>
    <row r="141" spans="1:7" s="63" customFormat="1">
      <c r="A141" s="63" t="s">
        <v>175</v>
      </c>
      <c r="B141" s="44">
        <v>83.1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</row>
    <row r="142" spans="1:7" s="63" customFormat="1">
      <c r="A142" s="63" t="s">
        <v>176</v>
      </c>
      <c r="B142" s="44">
        <v>7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</row>
    <row r="143" spans="1:7" s="63" customFormat="1">
      <c r="A143" s="28" t="s">
        <v>75</v>
      </c>
      <c r="B143" s="71">
        <v>546.5</v>
      </c>
      <c r="C143" s="71">
        <f>C138-C139</f>
        <v>315.20000000000005</v>
      </c>
      <c r="D143" s="71">
        <f t="shared" ref="D143:G143" si="19">D138-D139</f>
        <v>402.20000000000005</v>
      </c>
      <c r="E143" s="71">
        <f t="shared" si="19"/>
        <v>433.6</v>
      </c>
      <c r="F143" s="71">
        <f t="shared" si="19"/>
        <v>490.4</v>
      </c>
      <c r="G143" s="71">
        <f t="shared" si="19"/>
        <v>541.79999999999995</v>
      </c>
    </row>
    <row r="144" spans="1:7" s="63" customFormat="1">
      <c r="A144" s="63" t="s">
        <v>177</v>
      </c>
      <c r="B144" s="44">
        <v>109.3</v>
      </c>
      <c r="C144" s="44">
        <f>C143*Inputs!$K$4</f>
        <v>63.040000000000013</v>
      </c>
      <c r="D144" s="44">
        <f>D143*Inputs!$K$4</f>
        <v>80.440000000000012</v>
      </c>
      <c r="E144" s="44">
        <f>E143*Inputs!$K$4</f>
        <v>86.720000000000013</v>
      </c>
      <c r="F144" s="44">
        <f>F143*Inputs!$K$4</f>
        <v>98.08</v>
      </c>
      <c r="G144" s="44">
        <f>G143*Inputs!$K$4</f>
        <v>108.36</v>
      </c>
    </row>
    <row r="145" spans="1:8" s="63" customFormat="1">
      <c r="A145" s="28" t="s">
        <v>178</v>
      </c>
      <c r="B145" s="71">
        <v>437.2</v>
      </c>
      <c r="C145" s="71">
        <f>C143-C144</f>
        <v>252.16000000000003</v>
      </c>
      <c r="D145" s="71">
        <f t="shared" ref="D145:G145" si="20">D143-D144</f>
        <v>321.76000000000005</v>
      </c>
      <c r="E145" s="71">
        <f t="shared" si="20"/>
        <v>346.88</v>
      </c>
      <c r="F145" s="71">
        <f t="shared" si="20"/>
        <v>392.32</v>
      </c>
      <c r="G145" s="71">
        <f t="shared" si="20"/>
        <v>433.43999999999994</v>
      </c>
    </row>
    <row r="146" spans="1:8" s="63" customFormat="1"/>
    <row r="147" spans="1:8" s="63" customFormat="1"/>
    <row r="148" spans="1:8">
      <c r="A148" s="63"/>
      <c r="B148" s="63"/>
      <c r="C148" s="63"/>
      <c r="D148" s="63"/>
      <c r="E148" s="63"/>
      <c r="F148" s="63"/>
      <c r="G148" s="63"/>
    </row>
    <row r="149" spans="1:8" ht="22.5">
      <c r="A149" s="63" t="s">
        <v>179</v>
      </c>
      <c r="B149" s="38" t="s">
        <v>180</v>
      </c>
      <c r="C149" s="63"/>
      <c r="D149" s="63"/>
      <c r="E149" s="63"/>
      <c r="F149" s="63"/>
      <c r="G149" s="63"/>
    </row>
    <row r="150" spans="1:8" ht="18">
      <c r="A150" s="9" t="s">
        <v>12</v>
      </c>
      <c r="B150" s="9"/>
      <c r="C150" s="6">
        <v>2007</v>
      </c>
      <c r="D150" s="6">
        <v>2008</v>
      </c>
      <c r="E150" s="6">
        <v>2009</v>
      </c>
      <c r="F150" s="6">
        <v>2010</v>
      </c>
      <c r="G150" s="6">
        <v>2011</v>
      </c>
      <c r="H150" s="6">
        <v>2012</v>
      </c>
    </row>
    <row r="151" spans="1:8" s="63" customFormat="1">
      <c r="A151" s="10" t="s">
        <v>13</v>
      </c>
      <c r="B151" s="11"/>
      <c r="C151" s="18"/>
      <c r="D151" s="18"/>
      <c r="E151" s="18"/>
      <c r="F151" s="18"/>
      <c r="G151" s="18"/>
      <c r="H151" s="18"/>
    </row>
    <row r="152" spans="1:8" s="63" customFormat="1">
      <c r="A152" s="8"/>
      <c r="B152" s="12" t="s">
        <v>14</v>
      </c>
      <c r="C152" s="47">
        <v>204.5</v>
      </c>
      <c r="D152" s="47">
        <v>181.6</v>
      </c>
      <c r="E152" s="47">
        <v>215.8</v>
      </c>
      <c r="F152" s="47">
        <v>263.8</v>
      </c>
      <c r="G152" s="47">
        <v>347.8</v>
      </c>
      <c r="H152" s="47">
        <v>-1674.8</v>
      </c>
    </row>
    <row r="153" spans="1:8" s="63" customFormat="1">
      <c r="A153" s="8"/>
      <c r="B153" s="12" t="s">
        <v>33</v>
      </c>
      <c r="C153" s="47">
        <v>16.399999999999999</v>
      </c>
      <c r="D153" s="47">
        <f>$C$153</f>
        <v>16.399999999999999</v>
      </c>
      <c r="E153" s="47">
        <f t="shared" ref="E153:H153" si="21">$C$153</f>
        <v>16.399999999999999</v>
      </c>
      <c r="F153" s="47">
        <f t="shared" si="21"/>
        <v>16.399999999999999</v>
      </c>
      <c r="G153" s="47">
        <f t="shared" si="21"/>
        <v>16.399999999999999</v>
      </c>
      <c r="H153" s="47">
        <f t="shared" si="21"/>
        <v>16.399999999999999</v>
      </c>
    </row>
    <row r="154" spans="1:8" s="63" customFormat="1">
      <c r="A154" s="8"/>
      <c r="B154" s="12" t="s">
        <v>15</v>
      </c>
      <c r="C154" s="47">
        <v>435.5</v>
      </c>
      <c r="D154" s="47">
        <v>496.5</v>
      </c>
      <c r="E154" s="47">
        <v>566</v>
      </c>
      <c r="F154" s="47">
        <v>636.70000000000005</v>
      </c>
      <c r="G154" s="47">
        <v>700.4</v>
      </c>
      <c r="H154" s="47">
        <v>749.4</v>
      </c>
    </row>
    <row r="155" spans="1:8" s="63" customFormat="1">
      <c r="A155" s="8"/>
      <c r="B155" s="12" t="s">
        <v>16</v>
      </c>
      <c r="C155" s="47">
        <v>101</v>
      </c>
      <c r="D155" s="47">
        <v>115.1</v>
      </c>
      <c r="E155" s="47">
        <v>131.30000000000001</v>
      </c>
      <c r="F155" s="47">
        <v>147.69999999999999</v>
      </c>
      <c r="G155" s="47">
        <v>162.4</v>
      </c>
      <c r="H155" s="47">
        <v>173.8</v>
      </c>
    </row>
    <row r="156" spans="1:8" s="63" customFormat="1">
      <c r="A156" s="8"/>
      <c r="B156" s="12" t="s">
        <v>17</v>
      </c>
      <c r="C156" s="47">
        <v>41.6</v>
      </c>
      <c r="D156" s="47">
        <v>47.4</v>
      </c>
      <c r="E156" s="47">
        <v>54.1</v>
      </c>
      <c r="F156" s="47">
        <v>60.8</v>
      </c>
      <c r="G156" s="47">
        <v>66.900000000000006</v>
      </c>
      <c r="H156" s="47">
        <v>71.599999999999994</v>
      </c>
    </row>
    <row r="157" spans="1:8" s="63" customFormat="1">
      <c r="A157" s="8"/>
      <c r="B157" s="12" t="s">
        <v>34</v>
      </c>
      <c r="C157" s="47">
        <v>18.600000000000001</v>
      </c>
      <c r="D157" s="47">
        <f>$C$157</f>
        <v>18.600000000000001</v>
      </c>
      <c r="E157" s="47">
        <f t="shared" ref="E157:H157" si="22">$C$157</f>
        <v>18.600000000000001</v>
      </c>
      <c r="F157" s="47">
        <f t="shared" si="22"/>
        <v>18.600000000000001</v>
      </c>
      <c r="G157" s="47">
        <f t="shared" si="22"/>
        <v>18.600000000000001</v>
      </c>
      <c r="H157" s="47">
        <f t="shared" si="22"/>
        <v>18.600000000000001</v>
      </c>
    </row>
    <row r="158" spans="1:8" s="63" customFormat="1">
      <c r="A158" s="8"/>
      <c r="B158" s="12" t="s">
        <v>35</v>
      </c>
      <c r="C158" s="47">
        <v>16.2</v>
      </c>
      <c r="D158" s="47">
        <f>$C$158</f>
        <v>16.2</v>
      </c>
      <c r="E158" s="47">
        <f t="shared" ref="E158:H158" si="23">$C$158</f>
        <v>16.2</v>
      </c>
      <c r="F158" s="47">
        <f t="shared" si="23"/>
        <v>16.2</v>
      </c>
      <c r="G158" s="47">
        <f t="shared" si="23"/>
        <v>16.2</v>
      </c>
      <c r="H158" s="47">
        <f t="shared" si="23"/>
        <v>16.2</v>
      </c>
    </row>
    <row r="159" spans="1:8" s="63" customFormat="1">
      <c r="A159" s="8"/>
      <c r="B159" s="13" t="s">
        <v>18</v>
      </c>
      <c r="C159" s="54">
        <f>SUM(C152:C158)</f>
        <v>833.80000000000007</v>
      </c>
      <c r="D159" s="54">
        <f>SUM(D152:D158)</f>
        <v>891.80000000000007</v>
      </c>
      <c r="E159" s="54">
        <f t="shared" ref="E159:H159" si="24">SUM(E152:E158)</f>
        <v>1018.4000000000001</v>
      </c>
      <c r="F159" s="54">
        <f t="shared" si="24"/>
        <v>1160.2</v>
      </c>
      <c r="G159" s="54">
        <f t="shared" si="24"/>
        <v>1328.7</v>
      </c>
      <c r="H159" s="54">
        <f t="shared" si="24"/>
        <v>-628.79999999999973</v>
      </c>
    </row>
    <row r="160" spans="1:8" s="63" customFormat="1">
      <c r="A160" s="10" t="s">
        <v>19</v>
      </c>
      <c r="B160" s="11"/>
      <c r="C160" s="20"/>
      <c r="D160" s="20"/>
      <c r="E160" s="20"/>
      <c r="F160" s="20"/>
      <c r="G160" s="20"/>
      <c r="H160" s="20"/>
    </row>
    <row r="161" spans="1:8" s="63" customFormat="1">
      <c r="A161" s="8"/>
      <c r="B161" s="12" t="s">
        <v>20</v>
      </c>
      <c r="C161" s="47">
        <v>2595.1</v>
      </c>
      <c r="D161" s="47">
        <f>C161+B55-B44</f>
        <v>2556.4111271892084</v>
      </c>
      <c r="E161" s="47">
        <f>D161+C55-C44</f>
        <v>2512.3058121849062</v>
      </c>
      <c r="F161" s="47">
        <f>E161+D55-D44</f>
        <v>2459.1431557065061</v>
      </c>
      <c r="G161" s="47">
        <f>F161+E55-E44</f>
        <v>2399.4946551377416</v>
      </c>
      <c r="H161" s="47">
        <f>G161+F55-F44</f>
        <v>2334.8364602401621</v>
      </c>
    </row>
    <row r="162" spans="1:8" s="63" customFormat="1">
      <c r="A162" s="8"/>
      <c r="B162" s="12" t="s">
        <v>36</v>
      </c>
      <c r="C162" s="47">
        <v>1482.4</v>
      </c>
      <c r="D162" s="47">
        <f>$C$162</f>
        <v>1482.4</v>
      </c>
      <c r="E162" s="47">
        <f t="shared" ref="E162:H162" si="25">$C$162</f>
        <v>1482.4</v>
      </c>
      <c r="F162" s="47">
        <f t="shared" si="25"/>
        <v>1482.4</v>
      </c>
      <c r="G162" s="47">
        <f t="shared" si="25"/>
        <v>1482.4</v>
      </c>
      <c r="H162" s="47">
        <f t="shared" si="25"/>
        <v>1482.4</v>
      </c>
    </row>
    <row r="163" spans="1:8" s="63" customFormat="1">
      <c r="A163" s="8"/>
      <c r="B163" s="12" t="s">
        <v>111</v>
      </c>
      <c r="C163" s="47">
        <v>15.4</v>
      </c>
      <c r="D163" s="47">
        <f>$C$163</f>
        <v>15.4</v>
      </c>
      <c r="E163" s="47">
        <f t="shared" ref="E163:H163" si="26">$C$163</f>
        <v>15.4</v>
      </c>
      <c r="F163" s="47">
        <f t="shared" si="26"/>
        <v>15.4</v>
      </c>
      <c r="G163" s="47">
        <f t="shared" si="26"/>
        <v>15.4</v>
      </c>
      <c r="H163" s="47">
        <f t="shared" si="26"/>
        <v>15.4</v>
      </c>
    </row>
    <row r="164" spans="1:8" s="63" customFormat="1">
      <c r="A164" s="8"/>
      <c r="B164" s="12" t="s">
        <v>38</v>
      </c>
      <c r="C164" s="47">
        <v>0</v>
      </c>
      <c r="D164" s="47">
        <f>$C$164</f>
        <v>0</v>
      </c>
      <c r="E164" s="47">
        <f t="shared" ref="E164:H164" si="27">$C$164</f>
        <v>0</v>
      </c>
      <c r="F164" s="47">
        <f t="shared" si="27"/>
        <v>0</v>
      </c>
      <c r="G164" s="47">
        <f t="shared" si="27"/>
        <v>0</v>
      </c>
      <c r="H164" s="47">
        <f t="shared" si="27"/>
        <v>0</v>
      </c>
    </row>
    <row r="165" spans="1:8" s="63" customFormat="1">
      <c r="A165" s="8"/>
      <c r="B165" s="12" t="s">
        <v>39</v>
      </c>
      <c r="C165" s="47">
        <v>157.69999999999999</v>
      </c>
      <c r="D165" s="47">
        <f>$C$165</f>
        <v>157.69999999999999</v>
      </c>
      <c r="E165" s="47">
        <f t="shared" ref="E165:H165" si="28">$C$165</f>
        <v>157.69999999999999</v>
      </c>
      <c r="F165" s="47">
        <f t="shared" si="28"/>
        <v>157.69999999999999</v>
      </c>
      <c r="G165" s="47">
        <f t="shared" si="28"/>
        <v>157.69999999999999</v>
      </c>
      <c r="H165" s="47">
        <f t="shared" si="28"/>
        <v>157.69999999999999</v>
      </c>
    </row>
    <row r="166" spans="1:8" s="63" customFormat="1">
      <c r="A166" s="8"/>
      <c r="B166" s="12" t="s">
        <v>40</v>
      </c>
      <c r="C166" s="47">
        <v>4.4000000000000004</v>
      </c>
      <c r="D166" s="47">
        <f>$C$166</f>
        <v>4.4000000000000004</v>
      </c>
      <c r="E166" s="47">
        <f t="shared" ref="E166:H166" si="29">$C$166</f>
        <v>4.4000000000000004</v>
      </c>
      <c r="F166" s="47">
        <f t="shared" si="29"/>
        <v>4.4000000000000004</v>
      </c>
      <c r="G166" s="47">
        <f t="shared" si="29"/>
        <v>4.4000000000000004</v>
      </c>
      <c r="H166" s="47">
        <f t="shared" si="29"/>
        <v>4.4000000000000004</v>
      </c>
    </row>
    <row r="167" spans="1:8" s="63" customFormat="1">
      <c r="A167" s="8"/>
      <c r="B167" s="12" t="s">
        <v>37</v>
      </c>
      <c r="C167" s="47">
        <v>491.3</v>
      </c>
      <c r="D167" s="47">
        <f>$C$167</f>
        <v>491.3</v>
      </c>
      <c r="E167" s="47">
        <f t="shared" ref="E167:H167" si="30">$C$167</f>
        <v>491.3</v>
      </c>
      <c r="F167" s="47">
        <f t="shared" si="30"/>
        <v>491.3</v>
      </c>
      <c r="G167" s="47">
        <f t="shared" si="30"/>
        <v>491.3</v>
      </c>
      <c r="H167" s="47">
        <f t="shared" si="30"/>
        <v>491.3</v>
      </c>
    </row>
    <row r="168" spans="1:8" s="63" customFormat="1">
      <c r="A168" s="8"/>
      <c r="B168" s="12" t="s">
        <v>41</v>
      </c>
      <c r="C168" s="47">
        <v>31.8</v>
      </c>
      <c r="D168" s="47">
        <f>$C$168</f>
        <v>31.8</v>
      </c>
      <c r="E168" s="47">
        <f t="shared" ref="E168:H168" si="31">$C$168</f>
        <v>31.8</v>
      </c>
      <c r="F168" s="47">
        <f t="shared" si="31"/>
        <v>31.8</v>
      </c>
      <c r="G168" s="47">
        <f t="shared" si="31"/>
        <v>31.8</v>
      </c>
      <c r="H168" s="47">
        <f t="shared" si="31"/>
        <v>31.8</v>
      </c>
    </row>
    <row r="169" spans="1:8" s="63" customFormat="1">
      <c r="A169" s="8"/>
      <c r="B169" s="13" t="s">
        <v>21</v>
      </c>
      <c r="C169" s="54">
        <f>SUM(C161:C168)</f>
        <v>4778.1000000000004</v>
      </c>
      <c r="D169" s="54">
        <f>SUM(D161:D168)</f>
        <v>4739.4111271892089</v>
      </c>
      <c r="E169" s="54">
        <f t="shared" ref="E169:H169" si="32">SUM(E161:E168)</f>
        <v>4695.3058121849062</v>
      </c>
      <c r="F169" s="54">
        <f t="shared" si="32"/>
        <v>4642.1431557065061</v>
      </c>
      <c r="G169" s="54">
        <f t="shared" si="32"/>
        <v>4582.4946551377416</v>
      </c>
      <c r="H169" s="54">
        <f t="shared" si="32"/>
        <v>4517.8364602401625</v>
      </c>
    </row>
    <row r="170" spans="1:8" s="63" customFormat="1">
      <c r="A170" s="8"/>
      <c r="B170" s="8"/>
    </row>
    <row r="171" spans="1:8" s="63" customFormat="1" ht="15.75">
      <c r="A171" s="14" t="s">
        <v>23</v>
      </c>
      <c r="B171" s="14"/>
      <c r="C171" s="74">
        <f>C159+C169</f>
        <v>5611.9000000000005</v>
      </c>
      <c r="D171" s="74">
        <f>D159+D169</f>
        <v>5631.211127189209</v>
      </c>
      <c r="E171" s="74">
        <f t="shared" ref="E171:H171" si="33">E159+E169</f>
        <v>5713.7058121849059</v>
      </c>
      <c r="F171" s="74">
        <f t="shared" si="33"/>
        <v>5802.343155706506</v>
      </c>
      <c r="G171" s="74">
        <f t="shared" si="33"/>
        <v>5911.1946551377414</v>
      </c>
      <c r="H171" s="74">
        <f t="shared" si="33"/>
        <v>3889.0364602401628</v>
      </c>
    </row>
    <row r="172" spans="1:8" s="63" customFormat="1">
      <c r="A172" s="8"/>
      <c r="B172" s="8"/>
      <c r="C172" s="21"/>
      <c r="D172" s="21"/>
      <c r="E172" s="21"/>
      <c r="F172" s="21"/>
      <c r="G172" s="21"/>
      <c r="H172" s="21"/>
    </row>
    <row r="173" spans="1:8" s="63" customFormat="1" ht="18">
      <c r="A173" s="9" t="s">
        <v>24</v>
      </c>
      <c r="B173" s="9"/>
      <c r="C173" s="22"/>
      <c r="D173" s="22"/>
      <c r="E173" s="22"/>
      <c r="F173" s="22"/>
      <c r="G173" s="22"/>
      <c r="H173" s="22"/>
    </row>
    <row r="174" spans="1:8" s="63" customFormat="1">
      <c r="A174" s="10" t="s">
        <v>25</v>
      </c>
      <c r="B174" s="11"/>
      <c r="C174" s="20"/>
      <c r="D174" s="20"/>
      <c r="E174" s="20"/>
      <c r="F174" s="20"/>
      <c r="G174" s="20"/>
      <c r="H174" s="20"/>
    </row>
    <row r="175" spans="1:8" s="63" customFormat="1">
      <c r="A175" s="8"/>
      <c r="B175" s="12" t="s">
        <v>26</v>
      </c>
      <c r="C175" s="47">
        <v>260.8</v>
      </c>
      <c r="D175" s="47">
        <v>297.3</v>
      </c>
      <c r="E175" s="47">
        <v>338.9</v>
      </c>
      <c r="F175" s="47">
        <v>381.3</v>
      </c>
      <c r="G175" s="47">
        <v>419.4</v>
      </c>
      <c r="H175" s="47">
        <v>448.8</v>
      </c>
    </row>
    <row r="176" spans="1:8" s="63" customFormat="1">
      <c r="A176" s="8"/>
      <c r="B176" s="12" t="s">
        <v>42</v>
      </c>
      <c r="C176" s="47">
        <v>143.4</v>
      </c>
      <c r="D176" s="47">
        <v>163.5</v>
      </c>
      <c r="E176" s="47">
        <v>186.4</v>
      </c>
      <c r="F176" s="47">
        <v>209.7</v>
      </c>
      <c r="G176" s="47">
        <v>230.6</v>
      </c>
      <c r="H176" s="47">
        <v>246.8</v>
      </c>
    </row>
    <row r="177" spans="1:8" s="63" customFormat="1">
      <c r="A177" s="8"/>
      <c r="B177" s="12" t="s">
        <v>45</v>
      </c>
      <c r="C177" s="47">
        <v>59.2</v>
      </c>
      <c r="D177" s="47">
        <v>67.5</v>
      </c>
      <c r="E177" s="47">
        <v>76.900000000000006</v>
      </c>
      <c r="F177" s="47">
        <v>86.6</v>
      </c>
      <c r="G177" s="47">
        <v>95.2</v>
      </c>
      <c r="H177" s="47">
        <v>101.9</v>
      </c>
    </row>
    <row r="178" spans="1:8" s="63" customFormat="1">
      <c r="A178" s="8"/>
      <c r="B178" s="12" t="s">
        <v>112</v>
      </c>
      <c r="C178" s="47">
        <v>43.1</v>
      </c>
      <c r="D178" s="47">
        <v>43.1</v>
      </c>
      <c r="E178" s="47">
        <v>43.1</v>
      </c>
      <c r="F178" s="47">
        <v>43.1</v>
      </c>
      <c r="G178" s="47">
        <v>43.1</v>
      </c>
      <c r="H178" s="47">
        <v>43.1</v>
      </c>
    </row>
    <row r="179" spans="1:8" s="63" customFormat="1">
      <c r="A179" s="8"/>
      <c r="B179" s="12" t="s">
        <v>113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</row>
    <row r="180" spans="1:8" s="63" customFormat="1">
      <c r="A180" s="8"/>
      <c r="B180" s="12" t="s">
        <v>43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</row>
    <row r="181" spans="1:8" s="63" customFormat="1">
      <c r="A181" s="8"/>
      <c r="B181" s="12" t="s">
        <v>114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</row>
    <row r="182" spans="1:8" s="63" customFormat="1">
      <c r="A182" s="8"/>
      <c r="B182" s="12" t="s">
        <v>115</v>
      </c>
      <c r="C182" s="47">
        <v>0</v>
      </c>
      <c r="D182" s="47">
        <v>0</v>
      </c>
      <c r="E182" s="47">
        <v>0</v>
      </c>
      <c r="F182" s="47">
        <v>0</v>
      </c>
      <c r="G182" s="47">
        <v>0</v>
      </c>
      <c r="H182" s="47">
        <v>0</v>
      </c>
    </row>
    <row r="183" spans="1:8" s="63" customFormat="1">
      <c r="A183" s="8"/>
      <c r="B183" s="12" t="s">
        <v>44</v>
      </c>
      <c r="C183" s="47">
        <v>97.7</v>
      </c>
      <c r="D183" s="47">
        <v>97.7</v>
      </c>
      <c r="E183" s="47">
        <v>97.7</v>
      </c>
      <c r="F183" s="47">
        <v>97.7</v>
      </c>
      <c r="G183" s="47">
        <v>97.7</v>
      </c>
      <c r="H183" s="47">
        <v>97.7</v>
      </c>
    </row>
    <row r="184" spans="1:8" s="63" customFormat="1">
      <c r="A184" s="8"/>
      <c r="B184" s="13" t="s">
        <v>27</v>
      </c>
      <c r="C184" s="54">
        <f>SUM(C175:C183)</f>
        <v>604.20000000000005</v>
      </c>
      <c r="D184" s="54">
        <f>SUM(D175:D183)</f>
        <v>669.1</v>
      </c>
      <c r="E184" s="54">
        <f t="shared" ref="E184:H184" si="34">SUM(E175:E183)</f>
        <v>743</v>
      </c>
      <c r="F184" s="54">
        <f t="shared" si="34"/>
        <v>818.40000000000009</v>
      </c>
      <c r="G184" s="54">
        <f t="shared" si="34"/>
        <v>886.00000000000011</v>
      </c>
      <c r="H184" s="54">
        <f t="shared" si="34"/>
        <v>938.30000000000007</v>
      </c>
    </row>
    <row r="185" spans="1:8" s="63" customFormat="1">
      <c r="A185" s="10" t="s">
        <v>28</v>
      </c>
      <c r="B185" s="11"/>
      <c r="C185" s="20"/>
      <c r="D185" s="20"/>
      <c r="E185" s="20"/>
      <c r="F185" s="20"/>
      <c r="G185" s="20"/>
      <c r="H185" s="20"/>
    </row>
    <row r="186" spans="1:8" s="63" customFormat="1">
      <c r="A186" s="8"/>
      <c r="B186" s="12" t="s">
        <v>29</v>
      </c>
      <c r="C186" s="47">
        <v>1002.3</v>
      </c>
      <c r="D186" s="32">
        <f>C186+B202-Inputs!E101</f>
        <v>4481.3</v>
      </c>
      <c r="E186" s="32">
        <f>D186-Inputs!F101</f>
        <v>4173.3</v>
      </c>
      <c r="F186" s="32">
        <f>E186-Inputs!G101</f>
        <v>3846.3</v>
      </c>
      <c r="G186" s="32">
        <f>F186-Inputs!H101</f>
        <v>3502.3</v>
      </c>
      <c r="H186" s="32">
        <f>G186-Inputs!I101</f>
        <v>1002.3000000000002</v>
      </c>
    </row>
    <row r="187" spans="1:8" s="63" customFormat="1">
      <c r="A187" s="8"/>
      <c r="B187" s="12" t="s">
        <v>116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</row>
    <row r="188" spans="1:8" s="63" customFormat="1">
      <c r="A188" s="8"/>
      <c r="B188" s="12" t="s">
        <v>115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</row>
    <row r="189" spans="1:8" s="63" customFormat="1">
      <c r="A189" s="8"/>
      <c r="B189" s="12" t="s">
        <v>22</v>
      </c>
      <c r="C189" s="47">
        <v>554.4</v>
      </c>
      <c r="D189" s="47">
        <v>554.4</v>
      </c>
      <c r="E189" s="47">
        <v>554.4</v>
      </c>
      <c r="F189" s="47">
        <v>554.4</v>
      </c>
      <c r="G189" s="47">
        <v>554.4</v>
      </c>
      <c r="H189" s="47">
        <v>554.4</v>
      </c>
    </row>
    <row r="190" spans="1:8" s="63" customFormat="1">
      <c r="A190" s="8"/>
      <c r="B190" s="12" t="s">
        <v>46</v>
      </c>
      <c r="C190" s="47">
        <v>126.8</v>
      </c>
      <c r="D190" s="47">
        <v>126.8</v>
      </c>
      <c r="E190" s="47">
        <v>126.8</v>
      </c>
      <c r="F190" s="47">
        <v>126.8</v>
      </c>
      <c r="G190" s="47">
        <v>126.8</v>
      </c>
      <c r="H190" s="47">
        <v>126.8</v>
      </c>
    </row>
    <row r="191" spans="1:8" s="63" customFormat="1">
      <c r="A191" s="8"/>
      <c r="B191" s="12" t="s">
        <v>47</v>
      </c>
      <c r="C191" s="47">
        <v>84.5</v>
      </c>
      <c r="D191" s="47">
        <v>84.5</v>
      </c>
      <c r="E191" s="47">
        <v>84.5</v>
      </c>
      <c r="F191" s="47">
        <v>84.5</v>
      </c>
      <c r="G191" s="47">
        <v>84.5</v>
      </c>
      <c r="H191" s="47">
        <v>84.5</v>
      </c>
    </row>
    <row r="192" spans="1:8" s="63" customFormat="1">
      <c r="A192" s="8"/>
      <c r="B192" s="12" t="s">
        <v>117</v>
      </c>
      <c r="C192" s="47">
        <v>43.4</v>
      </c>
      <c r="D192" s="47">
        <v>43.4</v>
      </c>
      <c r="E192" s="47">
        <v>43.4</v>
      </c>
      <c r="F192" s="47">
        <v>43.4</v>
      </c>
      <c r="G192" s="47">
        <v>43.4</v>
      </c>
      <c r="H192" s="47">
        <v>43.4</v>
      </c>
    </row>
    <row r="193" spans="1:14" s="63" customFormat="1">
      <c r="A193" s="8"/>
      <c r="B193" s="12" t="s">
        <v>48</v>
      </c>
      <c r="C193" s="47">
        <v>1404.1</v>
      </c>
      <c r="D193" s="47">
        <v>1404.1</v>
      </c>
      <c r="E193" s="47">
        <v>1404.1</v>
      </c>
      <c r="F193" s="47">
        <v>1404.1</v>
      </c>
      <c r="G193" s="47">
        <v>1404.1</v>
      </c>
      <c r="H193" s="47">
        <v>1404.1</v>
      </c>
    </row>
    <row r="194" spans="1:14" s="63" customFormat="1">
      <c r="A194" s="8"/>
      <c r="B194" s="12" t="s">
        <v>49</v>
      </c>
      <c r="C194" s="47">
        <v>1792.1</v>
      </c>
      <c r="D194" s="47">
        <f>C194+C145</f>
        <v>2044.26</v>
      </c>
      <c r="E194" s="47">
        <f>D194+D145</f>
        <v>2366.02</v>
      </c>
      <c r="F194" s="47">
        <f>E194+E145</f>
        <v>2712.9</v>
      </c>
      <c r="G194" s="47">
        <f t="shared" ref="G194" si="35">F194+F145</f>
        <v>3105.2200000000003</v>
      </c>
      <c r="H194" s="47">
        <f>G194+G145</f>
        <v>3538.6600000000003</v>
      </c>
    </row>
    <row r="195" spans="1:14" s="63" customFormat="1">
      <c r="A195" s="8"/>
      <c r="B195" s="13" t="s">
        <v>30</v>
      </c>
      <c r="C195" s="54">
        <f>SUM(C186:C194)</f>
        <v>5007.6000000000004</v>
      </c>
      <c r="D195" s="54">
        <f>SUM(D186:D194)</f>
        <v>8738.76</v>
      </c>
      <c r="E195" s="54">
        <f t="shared" ref="E195:H195" si="36">SUM(E186:E194)</f>
        <v>8752.52</v>
      </c>
      <c r="F195" s="54">
        <f t="shared" si="36"/>
        <v>8772.4</v>
      </c>
      <c r="G195" s="54">
        <f t="shared" si="36"/>
        <v>8820.7200000000012</v>
      </c>
      <c r="H195" s="54">
        <f t="shared" si="36"/>
        <v>6754.16</v>
      </c>
    </row>
    <row r="196" spans="1:14" s="63" customFormat="1">
      <c r="A196" s="8"/>
    </row>
    <row r="197" spans="1:14" s="63" customFormat="1" ht="16.5" thickBot="1">
      <c r="A197" s="14" t="s">
        <v>31</v>
      </c>
      <c r="B197" s="14"/>
      <c r="C197" s="75">
        <f>C184+C195</f>
        <v>5611.8</v>
      </c>
      <c r="D197" s="75">
        <f>D184+D195</f>
        <v>9407.86</v>
      </c>
      <c r="E197" s="75">
        <f t="shared" ref="E197:H197" si="37">E184+E195</f>
        <v>9495.52</v>
      </c>
      <c r="F197" s="75">
        <f t="shared" si="37"/>
        <v>9590.7999999999993</v>
      </c>
      <c r="G197" s="75">
        <f t="shared" si="37"/>
        <v>9706.7200000000012</v>
      </c>
      <c r="H197" s="75">
        <f t="shared" si="37"/>
        <v>7692.46</v>
      </c>
    </row>
    <row r="198" spans="1:14" s="63" customFormat="1" ht="18.75" thickTop="1">
      <c r="A198" s="125"/>
      <c r="B198" s="125"/>
      <c r="C198" s="6"/>
      <c r="D198" s="6"/>
      <c r="E198" s="6"/>
      <c r="F198" s="6"/>
      <c r="G198" s="6"/>
      <c r="H198" s="6"/>
    </row>
    <row r="199" spans="1:14" s="63" customFormat="1"/>
    <row r="200" spans="1:14" s="63" customFormat="1"/>
    <row r="201" spans="1:14" s="63" customFormat="1" ht="18">
      <c r="B201" s="36" t="s">
        <v>84</v>
      </c>
      <c r="D201" s="28" t="s">
        <v>86</v>
      </c>
    </row>
    <row r="202" spans="1:14" s="63" customFormat="1" ht="14.25" customHeight="1">
      <c r="A202" s="16"/>
      <c r="B202" s="60">
        <f>SUM(Inputs!E101:I101)</f>
        <v>3772</v>
      </c>
    </row>
    <row r="203" spans="1:14" s="63" customFormat="1"/>
    <row r="204" spans="1:14" s="63" customFormat="1"/>
    <row r="205" spans="1:14" s="63" customFormat="1"/>
    <row r="206" spans="1:14" s="63" customFormat="1"/>
    <row r="207" spans="1:14" ht="22.5">
      <c r="A207" s="63" t="s">
        <v>181</v>
      </c>
      <c r="B207" s="38" t="s">
        <v>182</v>
      </c>
      <c r="C207" s="63"/>
      <c r="D207" s="63"/>
      <c r="E207" s="63"/>
      <c r="F207" s="63"/>
      <c r="G207" s="63"/>
      <c r="H207" s="41"/>
      <c r="I207" s="41"/>
      <c r="N207" s="41"/>
    </row>
    <row r="208" spans="1:14">
      <c r="A208" s="63"/>
      <c r="B208" s="63"/>
      <c r="C208" s="63"/>
      <c r="D208" s="63"/>
      <c r="E208" s="63"/>
      <c r="F208" s="63"/>
      <c r="G208" s="63"/>
      <c r="H208" s="41"/>
      <c r="I208" s="41"/>
      <c r="N208" s="41"/>
    </row>
    <row r="209" spans="1:14">
      <c r="A209" s="63"/>
      <c r="C209" s="63"/>
      <c r="D209" s="63"/>
      <c r="E209" s="63"/>
      <c r="F209" s="63"/>
      <c r="G209" s="63"/>
      <c r="H209" s="41"/>
      <c r="I209" s="41"/>
      <c r="N209" s="41"/>
    </row>
    <row r="210" spans="1:14" s="63" customFormat="1"/>
    <row r="211" spans="1:14" s="63" customFormat="1">
      <c r="B211"/>
      <c r="D211" s="96" t="s">
        <v>183</v>
      </c>
    </row>
    <row r="212" spans="1:14" s="63" customFormat="1"/>
    <row r="213" spans="1:14" s="63" customFormat="1"/>
    <row r="214" spans="1:14" s="63" customFormat="1">
      <c r="B214"/>
    </row>
    <row r="215" spans="1:14" s="63" customFormat="1">
      <c r="D215" s="97" t="s">
        <v>184</v>
      </c>
    </row>
    <row r="216" spans="1:14" s="63" customFormat="1">
      <c r="D216" s="97" t="s">
        <v>185</v>
      </c>
    </row>
    <row r="217" spans="1:14" s="63" customFormat="1">
      <c r="D217" s="97" t="s">
        <v>186</v>
      </c>
    </row>
    <row r="218" spans="1:14" s="63" customFormat="1"/>
    <row r="219" spans="1:14" s="63" customFormat="1" ht="18">
      <c r="B219" s="6"/>
      <c r="C219" s="6">
        <v>2012</v>
      </c>
    </row>
    <row r="220" spans="1:14" s="63" customFormat="1">
      <c r="B220" s="63" t="s">
        <v>71</v>
      </c>
      <c r="C220" s="82">
        <f>F47</f>
        <v>528.78390480213238</v>
      </c>
    </row>
    <row r="221" spans="1:14" s="63" customFormat="1">
      <c r="B221" s="63" t="s">
        <v>187</v>
      </c>
      <c r="C221" s="82">
        <f>H193+H194</f>
        <v>4942.76</v>
      </c>
    </row>
    <row r="222" spans="1:14" s="63" customFormat="1">
      <c r="B222" s="63" t="s">
        <v>188</v>
      </c>
      <c r="C222" s="82">
        <f>H192</f>
        <v>43.4</v>
      </c>
    </row>
    <row r="223" spans="1:14" s="63" customFormat="1">
      <c r="B223" s="63" t="s">
        <v>189</v>
      </c>
      <c r="C223" s="82">
        <f>H186</f>
        <v>1002.3000000000002</v>
      </c>
    </row>
    <row r="224" spans="1:14" s="63" customFormat="1">
      <c r="B224" s="63" t="s">
        <v>190</v>
      </c>
      <c r="C224" s="82">
        <f>C221-C222+C223</f>
        <v>5901.6600000000008</v>
      </c>
    </row>
    <row r="225" spans="1:14" s="63" customFormat="1">
      <c r="B225" s="28" t="s">
        <v>78</v>
      </c>
      <c r="C225" s="98">
        <f>C220/C224</f>
        <v>8.9599181383226464E-2</v>
      </c>
    </row>
    <row r="226" spans="1:14" s="63" customFormat="1"/>
    <row r="227" spans="1:14" s="63" customFormat="1">
      <c r="B227" s="63" t="s">
        <v>191</v>
      </c>
      <c r="C227" s="82">
        <f>F55</f>
        <v>1052.5663418638505</v>
      </c>
    </row>
    <row r="228" spans="1:14" s="63" customFormat="1">
      <c r="B228" s="63" t="s">
        <v>192</v>
      </c>
      <c r="C228" s="82">
        <f>F63</f>
        <v>12.911030223495345</v>
      </c>
    </row>
    <row r="229" spans="1:14" s="63" customFormat="1">
      <c r="B229" s="63" t="s">
        <v>193</v>
      </c>
      <c r="C229" s="82">
        <f>F44</f>
        <v>1117.22453676143</v>
      </c>
    </row>
    <row r="230" spans="1:14" s="63" customFormat="1">
      <c r="B230" s="63" t="s">
        <v>194</v>
      </c>
      <c r="C230" s="82">
        <f>C227+C228-C229</f>
        <v>-51.747164674084161</v>
      </c>
    </row>
    <row r="231" spans="1:14" s="63" customFormat="1">
      <c r="B231" s="63" t="s">
        <v>71</v>
      </c>
      <c r="C231" s="82">
        <f>C220</f>
        <v>528.78390480213238</v>
      </c>
    </row>
    <row r="232" spans="1:14" s="63" customFormat="1">
      <c r="B232" s="28" t="s">
        <v>77</v>
      </c>
      <c r="C232" s="98">
        <f>C230/C231</f>
        <v>-9.7860703028484999E-2</v>
      </c>
    </row>
    <row r="233" spans="1:14" s="63" customFormat="1"/>
    <row r="234" spans="1:14" s="63" customFormat="1">
      <c r="B234" s="28" t="s">
        <v>79</v>
      </c>
      <c r="C234" s="99">
        <f>C225*C232</f>
        <v>-8.7682388809392862E-3</v>
      </c>
    </row>
    <row r="235" spans="1:14" s="63" customFormat="1"/>
    <row r="236" spans="1:14" s="63" customFormat="1"/>
    <row r="237" spans="1:14" s="63" customFormat="1"/>
    <row r="238" spans="1:14" s="63" customFormat="1" ht="22.5">
      <c r="A238" s="63" t="s">
        <v>195</v>
      </c>
      <c r="B238" s="38" t="s">
        <v>196</v>
      </c>
    </row>
    <row r="239" spans="1:14" s="63" customFormat="1"/>
    <row r="240" spans="1:14">
      <c r="A240" s="63"/>
      <c r="C240" s="63"/>
      <c r="D240" s="63"/>
      <c r="E240" s="63"/>
      <c r="F240" s="63"/>
      <c r="G240" s="63"/>
      <c r="H240" s="41"/>
      <c r="I240" s="41"/>
      <c r="N240" s="41"/>
    </row>
    <row r="241" spans="1:14">
      <c r="A241" s="63"/>
      <c r="B241" s="63"/>
      <c r="C241" s="63"/>
      <c r="D241" s="63"/>
      <c r="E241" s="63"/>
      <c r="F241" s="63"/>
      <c r="G241" s="63"/>
      <c r="H241" s="41"/>
      <c r="I241" s="41"/>
      <c r="N241" s="41"/>
    </row>
    <row r="242" spans="1:14">
      <c r="A242" s="63"/>
      <c r="B242" s="63"/>
      <c r="C242" s="63"/>
      <c r="D242" s="63"/>
      <c r="E242" s="63"/>
      <c r="F242" s="63"/>
      <c r="G242" s="63"/>
      <c r="H242" s="41"/>
      <c r="I242" s="41"/>
      <c r="N242" s="41"/>
    </row>
    <row r="243" spans="1:14">
      <c r="A243" s="63"/>
      <c r="B243" s="63"/>
      <c r="C243" s="63"/>
      <c r="D243" s="63"/>
      <c r="E243" s="63"/>
      <c r="F243" s="63"/>
      <c r="G243" s="63"/>
      <c r="H243" s="41"/>
      <c r="I243" s="41"/>
      <c r="N243" s="41"/>
    </row>
    <row r="244" spans="1:14">
      <c r="A244" s="63"/>
      <c r="B244" s="39" t="s">
        <v>197</v>
      </c>
      <c r="C244" s="34">
        <f>(F51*(1+C234))/(Inputs!K18-Сalculations!C234)</f>
        <v>8042.6854545372062</v>
      </c>
      <c r="D244" s="63"/>
      <c r="E244" s="63"/>
      <c r="F244" s="63"/>
      <c r="G244" s="63"/>
      <c r="H244" s="41"/>
      <c r="I244" s="41"/>
      <c r="N244" s="41"/>
    </row>
    <row r="245" spans="1:14">
      <c r="A245" s="63"/>
      <c r="B245" s="63"/>
      <c r="C245" s="63"/>
      <c r="D245" s="63"/>
      <c r="E245" s="63"/>
      <c r="F245" s="63"/>
      <c r="G245" s="63"/>
      <c r="H245" s="41"/>
      <c r="I245" s="41"/>
      <c r="N245" s="41"/>
    </row>
    <row r="246" spans="1:14">
      <c r="A246" s="63"/>
      <c r="B246" s="63"/>
      <c r="C246" s="63"/>
      <c r="D246" s="63"/>
      <c r="E246" s="63"/>
      <c r="F246" s="63"/>
      <c r="G246" s="63"/>
      <c r="H246" s="41"/>
      <c r="I246" s="41"/>
      <c r="N246" s="41"/>
    </row>
    <row r="247" spans="1:14">
      <c r="B247" s="63"/>
      <c r="C247" s="63"/>
      <c r="D247" s="63"/>
      <c r="E247" s="63"/>
      <c r="F247" s="63"/>
      <c r="G247" s="63"/>
      <c r="H247" s="41"/>
      <c r="I247" s="41"/>
      <c r="N247" s="41"/>
    </row>
    <row r="248" spans="1:14" ht="22.5">
      <c r="A248" s="63" t="s">
        <v>198</v>
      </c>
      <c r="B248" s="38" t="s">
        <v>199</v>
      </c>
      <c r="C248" s="63"/>
      <c r="D248" s="63"/>
      <c r="E248" s="63"/>
      <c r="F248" s="63"/>
      <c r="G248" s="63"/>
      <c r="H248" s="41"/>
      <c r="I248" s="41"/>
      <c r="N248" s="41"/>
    </row>
    <row r="249" spans="1:14" ht="18">
      <c r="A249" s="27"/>
      <c r="B249" s="36">
        <v>2008</v>
      </c>
      <c r="C249" s="6">
        <v>2009</v>
      </c>
      <c r="D249" s="6">
        <v>2010</v>
      </c>
      <c r="E249" s="6">
        <v>2011</v>
      </c>
      <c r="F249" s="6">
        <v>2012</v>
      </c>
      <c r="G249" s="63"/>
      <c r="H249" s="41"/>
      <c r="I249" s="41"/>
      <c r="N249" s="41"/>
    </row>
    <row r="250" spans="1:14">
      <c r="A250" s="28" t="s">
        <v>71</v>
      </c>
      <c r="B250" s="83">
        <v>411.3</v>
      </c>
      <c r="C250" s="83">
        <v>468.9</v>
      </c>
      <c r="D250" s="83">
        <v>478.9</v>
      </c>
      <c r="E250" s="83">
        <v>510.7</v>
      </c>
      <c r="F250" s="83">
        <v>535</v>
      </c>
      <c r="G250" s="63"/>
      <c r="H250" s="41"/>
      <c r="I250" s="41"/>
      <c r="N250" s="41"/>
    </row>
    <row r="251" spans="1:14">
      <c r="A251" s="63" t="s">
        <v>200</v>
      </c>
      <c r="B251" s="100">
        <v>663.8</v>
      </c>
      <c r="C251" s="100">
        <v>756.8</v>
      </c>
      <c r="D251" s="100">
        <v>912.2</v>
      </c>
      <c r="E251" s="100">
        <v>1023.4</v>
      </c>
      <c r="F251" s="100">
        <v>1109.4000000000001</v>
      </c>
      <c r="G251" s="63"/>
    </row>
    <row r="252" spans="1:14">
      <c r="A252" s="63" t="s">
        <v>145</v>
      </c>
      <c r="B252" s="100">
        <v>16</v>
      </c>
      <c r="C252" s="100">
        <v>18.3</v>
      </c>
      <c r="D252" s="100">
        <v>18.600000000000001</v>
      </c>
      <c r="E252" s="100">
        <v>16.8</v>
      </c>
      <c r="F252" s="100">
        <v>12.9</v>
      </c>
      <c r="G252" s="63"/>
      <c r="H252" s="63"/>
    </row>
    <row r="253" spans="1:14">
      <c r="A253" s="63" t="s">
        <v>201</v>
      </c>
      <c r="B253" s="100">
        <v>629.79999999999995</v>
      </c>
      <c r="C253" s="100">
        <v>718</v>
      </c>
      <c r="D253" s="100">
        <v>865.4</v>
      </c>
      <c r="E253" s="100">
        <v>971</v>
      </c>
      <c r="F253" s="100">
        <v>1052.5999999999999</v>
      </c>
      <c r="G253" s="63"/>
      <c r="H253" s="63"/>
    </row>
    <row r="254" spans="1:14">
      <c r="A254" s="28" t="s">
        <v>147</v>
      </c>
      <c r="B254" s="83">
        <f>B250+B251-B252-B253</f>
        <v>429.29999999999995</v>
      </c>
      <c r="C254" s="83">
        <f t="shared" ref="C254:F254" si="38">C250+C251-C252-C253</f>
        <v>489.39999999999986</v>
      </c>
      <c r="D254" s="83">
        <f t="shared" si="38"/>
        <v>507.1</v>
      </c>
      <c r="E254" s="83">
        <f t="shared" si="38"/>
        <v>546.29999999999995</v>
      </c>
      <c r="F254" s="83">
        <f t="shared" si="38"/>
        <v>578.90000000000009</v>
      </c>
      <c r="G254" s="63"/>
      <c r="H254" s="63"/>
    </row>
    <row r="255" spans="1:14">
      <c r="B255" s="63"/>
      <c r="C255" s="63"/>
      <c r="D255" s="63"/>
      <c r="E255" s="63"/>
      <c r="F255" s="63"/>
      <c r="G255" s="63"/>
      <c r="H255" s="63"/>
    </row>
    <row r="256" spans="1:14">
      <c r="B256" s="39" t="s">
        <v>202</v>
      </c>
      <c r="C256" s="37">
        <f>G80</f>
        <v>8.0914128363169219E-2</v>
      </c>
    </row>
    <row r="257" spans="1:13">
      <c r="A257" s="63"/>
      <c r="D257" s="63"/>
      <c r="E257" s="63"/>
      <c r="F257" s="63"/>
      <c r="G257" s="63"/>
      <c r="H257" s="63"/>
    </row>
    <row r="258" spans="1:13" ht="15" customHeight="1">
      <c r="A258" s="76" t="s">
        <v>203</v>
      </c>
      <c r="B258" s="87">
        <v>397.2</v>
      </c>
      <c r="C258" s="87">
        <v>418.9</v>
      </c>
      <c r="D258" s="87">
        <v>401.5</v>
      </c>
      <c r="E258" s="87">
        <v>400.3</v>
      </c>
      <c r="F258" s="87">
        <v>392.4</v>
      </c>
      <c r="G258" s="63"/>
      <c r="H258" s="63"/>
    </row>
    <row r="259" spans="1:13">
      <c r="A259" s="76"/>
      <c r="B259" s="63"/>
      <c r="C259" s="63"/>
      <c r="D259" s="63"/>
      <c r="E259" s="63"/>
      <c r="F259" s="63"/>
      <c r="G259" s="63"/>
      <c r="H259" s="63"/>
    </row>
    <row r="260" spans="1:13">
      <c r="A260" s="63"/>
      <c r="B260" s="102" t="s">
        <v>155</v>
      </c>
      <c r="C260" s="101">
        <f>C96</f>
        <v>2015.0645546625542</v>
      </c>
      <c r="D260" s="63"/>
      <c r="E260" s="63"/>
      <c r="F260" s="63"/>
      <c r="G260" s="63"/>
      <c r="H260" s="63"/>
    </row>
    <row r="262" spans="1:13">
      <c r="A262" s="63" t="s">
        <v>205</v>
      </c>
      <c r="B262" s="87">
        <v>59.1</v>
      </c>
      <c r="C262" s="87">
        <v>58.8</v>
      </c>
      <c r="D262" s="87">
        <v>57.8</v>
      </c>
      <c r="E262" s="87">
        <v>56.8</v>
      </c>
      <c r="F262" s="87">
        <v>54.6</v>
      </c>
    </row>
    <row r="263" spans="1:13">
      <c r="A263" s="76"/>
      <c r="B263" s="76"/>
      <c r="C263" s="76"/>
      <c r="D263" s="76"/>
      <c r="E263" s="76"/>
      <c r="F263" s="76"/>
      <c r="G263" s="76"/>
      <c r="H263" s="76"/>
    </row>
    <row r="264" spans="1:13" s="41" customFormat="1" ht="15.75" customHeight="1">
      <c r="A264" s="76"/>
      <c r="B264" s="39" t="s">
        <v>204</v>
      </c>
      <c r="C264" s="37">
        <f>Inputs!K6</f>
        <v>5.5E-2</v>
      </c>
      <c r="D264" s="76"/>
      <c r="E264" s="76"/>
      <c r="F264" s="76"/>
      <c r="G264" s="76"/>
      <c r="H264" s="76"/>
      <c r="J264" s="42"/>
      <c r="K264" s="42"/>
      <c r="L264" s="42"/>
      <c r="M264" s="42"/>
    </row>
    <row r="265" spans="1:13" s="41" customFormat="1" ht="17.25" customHeight="1">
      <c r="A265" s="76"/>
      <c r="B265" s="76"/>
      <c r="C265" s="76"/>
      <c r="D265" s="76"/>
      <c r="E265" s="76"/>
      <c r="F265" s="76"/>
      <c r="G265" s="76"/>
      <c r="H265" s="76"/>
      <c r="J265" s="42"/>
      <c r="K265" s="42"/>
      <c r="L265" s="42"/>
      <c r="M265" s="42"/>
    </row>
    <row r="266" spans="1:13" s="41" customFormat="1" ht="14.25" customHeight="1">
      <c r="A266" s="76" t="s">
        <v>81</v>
      </c>
      <c r="B266" s="82">
        <v>56</v>
      </c>
      <c r="C266" s="82">
        <v>52.8</v>
      </c>
      <c r="D266" s="82">
        <v>49.2</v>
      </c>
      <c r="E266" s="82">
        <v>45.9</v>
      </c>
      <c r="F266" s="82">
        <v>41.7</v>
      </c>
      <c r="G266" s="76"/>
      <c r="H266" s="76"/>
      <c r="J266" s="42"/>
      <c r="K266" s="42"/>
      <c r="L266" s="42"/>
      <c r="M266" s="42"/>
    </row>
    <row r="267" spans="1:13" s="41" customFormat="1" ht="13.5" customHeight="1">
      <c r="A267" s="76"/>
      <c r="B267" s="76"/>
      <c r="C267" s="76"/>
      <c r="D267" s="76"/>
      <c r="E267" s="76"/>
      <c r="F267" s="76"/>
      <c r="G267" s="76"/>
      <c r="H267" s="76"/>
      <c r="J267" s="42"/>
      <c r="K267" s="42"/>
      <c r="L267" s="42"/>
      <c r="M267" s="42"/>
    </row>
    <row r="268" spans="1:13">
      <c r="A268" s="76"/>
      <c r="B268" s="39" t="s">
        <v>160</v>
      </c>
      <c r="C268" s="101">
        <f>C114</f>
        <v>142.21944648905651</v>
      </c>
      <c r="D268" s="76"/>
      <c r="E268" s="76"/>
      <c r="F268" s="76"/>
      <c r="G268" s="76"/>
      <c r="H268" s="76"/>
      <c r="I268" s="41"/>
    </row>
    <row r="269" spans="1:13">
      <c r="A269" s="76"/>
      <c r="B269" s="89"/>
      <c r="C269" s="63"/>
      <c r="D269" s="76"/>
      <c r="E269" s="76"/>
      <c r="F269" s="76"/>
      <c r="G269" s="76"/>
      <c r="H269" s="76"/>
      <c r="I269" s="41"/>
    </row>
    <row r="270" spans="1:13">
      <c r="A270" s="39" t="s">
        <v>206</v>
      </c>
      <c r="B270" s="101">
        <f>C260+C268</f>
        <v>2157.2840011516109</v>
      </c>
      <c r="D270" s="76"/>
      <c r="E270" s="76"/>
      <c r="F270" s="76"/>
      <c r="G270" s="76"/>
      <c r="H270" s="76"/>
      <c r="I270" s="41"/>
    </row>
    <row r="271" spans="1:13">
      <c r="A271" s="76"/>
      <c r="B271" s="76"/>
      <c r="C271" s="76"/>
      <c r="D271" s="76"/>
      <c r="E271" s="76"/>
      <c r="F271" s="76"/>
      <c r="G271" s="76"/>
      <c r="H271" s="76"/>
      <c r="I271" s="41"/>
    </row>
    <row r="272" spans="1:13">
      <c r="A272" s="76"/>
      <c r="B272" s="76"/>
      <c r="C272" s="76"/>
      <c r="D272" s="76"/>
      <c r="E272" s="76"/>
      <c r="F272" s="76"/>
      <c r="G272" s="76"/>
      <c r="H272" s="76"/>
      <c r="I272" s="41"/>
    </row>
    <row r="273" spans="1:15">
      <c r="A273" s="76"/>
      <c r="B273" s="76"/>
      <c r="C273" s="76"/>
      <c r="D273" s="76"/>
      <c r="E273" s="76"/>
      <c r="F273" s="76"/>
      <c r="G273" s="76"/>
      <c r="H273" s="76"/>
      <c r="I273" s="41"/>
    </row>
    <row r="274" spans="1:15">
      <c r="A274" s="76"/>
      <c r="B274" s="39" t="s">
        <v>207</v>
      </c>
      <c r="C274" s="37">
        <f>C234</f>
        <v>-8.7682388809392862E-3</v>
      </c>
      <c r="D274" s="76"/>
      <c r="E274" s="76"/>
      <c r="F274" s="76"/>
      <c r="G274" s="76"/>
      <c r="H274" s="76"/>
      <c r="I274" s="41"/>
    </row>
    <row r="275" spans="1:15">
      <c r="A275" s="76"/>
      <c r="B275" s="39" t="s">
        <v>208</v>
      </c>
      <c r="C275" s="37">
        <f>G81</f>
        <v>6.2780106212752318E-2</v>
      </c>
      <c r="D275" s="76"/>
      <c r="E275" s="76"/>
      <c r="F275" s="76"/>
      <c r="G275" s="76"/>
      <c r="H275" s="76"/>
      <c r="I275" s="41"/>
    </row>
    <row r="276" spans="1:15">
      <c r="A276" s="76"/>
      <c r="B276" s="39" t="s">
        <v>209</v>
      </c>
      <c r="C276" s="34">
        <f>C244</f>
        <v>8042.6854545372062</v>
      </c>
      <c r="D276" s="76"/>
      <c r="E276" s="76"/>
      <c r="F276" s="76"/>
      <c r="G276" s="76"/>
      <c r="H276" s="76"/>
      <c r="I276" s="41"/>
    </row>
    <row r="277" spans="1:15" s="63" customFormat="1">
      <c r="E277" s="76"/>
      <c r="F277" s="76"/>
      <c r="G277" s="76"/>
      <c r="H277" s="76"/>
    </row>
    <row r="278" spans="1:15">
      <c r="A278" s="39" t="s">
        <v>210</v>
      </c>
      <c r="B278" s="101">
        <f>C276/(1+C275)^5</f>
        <v>5931.7658843526651</v>
      </c>
      <c r="D278" s="76"/>
      <c r="E278" s="76"/>
      <c r="F278" s="76"/>
      <c r="G278" s="76"/>
      <c r="H278" s="76"/>
    </row>
    <row r="279" spans="1:15">
      <c r="A279" s="76"/>
      <c r="B279" s="76"/>
      <c r="C279" s="76"/>
      <c r="D279" s="76"/>
      <c r="E279" s="76"/>
      <c r="F279" s="76"/>
      <c r="G279" s="76"/>
      <c r="H279" s="76"/>
    </row>
    <row r="280" spans="1:15">
      <c r="A280" s="76"/>
      <c r="B280" s="76"/>
      <c r="C280" s="76"/>
      <c r="D280" s="76"/>
      <c r="E280" s="76"/>
      <c r="F280" s="76"/>
      <c r="G280" s="76"/>
      <c r="H280" s="76"/>
    </row>
    <row r="281" spans="1:15">
      <c r="A281" s="39" t="s">
        <v>211</v>
      </c>
      <c r="B281" s="101">
        <f>B270+B278</f>
        <v>8089.0498855042761</v>
      </c>
      <c r="C281" s="76"/>
      <c r="D281" s="76"/>
      <c r="E281" s="76"/>
      <c r="F281" s="76"/>
      <c r="G281" s="76"/>
      <c r="H281" s="76"/>
    </row>
    <row r="282" spans="1:15">
      <c r="A282" s="76"/>
      <c r="B282" s="76"/>
      <c r="C282" s="76"/>
      <c r="D282" s="76"/>
      <c r="E282" s="76"/>
      <c r="F282" s="76"/>
      <c r="G282" s="76"/>
      <c r="H282" s="76"/>
    </row>
    <row r="283" spans="1:15">
      <c r="A283" s="76"/>
      <c r="B283" s="76"/>
      <c r="C283" s="76"/>
      <c r="D283" s="76"/>
      <c r="E283" s="76"/>
      <c r="F283" s="76"/>
      <c r="G283" s="76"/>
      <c r="H283" s="76"/>
    </row>
    <row r="284" spans="1:15">
      <c r="A284" s="76"/>
      <c r="B284" s="76"/>
      <c r="C284" s="76"/>
      <c r="D284" s="76"/>
      <c r="E284" s="76"/>
      <c r="F284" s="76"/>
      <c r="G284" s="76"/>
      <c r="H284" s="76"/>
    </row>
    <row r="285" spans="1:15">
      <c r="A285" s="76"/>
      <c r="B285" s="76"/>
      <c r="C285" s="76"/>
      <c r="D285" s="76"/>
      <c r="E285" s="76"/>
      <c r="F285" s="76"/>
      <c r="G285" s="76"/>
      <c r="H285" s="76"/>
    </row>
    <row r="287" spans="1:1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</row>
    <row r="288" spans="1:1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</row>
    <row r="289" spans="1:1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</row>
    <row r="290" spans="1:15">
      <c r="A290" s="103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</row>
    <row r="291" spans="1:1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</row>
    <row r="292" spans="1:1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</row>
    <row r="293" spans="1:1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</row>
    <row r="294" spans="1:1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</row>
    <row r="295" spans="1:1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</row>
    <row r="296" spans="1:1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</row>
    <row r="297" spans="1:1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</row>
    <row r="298" spans="1:1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</row>
    <row r="299" spans="1:1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</row>
    <row r="300" spans="1:1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</row>
    <row r="301" spans="1:1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</row>
    <row r="302" spans="1:1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</row>
    <row r="303" spans="1:1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</row>
    <row r="304" spans="1:1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</row>
    <row r="305" spans="1:1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</row>
    <row r="306" spans="1:1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</row>
    <row r="307" spans="1:1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</row>
    <row r="308" spans="1:1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</row>
    <row r="309" spans="1:1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</row>
    <row r="310" spans="1:1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</row>
    <row r="311" spans="1:1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</row>
    <row r="312" spans="1:1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</row>
    <row r="313" spans="1:1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</row>
    <row r="314" spans="1:1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</row>
    <row r="315" spans="1: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</row>
    <row r="316" spans="1:1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</row>
    <row r="317" spans="1:1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</row>
    <row r="318" spans="1:1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</row>
    <row r="319" spans="1:1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</row>
    <row r="320" spans="1:1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</row>
    <row r="321" spans="1:1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</row>
    <row r="322" spans="1:1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</row>
    <row r="323" spans="1:1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</row>
    <row r="324" spans="1:1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</row>
    <row r="326" spans="1:15">
      <c r="B326" s="41"/>
      <c r="C326" s="41"/>
    </row>
  </sheetData>
  <mergeCells count="3">
    <mergeCell ref="D52:E52"/>
    <mergeCell ref="A52:B52"/>
    <mergeCell ref="A198:B198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1:P118"/>
  <sheetViews>
    <sheetView tabSelected="1" topLeftCell="C73" workbookViewId="0">
      <selection activeCell="E89" sqref="E89"/>
    </sheetView>
  </sheetViews>
  <sheetFormatPr defaultRowHeight="15"/>
  <cols>
    <col min="1" max="1" width="4.5703125" customWidth="1"/>
    <col min="2" max="2" width="7.140625" customWidth="1"/>
    <col min="3" max="3" width="38.28515625" customWidth="1"/>
    <col min="4" max="4" width="38.7109375" customWidth="1"/>
    <col min="5" max="5" width="16.7109375" customWidth="1"/>
    <col min="6" max="6" width="16.140625" customWidth="1"/>
    <col min="7" max="7" width="17" customWidth="1"/>
    <col min="8" max="8" width="18" customWidth="1"/>
    <col min="9" max="9" width="16.7109375" customWidth="1"/>
    <col min="10" max="10" width="15.42578125" customWidth="1"/>
    <col min="11" max="11" width="13.85546875" customWidth="1"/>
    <col min="12" max="12" width="12.5703125" customWidth="1"/>
  </cols>
  <sheetData>
    <row r="1" spans="3:12" ht="22.5">
      <c r="C1" s="105" t="s">
        <v>2</v>
      </c>
      <c r="E1" s="49" t="s">
        <v>82</v>
      </c>
      <c r="F1" s="50"/>
      <c r="G1" s="50"/>
      <c r="H1" s="51" t="s">
        <v>83</v>
      </c>
      <c r="I1" s="52"/>
      <c r="J1" s="52"/>
      <c r="K1" s="52"/>
      <c r="L1" s="52"/>
    </row>
    <row r="2" spans="3:12" ht="18">
      <c r="C2" s="125" t="s">
        <v>0</v>
      </c>
      <c r="D2" s="125"/>
      <c r="E2" s="6">
        <v>2005</v>
      </c>
      <c r="F2" s="6">
        <v>2006</v>
      </c>
      <c r="G2" s="6">
        <v>2007</v>
      </c>
      <c r="H2" s="6">
        <v>2008</v>
      </c>
      <c r="I2" s="6">
        <v>2009</v>
      </c>
      <c r="J2" s="6">
        <v>2010</v>
      </c>
      <c r="K2" s="6">
        <v>2011</v>
      </c>
      <c r="L2" s="6">
        <v>2012</v>
      </c>
    </row>
    <row r="3" spans="3:12">
      <c r="C3" s="3"/>
      <c r="D3" s="4" t="s">
        <v>3</v>
      </c>
      <c r="E3" s="53">
        <f>Inputs!E5</f>
        <v>2827</v>
      </c>
      <c r="F3" s="53">
        <f>Inputs!F5</f>
        <v>3214.4</v>
      </c>
      <c r="G3" s="106">
        <f>Inputs!G5</f>
        <v>3679.2</v>
      </c>
      <c r="H3" s="58">
        <f>Сalculations!B37</f>
        <v>4194.2880000000005</v>
      </c>
      <c r="I3" s="58">
        <f>Сalculations!C37</f>
        <v>4781.4883200000013</v>
      </c>
      <c r="J3" s="58">
        <f>Сalculations!D37</f>
        <v>5379.1743600000018</v>
      </c>
      <c r="K3" s="58">
        <f>Сalculations!E37</f>
        <v>5917.0917960000024</v>
      </c>
      <c r="L3" s="58">
        <f>Сalculations!F37</f>
        <v>6331.2882217200031</v>
      </c>
    </row>
    <row r="4" spans="3:12">
      <c r="C4" s="3"/>
      <c r="D4" s="4" t="s">
        <v>4</v>
      </c>
      <c r="E4" s="53">
        <f>Inputs!E6</f>
        <v>203.7</v>
      </c>
      <c r="F4" s="53">
        <f>Inputs!F6</f>
        <v>258.7</v>
      </c>
      <c r="G4" s="106">
        <f>Inputs!G6</f>
        <v>267</v>
      </c>
      <c r="H4" s="58">
        <f>Сalculations!B38</f>
        <v>304.38000000000005</v>
      </c>
      <c r="I4" s="58">
        <f>Сalculations!C38</f>
        <v>346.99320000000012</v>
      </c>
      <c r="J4" s="58">
        <f>Сalculations!D38</f>
        <v>390.36735000000016</v>
      </c>
      <c r="K4" s="58">
        <f>Сalculations!E38</f>
        <v>429.40408500000024</v>
      </c>
      <c r="L4" s="58">
        <f>Сalculations!F38</f>
        <v>459.46237095000026</v>
      </c>
    </row>
    <row r="5" spans="3:12">
      <c r="C5" s="3"/>
      <c r="D5" s="64" t="s">
        <v>138</v>
      </c>
      <c r="E5" s="69">
        <f>E3+E4</f>
        <v>3030.7</v>
      </c>
      <c r="F5" s="69">
        <f t="shared" ref="F5:G5" si="0">F3+F4</f>
        <v>3473.1</v>
      </c>
      <c r="G5" s="107">
        <f t="shared" si="0"/>
        <v>3946.2</v>
      </c>
      <c r="H5" s="108">
        <f>Сalculations!B39</f>
        <v>4498.6680000000006</v>
      </c>
      <c r="I5" s="108">
        <f>Сalculations!C39</f>
        <v>5128.4815200000012</v>
      </c>
      <c r="J5" s="108">
        <f>Сalculations!D39</f>
        <v>5769.5417100000022</v>
      </c>
      <c r="K5" s="108">
        <f>Сalculations!E39</f>
        <v>6346.4958810000026</v>
      </c>
      <c r="L5" s="108">
        <f>Сalculations!F39</f>
        <v>6790.7505926700032</v>
      </c>
    </row>
    <row r="6" spans="3:12">
      <c r="C6" s="126"/>
      <c r="D6" s="126"/>
      <c r="E6" s="63"/>
      <c r="F6" s="63"/>
      <c r="G6" s="63"/>
      <c r="H6" s="63"/>
      <c r="I6" s="63"/>
      <c r="J6" s="63"/>
      <c r="K6" s="63"/>
      <c r="L6" s="63"/>
    </row>
    <row r="7" spans="3:12">
      <c r="C7" s="3"/>
      <c r="D7" s="4" t="s">
        <v>5</v>
      </c>
      <c r="E7" s="53">
        <f>Inputs!E9</f>
        <v>604.1</v>
      </c>
      <c r="F7" s="53">
        <f>Inputs!F9</f>
        <v>639.70000000000005</v>
      </c>
      <c r="G7" s="53">
        <f>Inputs!G9</f>
        <v>717.1</v>
      </c>
      <c r="H7" s="35">
        <f>Сalculations!B40</f>
        <v>817.49400000000014</v>
      </c>
      <c r="I7" s="35">
        <f>Сalculations!C40</f>
        <v>931.94316000000038</v>
      </c>
      <c r="J7" s="35">
        <f>Сalculations!D40</f>
        <v>1048.4360550000006</v>
      </c>
      <c r="K7" s="35">
        <f>Сalculations!E40</f>
        <v>1153.2796605000005</v>
      </c>
      <c r="L7" s="35">
        <f>Сalculations!F40</f>
        <v>1234.0092367350007</v>
      </c>
    </row>
    <row r="8" spans="3:12">
      <c r="C8" s="3"/>
      <c r="D8" s="5" t="s">
        <v>6</v>
      </c>
      <c r="E8" s="53">
        <f>Inputs!E10</f>
        <v>511.9</v>
      </c>
      <c r="F8" s="53">
        <f>Inputs!F10</f>
        <v>568.9</v>
      </c>
      <c r="G8" s="53">
        <f>Inputs!G10</f>
        <v>640.20000000000005</v>
      </c>
      <c r="H8" s="35">
        <f>Сalculations!B41</f>
        <v>729.82800000000009</v>
      </c>
      <c r="I8" s="35">
        <f>Сalculations!C41</f>
        <v>832.00392000000033</v>
      </c>
      <c r="J8" s="35">
        <f>Сalculations!D41</f>
        <v>936.00441000000035</v>
      </c>
      <c r="K8" s="35">
        <f>Сalculations!E41</f>
        <v>1029.6048510000005</v>
      </c>
      <c r="L8" s="35">
        <f>Сalculations!F41</f>
        <v>1101.6771905700007</v>
      </c>
    </row>
    <row r="9" spans="3:12">
      <c r="C9" s="3"/>
      <c r="D9" s="4" t="s">
        <v>7</v>
      </c>
      <c r="E9" s="53">
        <f>Inputs!E11</f>
        <v>1217.7</v>
      </c>
      <c r="F9" s="53">
        <f>Inputs!F11</f>
        <v>1399.6</v>
      </c>
      <c r="G9" s="53">
        <f>Inputs!G11</f>
        <v>1555.6</v>
      </c>
      <c r="H9" s="35">
        <f>Сalculations!B42</f>
        <v>1773.3390621088108</v>
      </c>
      <c r="I9" s="35">
        <f>Сalculations!C42</f>
        <v>2021.6065308040445</v>
      </c>
      <c r="J9" s="35">
        <f>Сalculations!D42</f>
        <v>2274.3073471545504</v>
      </c>
      <c r="K9" s="35">
        <f>Сalculations!E42</f>
        <v>2501.7380818700058</v>
      </c>
      <c r="L9" s="35">
        <f>Сalculations!F42</f>
        <v>2676.8597476009063</v>
      </c>
    </row>
    <row r="10" spans="3:12" s="63" customFormat="1">
      <c r="C10" s="3"/>
      <c r="D10" s="28" t="s">
        <v>69</v>
      </c>
      <c r="E10" s="70">
        <f>Inputs!E12</f>
        <v>697.10000000000014</v>
      </c>
      <c r="F10" s="70">
        <f>Inputs!F12</f>
        <v>865</v>
      </c>
      <c r="G10" s="70">
        <f>Inputs!G12</f>
        <v>1033.4000000000001</v>
      </c>
      <c r="H10" s="109">
        <f>Сalculations!B43</f>
        <v>1178.0069378911896</v>
      </c>
      <c r="I10" s="109">
        <f>Сalculations!C43</f>
        <v>1342.9279091959559</v>
      </c>
      <c r="J10" s="109">
        <f>Сalculations!D43</f>
        <v>1510.7938978454504</v>
      </c>
      <c r="K10" s="109">
        <f>Сalculations!E43</f>
        <v>1661.8732876299964</v>
      </c>
      <c r="L10" s="109">
        <f>Сalculations!F43</f>
        <v>1778.2044177640955</v>
      </c>
    </row>
    <row r="11" spans="3:12" s="63" customFormat="1">
      <c r="C11" s="3"/>
    </row>
    <row r="12" spans="3:12">
      <c r="C12" s="3"/>
      <c r="D12" s="4" t="s">
        <v>8</v>
      </c>
      <c r="E12" s="53">
        <f>Inputs!E14</f>
        <v>490.1</v>
      </c>
      <c r="F12" s="53">
        <f>Inputs!F14</f>
        <v>555.5</v>
      </c>
      <c r="G12" s="106">
        <f>Inputs!G14</f>
        <v>582.29999999999995</v>
      </c>
      <c r="H12" s="58">
        <f>Сalculations!B44</f>
        <v>668.50239281079166</v>
      </c>
      <c r="I12" s="58">
        <f>Сalculations!C44</f>
        <v>762.09272780430251</v>
      </c>
      <c r="J12" s="58">
        <f>Сalculations!D44</f>
        <v>918.59391297840045</v>
      </c>
      <c r="K12" s="58">
        <f>Сalculations!E44</f>
        <v>1030.6623703617652</v>
      </c>
      <c r="L12" s="58">
        <f>Сalculations!F44</f>
        <v>1117.22453676143</v>
      </c>
    </row>
    <row r="13" spans="3:12">
      <c r="C13" s="3"/>
      <c r="D13" s="28" t="s">
        <v>70</v>
      </c>
      <c r="E13" s="71">
        <f>Inputs!E15</f>
        <v>207.00000000000011</v>
      </c>
      <c r="F13" s="71">
        <f>Inputs!F15</f>
        <v>309.5</v>
      </c>
      <c r="G13" s="71">
        <f>Inputs!G15</f>
        <v>451.10000000000014</v>
      </c>
      <c r="H13" s="108">
        <f>Сalculations!C138</f>
        <v>514.20000000000005</v>
      </c>
      <c r="I13" s="108">
        <f>Сalculations!D138</f>
        <v>586.20000000000005</v>
      </c>
      <c r="J13" s="108">
        <f>Сalculations!E138</f>
        <v>598.6</v>
      </c>
      <c r="K13" s="108">
        <f>Сalculations!F138</f>
        <v>638.4</v>
      </c>
      <c r="L13" s="108">
        <f>Сalculations!G138</f>
        <v>668.8</v>
      </c>
    </row>
    <row r="14" spans="3:12">
      <c r="C14" s="126"/>
      <c r="D14" s="126"/>
      <c r="E14" s="63"/>
      <c r="F14" s="63"/>
      <c r="G14" s="63"/>
      <c r="H14" s="63"/>
      <c r="I14" s="63"/>
      <c r="J14" s="63"/>
      <c r="K14" s="63"/>
      <c r="L14" s="63"/>
    </row>
    <row r="15" spans="3:12">
      <c r="C15" s="3"/>
      <c r="D15" s="4" t="s">
        <v>9</v>
      </c>
      <c r="E15" s="53">
        <f>Inputs!E17</f>
        <v>84.9</v>
      </c>
      <c r="F15" s="53">
        <f>Inputs!F17</f>
        <v>93.7</v>
      </c>
      <c r="G15" s="106">
        <f>Inputs!G17</f>
        <v>84.7</v>
      </c>
      <c r="H15" s="111">
        <f>Сalculations!C139</f>
        <v>199</v>
      </c>
      <c r="I15" s="111">
        <f>Сalculations!D139</f>
        <v>184</v>
      </c>
      <c r="J15" s="111">
        <f>Сalculations!E139</f>
        <v>165</v>
      </c>
      <c r="K15" s="111">
        <f>Сalculations!F139</f>
        <v>148</v>
      </c>
      <c r="L15" s="111">
        <f>Сalculations!G139</f>
        <v>127</v>
      </c>
    </row>
    <row r="16" spans="3:12">
      <c r="C16" s="3"/>
      <c r="D16" s="63" t="s">
        <v>108</v>
      </c>
      <c r="E16" s="53">
        <f>Inputs!E18</f>
        <v>66.7</v>
      </c>
      <c r="F16" s="53">
        <f>Inputs!F18</f>
        <v>93.1</v>
      </c>
      <c r="G16" s="106">
        <f>Inputs!G18</f>
        <v>90</v>
      </c>
      <c r="H16" s="111">
        <f>Сalculations!C140</f>
        <v>0</v>
      </c>
      <c r="I16" s="111">
        <f>Сalculations!D140</f>
        <v>0</v>
      </c>
      <c r="J16" s="111">
        <f>Сalculations!E140</f>
        <v>0</v>
      </c>
      <c r="K16" s="111">
        <f>Сalculations!F140</f>
        <v>0</v>
      </c>
      <c r="L16" s="111">
        <f>Сalculations!G140</f>
        <v>0</v>
      </c>
    </row>
    <row r="17" spans="3:12">
      <c r="C17" s="3"/>
      <c r="D17" s="5" t="s">
        <v>10</v>
      </c>
      <c r="E17" s="53">
        <f>Inputs!E19</f>
        <v>18.100000000000001</v>
      </c>
      <c r="F17" s="53">
        <f>Inputs!F19</f>
        <v>50.8</v>
      </c>
      <c r="G17" s="106">
        <f>Inputs!G19</f>
        <v>83.1</v>
      </c>
      <c r="H17" s="111">
        <f>Сalculations!C141</f>
        <v>0</v>
      </c>
      <c r="I17" s="111">
        <f>Сalculations!D141</f>
        <v>0</v>
      </c>
      <c r="J17" s="111">
        <f>Сalculations!E141</f>
        <v>0</v>
      </c>
      <c r="K17" s="111">
        <f>Сalculations!F141</f>
        <v>0</v>
      </c>
      <c r="L17" s="111">
        <f>Сalculations!G141</f>
        <v>0</v>
      </c>
    </row>
    <row r="18" spans="3:12">
      <c r="C18" s="3"/>
      <c r="D18" s="5" t="s">
        <v>11</v>
      </c>
      <c r="E18" s="53">
        <f>Inputs!E20</f>
        <v>54.5</v>
      </c>
      <c r="F18" s="53">
        <f>Inputs!F20</f>
        <v>-46.6</v>
      </c>
      <c r="G18" s="106">
        <f>Inputs!G20</f>
        <v>7</v>
      </c>
      <c r="H18" s="112">
        <f>Сalculations!C142</f>
        <v>0</v>
      </c>
      <c r="I18" s="112">
        <f>Сalculations!D142</f>
        <v>0</v>
      </c>
      <c r="J18" s="112">
        <f>Сalculations!E142</f>
        <v>0</v>
      </c>
      <c r="K18" s="112">
        <f>Сalculations!F142</f>
        <v>0</v>
      </c>
      <c r="L18" s="112">
        <f>Сalculations!G142</f>
        <v>0</v>
      </c>
    </row>
    <row r="19" spans="3:12">
      <c r="D19" s="28" t="s">
        <v>75</v>
      </c>
      <c r="E19" s="71">
        <f>Inputs!E21</f>
        <v>261.40000000000009</v>
      </c>
      <c r="F19" s="71">
        <f>Inputs!F21</f>
        <v>313.09999999999997</v>
      </c>
      <c r="G19" s="110">
        <f>Inputs!G21</f>
        <v>546.50000000000011</v>
      </c>
      <c r="H19" s="113">
        <f>Сalculations!C143</f>
        <v>315.20000000000005</v>
      </c>
      <c r="I19" s="113">
        <f>Сalculations!D143</f>
        <v>402.20000000000005</v>
      </c>
      <c r="J19" s="113">
        <f>Сalculations!E143</f>
        <v>433.6</v>
      </c>
      <c r="K19" s="113">
        <f>Сalculations!F143</f>
        <v>490.4</v>
      </c>
      <c r="L19" s="113">
        <f>Сalculations!G143</f>
        <v>541.79999999999995</v>
      </c>
    </row>
    <row r="20" spans="3:12">
      <c r="D20" s="63"/>
      <c r="E20" s="63"/>
      <c r="F20" s="63"/>
      <c r="G20" s="63"/>
      <c r="H20" s="63"/>
      <c r="I20" s="63"/>
      <c r="J20" s="63"/>
      <c r="K20" s="63"/>
      <c r="L20" s="63"/>
    </row>
    <row r="21" spans="3:12" s="63" customFormat="1">
      <c r="D21" s="4" t="s">
        <v>110</v>
      </c>
      <c r="E21" s="53">
        <f>Inputs!E23</f>
        <v>52.280000000000022</v>
      </c>
      <c r="F21" s="53">
        <f>Inputs!F23</f>
        <v>62.62</v>
      </c>
      <c r="G21" s="106">
        <f>Inputs!G23</f>
        <v>109.30000000000003</v>
      </c>
      <c r="H21" s="113">
        <f>Сalculations!C144</f>
        <v>63.040000000000013</v>
      </c>
      <c r="I21" s="113">
        <f>Сalculations!D144</f>
        <v>80.440000000000012</v>
      </c>
      <c r="J21" s="113">
        <f>Сalculations!E144</f>
        <v>86.720000000000013</v>
      </c>
      <c r="K21" s="113">
        <f>Сalculations!F144</f>
        <v>98.08</v>
      </c>
      <c r="L21" s="113">
        <f>Сalculations!G144</f>
        <v>108.36</v>
      </c>
    </row>
    <row r="22" spans="3:12" s="63" customFormat="1">
      <c r="D22" s="67" t="s">
        <v>76</v>
      </c>
      <c r="E22" s="71">
        <f>Inputs!E24</f>
        <v>209.12000000000006</v>
      </c>
      <c r="F22" s="71">
        <f>Inputs!F24</f>
        <v>250.47999999999996</v>
      </c>
      <c r="G22" s="110">
        <f>Inputs!G24</f>
        <v>437.2000000000001</v>
      </c>
      <c r="H22" s="114">
        <f>Сalculations!C145</f>
        <v>252.16000000000003</v>
      </c>
      <c r="I22" s="114">
        <f>Сalculations!D145</f>
        <v>321.76000000000005</v>
      </c>
      <c r="J22" s="114">
        <f>Сalculations!E145</f>
        <v>346.88</v>
      </c>
      <c r="K22" s="114">
        <f>Сalculations!F145</f>
        <v>392.32</v>
      </c>
      <c r="L22" s="114">
        <f>Сalculations!G145</f>
        <v>433.43999999999994</v>
      </c>
    </row>
    <row r="23" spans="3:12" s="63" customFormat="1" ht="18">
      <c r="C23" s="125"/>
      <c r="D23" s="125"/>
      <c r="E23" s="6"/>
      <c r="F23" s="6"/>
      <c r="G23" s="6"/>
      <c r="H23" s="125"/>
      <c r="I23" s="125"/>
      <c r="J23" s="6"/>
      <c r="K23" s="6"/>
      <c r="L23" s="6"/>
    </row>
    <row r="24" spans="3:12" s="63" customFormat="1">
      <c r="D24" s="67" t="s">
        <v>71</v>
      </c>
      <c r="E24" s="116">
        <f>Сalculations!B8</f>
        <v>165.60000000000011</v>
      </c>
      <c r="F24" s="116">
        <f>Сalculations!C8</f>
        <v>247.60000000000002</v>
      </c>
      <c r="G24" s="117">
        <f>Сalculations!D8</f>
        <v>360.88000000000011</v>
      </c>
      <c r="H24" s="118">
        <f>Сalculations!B47</f>
        <v>407.60363606431838</v>
      </c>
      <c r="I24" s="118">
        <f>Сalculations!C47</f>
        <v>464.66814511332268</v>
      </c>
      <c r="J24" s="118">
        <f>Сalculations!D47</f>
        <v>473.75998789363996</v>
      </c>
      <c r="K24" s="118">
        <f>Сalculations!E47</f>
        <v>504.96873381458499</v>
      </c>
      <c r="L24" s="118">
        <f>Сalculations!F47</f>
        <v>528.78390480213238</v>
      </c>
    </row>
    <row r="25" spans="3:12" s="63" customFormat="1">
      <c r="D25" s="67" t="s">
        <v>61</v>
      </c>
      <c r="E25" s="116" t="str">
        <f>Сalculations!B3</f>
        <v>-</v>
      </c>
      <c r="F25" s="116">
        <f>Сalculations!C3</f>
        <v>631.30000000000018</v>
      </c>
      <c r="G25" s="117">
        <f>Сalculations!D3</f>
        <v>548.59999999999968</v>
      </c>
      <c r="H25" s="118">
        <f>Сalculations!B55</f>
        <v>629.81352000000015</v>
      </c>
      <c r="I25" s="118">
        <f>Сalculations!C55</f>
        <v>717.98741280000024</v>
      </c>
      <c r="J25" s="118">
        <f>Сalculations!D55</f>
        <v>865.43125650000036</v>
      </c>
      <c r="K25" s="118">
        <f>Сalculations!E55</f>
        <v>971.01386979300037</v>
      </c>
      <c r="L25" s="118">
        <f>Сalculations!F55</f>
        <v>1052.5663418638505</v>
      </c>
    </row>
    <row r="26" spans="3:12" s="63" customFormat="1">
      <c r="D26" s="67" t="s">
        <v>62</v>
      </c>
      <c r="E26" s="116" t="str">
        <f>Сalculations!B5</f>
        <v>-</v>
      </c>
      <c r="F26" s="116">
        <f>Сalculations!C5</f>
        <v>54.80000000000004</v>
      </c>
      <c r="G26" s="117">
        <f>Сalculations!D5</f>
        <v>-18.90000000000002</v>
      </c>
      <c r="H26" s="118">
        <f>Сalculations!B63</f>
        <v>16.041299951853645</v>
      </c>
      <c r="I26" s="118">
        <f>Сalculations!C63</f>
        <v>18.30378199325952</v>
      </c>
      <c r="J26" s="118">
        <f>Сalculations!D63</f>
        <v>18.630635243139125</v>
      </c>
      <c r="K26" s="118">
        <f>Сalculations!E63</f>
        <v>16.767571718825252</v>
      </c>
      <c r="L26" s="118">
        <f>Сalculations!F63</f>
        <v>12.911030223495345</v>
      </c>
    </row>
    <row r="27" spans="3:12" s="63" customFormat="1">
      <c r="D27" s="67" t="s">
        <v>72</v>
      </c>
      <c r="E27" s="116" t="s">
        <v>64</v>
      </c>
      <c r="F27" s="116">
        <f>Сalculations!C9</f>
        <v>116.99999999999977</v>
      </c>
      <c r="G27" s="117">
        <f>Сalculations!D9</f>
        <v>413.48000000000036</v>
      </c>
      <c r="H27" s="118">
        <f>Сalculations!B51</f>
        <v>430.25120892325617</v>
      </c>
      <c r="I27" s="118">
        <f>Сalculations!C51</f>
        <v>490.46967812436549</v>
      </c>
      <c r="J27" s="118">
        <f>Сalculations!D51</f>
        <v>508.29200912890099</v>
      </c>
      <c r="K27" s="118">
        <f>Сalculations!E51</f>
        <v>547.84966266452443</v>
      </c>
      <c r="L27" s="118">
        <f>Сalculations!F51</f>
        <v>580.53106947621654</v>
      </c>
    </row>
    <row r="28" spans="3:12" s="63" customFormat="1"/>
    <row r="30" spans="3:12" ht="18" customHeight="1">
      <c r="C30" s="38" t="s">
        <v>32</v>
      </c>
    </row>
    <row r="31" spans="3:12" ht="15.75">
      <c r="E31" s="49" t="s">
        <v>82</v>
      </c>
      <c r="F31" s="50"/>
      <c r="G31" s="50"/>
      <c r="H31" s="51" t="s">
        <v>83</v>
      </c>
      <c r="I31" s="52"/>
      <c r="J31" s="52"/>
      <c r="K31" s="52"/>
      <c r="L31" s="52"/>
    </row>
    <row r="32" spans="3:12" ht="18">
      <c r="C32" s="9" t="s">
        <v>12</v>
      </c>
      <c r="D32" s="9"/>
      <c r="E32" s="6">
        <v>2005</v>
      </c>
      <c r="F32" s="6">
        <v>2006</v>
      </c>
      <c r="G32" s="6">
        <v>2007</v>
      </c>
      <c r="H32" s="6">
        <v>2008</v>
      </c>
      <c r="I32" s="6">
        <v>2009</v>
      </c>
      <c r="J32" s="6">
        <v>2010</v>
      </c>
      <c r="K32" s="6">
        <v>2011</v>
      </c>
      <c r="L32" s="6">
        <v>2012</v>
      </c>
    </row>
    <row r="33" spans="3:16">
      <c r="C33" s="10" t="s">
        <v>13</v>
      </c>
      <c r="D33" s="11"/>
      <c r="E33" s="18"/>
      <c r="F33" s="18"/>
      <c r="G33" s="18"/>
      <c r="H33" s="18"/>
      <c r="I33" s="18"/>
      <c r="J33" s="18"/>
      <c r="K33" s="18"/>
      <c r="L33" s="18"/>
    </row>
    <row r="34" spans="3:16">
      <c r="C34" s="8"/>
      <c r="D34" s="12" t="s">
        <v>14</v>
      </c>
      <c r="E34" s="47">
        <f>Inputs!E34</f>
        <v>29</v>
      </c>
      <c r="F34" s="47">
        <f>Inputs!F34</f>
        <v>32.9</v>
      </c>
      <c r="G34" s="47">
        <f>Inputs!G34</f>
        <v>204.5</v>
      </c>
      <c r="H34" s="35">
        <f>Сalculations!D152</f>
        <v>181.6</v>
      </c>
      <c r="I34" s="35">
        <f>Сalculations!E152</f>
        <v>215.8</v>
      </c>
      <c r="J34" s="35">
        <f>Сalculations!F152</f>
        <v>263.8</v>
      </c>
      <c r="K34" s="35">
        <f>Сalculations!G152</f>
        <v>347.8</v>
      </c>
      <c r="L34" s="35">
        <f>Сalculations!H152</f>
        <v>-1674.8</v>
      </c>
    </row>
    <row r="35" spans="3:16">
      <c r="C35" s="8"/>
      <c r="D35" s="12" t="s">
        <v>33</v>
      </c>
      <c r="E35" s="47">
        <f>Inputs!E35</f>
        <v>0</v>
      </c>
      <c r="F35" s="47">
        <f>Inputs!F35</f>
        <v>249</v>
      </c>
      <c r="G35" s="47">
        <f>Inputs!G35</f>
        <v>16.399999999999999</v>
      </c>
      <c r="H35" s="35">
        <f>Сalculations!D153</f>
        <v>16.399999999999999</v>
      </c>
      <c r="I35" s="35">
        <f>Сalculations!E153</f>
        <v>16.399999999999999</v>
      </c>
      <c r="J35" s="35">
        <f>Сalculations!F153</f>
        <v>16.399999999999999</v>
      </c>
      <c r="K35" s="35">
        <f>Сalculations!G153</f>
        <v>16.399999999999999</v>
      </c>
      <c r="L35" s="35">
        <f>Сalculations!H153</f>
        <v>16.399999999999999</v>
      </c>
    </row>
    <row r="36" spans="3:16">
      <c r="C36" s="8"/>
      <c r="D36" s="12" t="s">
        <v>15</v>
      </c>
      <c r="E36" s="47">
        <f>Inputs!E36</f>
        <v>362.4</v>
      </c>
      <c r="F36" s="47">
        <f>Inputs!F36</f>
        <v>407.4</v>
      </c>
      <c r="G36" s="47">
        <f>Inputs!G36</f>
        <v>435.5</v>
      </c>
      <c r="H36" s="35">
        <f>Сalculations!D154</f>
        <v>496.5</v>
      </c>
      <c r="I36" s="35">
        <f>Сalculations!E154</f>
        <v>566</v>
      </c>
      <c r="J36" s="35">
        <f>Сalculations!F154</f>
        <v>636.70000000000005</v>
      </c>
      <c r="K36" s="35">
        <f>Сalculations!G154</f>
        <v>700.4</v>
      </c>
      <c r="L36" s="35">
        <f>Сalculations!H154</f>
        <v>749.4</v>
      </c>
    </row>
    <row r="37" spans="3:16">
      <c r="C37" s="8"/>
      <c r="D37" s="12" t="s">
        <v>16</v>
      </c>
      <c r="E37" s="47">
        <f>Inputs!E37</f>
        <v>92.7</v>
      </c>
      <c r="F37" s="47">
        <f>Inputs!F37</f>
        <v>117.2</v>
      </c>
      <c r="G37" s="47">
        <f>Inputs!G37</f>
        <v>101</v>
      </c>
      <c r="H37" s="35">
        <f>Сalculations!D155</f>
        <v>115.1</v>
      </c>
      <c r="I37" s="35">
        <f>Сalculations!E155</f>
        <v>131.30000000000001</v>
      </c>
      <c r="J37" s="35">
        <f>Сalculations!F155</f>
        <v>147.69999999999999</v>
      </c>
      <c r="K37" s="35">
        <f>Сalculations!G155</f>
        <v>162.4</v>
      </c>
      <c r="L37" s="35">
        <f>Сalculations!H155</f>
        <v>173.8</v>
      </c>
    </row>
    <row r="38" spans="3:16">
      <c r="C38" s="8"/>
      <c r="D38" s="12" t="s">
        <v>17</v>
      </c>
      <c r="E38" s="47">
        <f>Inputs!E38</f>
        <v>32.1</v>
      </c>
      <c r="F38" s="47">
        <f>Inputs!F38</f>
        <v>35</v>
      </c>
      <c r="G38" s="47">
        <f>Inputs!G38</f>
        <v>41.6</v>
      </c>
      <c r="H38" s="35">
        <f>Сalculations!D156</f>
        <v>47.4</v>
      </c>
      <c r="I38" s="35">
        <f>Сalculations!E156</f>
        <v>54.1</v>
      </c>
      <c r="J38" s="35">
        <f>Сalculations!F156</f>
        <v>60.8</v>
      </c>
      <c r="K38" s="35">
        <f>Сalculations!G156</f>
        <v>66.900000000000006</v>
      </c>
      <c r="L38" s="35">
        <f>Сalculations!H156</f>
        <v>71.599999999999994</v>
      </c>
    </row>
    <row r="39" spans="3:16">
      <c r="C39" s="8"/>
      <c r="D39" s="12" t="s">
        <v>34</v>
      </c>
      <c r="E39" s="47">
        <f>Inputs!E39</f>
        <v>8.1999999999999993</v>
      </c>
      <c r="F39" s="47">
        <f>Inputs!F39</f>
        <v>0</v>
      </c>
      <c r="G39" s="47">
        <f>Inputs!G39</f>
        <v>18.600000000000001</v>
      </c>
      <c r="H39" s="35">
        <f>Сalculations!D157</f>
        <v>18.600000000000001</v>
      </c>
      <c r="I39" s="35">
        <f>Сalculations!E157</f>
        <v>18.600000000000001</v>
      </c>
      <c r="J39" s="35">
        <f>Сalculations!F157</f>
        <v>18.600000000000001</v>
      </c>
      <c r="K39" s="35">
        <f>Сalculations!G157</f>
        <v>18.600000000000001</v>
      </c>
      <c r="L39" s="35">
        <f>Сalculations!H157</f>
        <v>18.600000000000001</v>
      </c>
    </row>
    <row r="40" spans="3:16">
      <c r="C40" s="8"/>
      <c r="D40" s="12" t="s">
        <v>35</v>
      </c>
      <c r="E40" s="47">
        <f>Inputs!E40</f>
        <v>15.5</v>
      </c>
      <c r="F40" s="47">
        <f>Inputs!F40</f>
        <v>13.4</v>
      </c>
      <c r="G40" s="47">
        <f>Inputs!G40</f>
        <v>16.2</v>
      </c>
      <c r="H40" s="35">
        <f>Сalculations!D158</f>
        <v>16.2</v>
      </c>
      <c r="I40" s="35">
        <f>Сalculations!E158</f>
        <v>16.2</v>
      </c>
      <c r="J40" s="35">
        <f>Сalculations!F158</f>
        <v>16.2</v>
      </c>
      <c r="K40" s="35">
        <f>Сalculations!G158</f>
        <v>16.2</v>
      </c>
      <c r="L40" s="35">
        <f>Сalculations!H158</f>
        <v>16.2</v>
      </c>
    </row>
    <row r="41" spans="3:16">
      <c r="C41" s="8"/>
      <c r="D41" s="13" t="s">
        <v>18</v>
      </c>
      <c r="E41" s="54">
        <v>539.9</v>
      </c>
      <c r="F41" s="54">
        <v>854.9</v>
      </c>
      <c r="G41" s="54">
        <v>833.8</v>
      </c>
      <c r="H41" s="48">
        <f>SUM(H34:H40)</f>
        <v>891.80000000000007</v>
      </c>
      <c r="I41" s="48">
        <f t="shared" ref="I41:L41" si="1">SUM(I34:I40)</f>
        <v>1018.4000000000001</v>
      </c>
      <c r="J41" s="48">
        <f t="shared" si="1"/>
        <v>1160.2</v>
      </c>
      <c r="K41" s="48">
        <f t="shared" si="1"/>
        <v>1328.7</v>
      </c>
      <c r="L41" s="48">
        <f t="shared" si="1"/>
        <v>-628.79999999999973</v>
      </c>
    </row>
    <row r="42" spans="3:16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3:16">
      <c r="C43" s="10" t="s">
        <v>19</v>
      </c>
      <c r="D43" s="11"/>
      <c r="E43" s="20"/>
      <c r="F43" s="20"/>
      <c r="G43" s="20"/>
      <c r="H43" s="20"/>
      <c r="I43" s="20"/>
      <c r="J43" s="20"/>
      <c r="K43" s="20"/>
      <c r="L43" s="20"/>
      <c r="M43" s="63"/>
      <c r="N43" s="63"/>
      <c r="O43" s="63"/>
      <c r="P43" s="63"/>
    </row>
    <row r="44" spans="3:16">
      <c r="C44" s="8"/>
      <c r="D44" s="12" t="s">
        <v>20</v>
      </c>
      <c r="E44" s="119">
        <f>Inputs!E43</f>
        <v>2553</v>
      </c>
      <c r="F44" s="119">
        <f>Inputs!F43</f>
        <v>2628.8</v>
      </c>
      <c r="G44" s="120">
        <f>Inputs!G43</f>
        <v>2595.1</v>
      </c>
      <c r="H44" s="113">
        <f>Сalculations!D161</f>
        <v>2556.4111271892084</v>
      </c>
      <c r="I44" s="113">
        <f>Сalculations!E161</f>
        <v>2512.3058121849062</v>
      </c>
      <c r="J44" s="113">
        <f>Сalculations!F161</f>
        <v>2459.1431557065061</v>
      </c>
      <c r="K44" s="113">
        <f>Сalculations!G161</f>
        <v>2399.4946551377416</v>
      </c>
      <c r="L44" s="113">
        <f>Сalculations!H161</f>
        <v>2334.8364602401621</v>
      </c>
      <c r="M44" s="63"/>
    </row>
    <row r="45" spans="3:16">
      <c r="C45" s="8"/>
      <c r="D45" s="12" t="s">
        <v>36</v>
      </c>
      <c r="E45" s="119">
        <f>Inputs!E44</f>
        <v>1362.3</v>
      </c>
      <c r="F45" s="119">
        <f>Inputs!F44</f>
        <v>1494.3</v>
      </c>
      <c r="G45" s="120">
        <f>Inputs!G44</f>
        <v>1482.4</v>
      </c>
      <c r="H45" s="113">
        <f>Сalculations!D162</f>
        <v>1482.4</v>
      </c>
      <c r="I45" s="113">
        <f>Сalculations!E162</f>
        <v>1482.4</v>
      </c>
      <c r="J45" s="113">
        <f>Сalculations!F162</f>
        <v>1482.4</v>
      </c>
      <c r="K45" s="113">
        <f>Сalculations!G162</f>
        <v>1482.4</v>
      </c>
      <c r="L45" s="113">
        <f>Сalculations!H162</f>
        <v>1482.4</v>
      </c>
      <c r="M45" s="63"/>
    </row>
    <row r="46" spans="3:16">
      <c r="C46" s="8"/>
      <c r="D46" s="12" t="s">
        <v>111</v>
      </c>
      <c r="E46" s="119">
        <f>Inputs!E45</f>
        <v>47.6</v>
      </c>
      <c r="F46" s="119">
        <f>Inputs!F45</f>
        <v>26.2</v>
      </c>
      <c r="G46" s="120">
        <f>Inputs!G45</f>
        <v>15.4</v>
      </c>
      <c r="H46" s="113">
        <f>Сalculations!D163</f>
        <v>15.4</v>
      </c>
      <c r="I46" s="113">
        <f>Сalculations!E163</f>
        <v>15.4</v>
      </c>
      <c r="J46" s="113">
        <f>Сalculations!F163</f>
        <v>15.4</v>
      </c>
      <c r="K46" s="113">
        <f>Сalculations!G163</f>
        <v>15.4</v>
      </c>
      <c r="L46" s="113">
        <f>Сalculations!H163</f>
        <v>15.4</v>
      </c>
      <c r="M46" s="63"/>
    </row>
    <row r="47" spans="3:16">
      <c r="C47" s="8"/>
      <c r="D47" s="12" t="s">
        <v>38</v>
      </c>
      <c r="E47" s="119">
        <f>Inputs!E46</f>
        <v>225.4</v>
      </c>
      <c r="F47" s="119">
        <f>Inputs!F46</f>
        <v>4.9000000000000004</v>
      </c>
      <c r="G47" s="120">
        <f>Inputs!G46</f>
        <v>0</v>
      </c>
      <c r="H47" s="113">
        <f>Сalculations!D164</f>
        <v>0</v>
      </c>
      <c r="I47" s="113">
        <f>Сalculations!E164</f>
        <v>0</v>
      </c>
      <c r="J47" s="113">
        <f>Сalculations!F164</f>
        <v>0</v>
      </c>
      <c r="K47" s="113">
        <f>Сalculations!G164</f>
        <v>0</v>
      </c>
      <c r="L47" s="113">
        <f>Сalculations!H164</f>
        <v>0</v>
      </c>
      <c r="M47" s="63"/>
    </row>
    <row r="48" spans="3:16">
      <c r="C48" s="8"/>
      <c r="D48" s="12" t="s">
        <v>39</v>
      </c>
      <c r="E48" s="119">
        <f>Inputs!E47</f>
        <v>172.1</v>
      </c>
      <c r="F48" s="119">
        <f>Inputs!F47</f>
        <v>150.30000000000001</v>
      </c>
      <c r="G48" s="120">
        <f>Inputs!G47</f>
        <v>157.69999999999999</v>
      </c>
      <c r="H48" s="113">
        <f>Сalculations!D165</f>
        <v>157.69999999999999</v>
      </c>
      <c r="I48" s="113">
        <f>Сalculations!E165</f>
        <v>157.69999999999999</v>
      </c>
      <c r="J48" s="113">
        <f>Сalculations!F165</f>
        <v>157.69999999999999</v>
      </c>
      <c r="K48" s="113">
        <f>Сalculations!G165</f>
        <v>157.69999999999999</v>
      </c>
      <c r="L48" s="113">
        <f>Сalculations!H165</f>
        <v>157.69999999999999</v>
      </c>
      <c r="M48" s="63"/>
    </row>
    <row r="49" spans="3:14">
      <c r="C49" s="8"/>
      <c r="D49" s="12" t="s">
        <v>40</v>
      </c>
      <c r="E49" s="119">
        <f>Inputs!E48</f>
        <v>4.7</v>
      </c>
      <c r="F49" s="119">
        <f>Inputs!F48</f>
        <v>4.5</v>
      </c>
      <c r="G49" s="120">
        <f>Inputs!G48</f>
        <v>4.4000000000000004</v>
      </c>
      <c r="H49" s="113">
        <f>Сalculations!D166</f>
        <v>4.4000000000000004</v>
      </c>
      <c r="I49" s="113">
        <f>Сalculations!E166</f>
        <v>4.4000000000000004</v>
      </c>
      <c r="J49" s="113">
        <f>Сalculations!F166</f>
        <v>4.4000000000000004</v>
      </c>
      <c r="K49" s="113">
        <f>Сalculations!G166</f>
        <v>4.4000000000000004</v>
      </c>
      <c r="L49" s="113">
        <f>Сalculations!H166</f>
        <v>4.4000000000000004</v>
      </c>
      <c r="M49" s="63"/>
    </row>
    <row r="50" spans="3:14">
      <c r="C50" s="8"/>
      <c r="D50" s="12" t="s">
        <v>37</v>
      </c>
      <c r="E50" s="119">
        <f>Inputs!E49</f>
        <v>481.2</v>
      </c>
      <c r="F50" s="119">
        <f>Inputs!F49</f>
        <v>485.5</v>
      </c>
      <c r="G50" s="120">
        <f>Inputs!G49</f>
        <v>491.3</v>
      </c>
      <c r="H50" s="113">
        <f>Сalculations!D167</f>
        <v>491.3</v>
      </c>
      <c r="I50" s="113">
        <f>Сalculations!E167</f>
        <v>491.3</v>
      </c>
      <c r="J50" s="113">
        <f>Сalculations!F167</f>
        <v>491.3</v>
      </c>
      <c r="K50" s="113">
        <f>Сalculations!G167</f>
        <v>491.3</v>
      </c>
      <c r="L50" s="113">
        <f>Сalculations!H167</f>
        <v>491.3</v>
      </c>
      <c r="M50" s="63"/>
    </row>
    <row r="51" spans="3:14">
      <c r="C51" s="8"/>
      <c r="D51" s="12" t="s">
        <v>41</v>
      </c>
      <c r="E51" s="119">
        <f>Inputs!E50</f>
        <v>30</v>
      </c>
      <c r="F51" s="119">
        <f>Inputs!F50</f>
        <v>31.4</v>
      </c>
      <c r="G51" s="120">
        <f>Inputs!G50</f>
        <v>31.8</v>
      </c>
      <c r="H51" s="113">
        <f>Сalculations!D168</f>
        <v>31.8</v>
      </c>
      <c r="I51" s="113">
        <f>Сalculations!E168</f>
        <v>31.8</v>
      </c>
      <c r="J51" s="113">
        <f>Сalculations!F168</f>
        <v>31.8</v>
      </c>
      <c r="K51" s="113">
        <f>Сalculations!G168</f>
        <v>31.8</v>
      </c>
      <c r="L51" s="113">
        <f>Сalculations!H168</f>
        <v>31.8</v>
      </c>
      <c r="M51" s="63"/>
    </row>
    <row r="52" spans="3:14">
      <c r="C52" s="8"/>
      <c r="D52" s="13" t="s">
        <v>21</v>
      </c>
      <c r="E52" s="54">
        <f>Inputs!E51</f>
        <v>4876.3</v>
      </c>
      <c r="F52" s="54">
        <f>Inputs!F51</f>
        <v>4825.8999999999996</v>
      </c>
      <c r="G52" s="54">
        <f>Inputs!G51</f>
        <v>4778.1000000000004</v>
      </c>
      <c r="H52" s="121">
        <f>Сalculations!D169</f>
        <v>4739.4111271892089</v>
      </c>
      <c r="I52" s="121">
        <f>Сalculations!E169</f>
        <v>4695.3058121849062</v>
      </c>
      <c r="J52" s="121">
        <f>Сalculations!F169</f>
        <v>4642.1431557065061</v>
      </c>
      <c r="K52" s="121">
        <f>Сalculations!G169</f>
        <v>4582.4946551377416</v>
      </c>
      <c r="L52" s="121">
        <f>Сalculations!H169</f>
        <v>4517.8364602401625</v>
      </c>
      <c r="M52" s="63"/>
    </row>
    <row r="53" spans="3:14">
      <c r="C53" s="8"/>
      <c r="D53" s="8"/>
      <c r="E53" s="21"/>
      <c r="F53" s="21"/>
      <c r="G53" s="21"/>
    </row>
    <row r="54" spans="3:14" ht="15.75">
      <c r="C54" s="14" t="s">
        <v>23</v>
      </c>
      <c r="D54" s="14"/>
      <c r="E54" s="122">
        <f>Inputs!E53</f>
        <v>5416.2</v>
      </c>
      <c r="F54" s="122">
        <f>Inputs!F53</f>
        <v>5680.7999999999993</v>
      </c>
      <c r="G54" s="122">
        <f>Inputs!G53</f>
        <v>5611.9000000000005</v>
      </c>
      <c r="H54" s="123">
        <f>Сalculations!D171</f>
        <v>5631.211127189209</v>
      </c>
      <c r="I54" s="123">
        <f>Сalculations!E171</f>
        <v>5713.7058121849059</v>
      </c>
      <c r="J54" s="123">
        <f>Сalculations!F171</f>
        <v>5802.343155706506</v>
      </c>
      <c r="K54" s="123">
        <f>Сalculations!G171</f>
        <v>5911.1946551377414</v>
      </c>
      <c r="L54" s="123">
        <f>Сalculations!H171</f>
        <v>3889.0364602401628</v>
      </c>
      <c r="M54" s="63"/>
    </row>
    <row r="55" spans="3:14">
      <c r="C55" s="8"/>
      <c r="D55" s="8"/>
      <c r="E55" s="63"/>
      <c r="F55" s="63"/>
      <c r="G55" s="63"/>
      <c r="H55" s="63"/>
      <c r="I55" s="63"/>
      <c r="J55" s="63"/>
      <c r="K55" s="63"/>
      <c r="L55" s="63"/>
      <c r="M55" s="63"/>
    </row>
    <row r="56" spans="3:14" ht="18">
      <c r="C56" s="9" t="s">
        <v>24</v>
      </c>
      <c r="D56" s="9"/>
      <c r="E56" s="49" t="s">
        <v>82</v>
      </c>
      <c r="F56" s="50"/>
      <c r="G56" s="50"/>
      <c r="H56" s="51" t="s">
        <v>83</v>
      </c>
      <c r="I56" s="52"/>
      <c r="J56" s="52"/>
      <c r="K56" s="52"/>
      <c r="L56" s="52"/>
      <c r="M56" s="63"/>
    </row>
    <row r="57" spans="3:14">
      <c r="C57" s="10" t="s">
        <v>25</v>
      </c>
      <c r="D57" s="11"/>
      <c r="E57" s="11"/>
      <c r="F57" s="11"/>
      <c r="G57" s="11"/>
      <c r="H57" s="11"/>
      <c r="I57" s="11"/>
      <c r="J57" s="11"/>
      <c r="K57" s="11"/>
      <c r="L57" s="11"/>
      <c r="M57" s="63"/>
    </row>
    <row r="58" spans="3:14">
      <c r="C58" s="8"/>
      <c r="D58" s="12" t="s">
        <v>26</v>
      </c>
      <c r="E58" s="124">
        <f>Inputs!E57</f>
        <v>254.1</v>
      </c>
      <c r="F58" s="124">
        <f>Inputs!F57</f>
        <v>254.9</v>
      </c>
      <c r="G58" s="124">
        <f>Inputs!G57</f>
        <v>260.8</v>
      </c>
      <c r="H58" s="113">
        <f>Сalculations!D175</f>
        <v>297.3</v>
      </c>
      <c r="I58" s="113">
        <f>Сalculations!E175</f>
        <v>338.9</v>
      </c>
      <c r="J58" s="113">
        <f>Сalculations!F175</f>
        <v>381.3</v>
      </c>
      <c r="K58" s="113">
        <f>Сalculations!G175</f>
        <v>419.4</v>
      </c>
      <c r="L58" s="113">
        <f>Сalculations!H175</f>
        <v>448.8</v>
      </c>
      <c r="M58" s="63"/>
      <c r="N58" s="41"/>
    </row>
    <row r="59" spans="3:14">
      <c r="C59" s="8"/>
      <c r="D59" s="12" t="s">
        <v>42</v>
      </c>
      <c r="E59" s="124">
        <f>Inputs!E58</f>
        <v>111.4</v>
      </c>
      <c r="F59" s="124">
        <f>Inputs!F58</f>
        <v>123.3</v>
      </c>
      <c r="G59" s="124">
        <f>Inputs!G58</f>
        <v>143.4</v>
      </c>
      <c r="H59" s="113">
        <f>Сalculations!D176</f>
        <v>163.5</v>
      </c>
      <c r="I59" s="113">
        <f>Сalculations!E176</f>
        <v>186.4</v>
      </c>
      <c r="J59" s="113">
        <f>Сalculations!F176</f>
        <v>209.7</v>
      </c>
      <c r="K59" s="113">
        <f>Сalculations!G176</f>
        <v>230.6</v>
      </c>
      <c r="L59" s="113">
        <f>Сalculations!H176</f>
        <v>246.8</v>
      </c>
      <c r="M59" s="63"/>
    </row>
    <row r="60" spans="3:14" s="63" customFormat="1">
      <c r="C60" s="8"/>
      <c r="D60" s="12" t="s">
        <v>45</v>
      </c>
      <c r="E60" s="124">
        <f>Inputs!E59</f>
        <v>42.9</v>
      </c>
      <c r="F60" s="124">
        <f>Inputs!F59</f>
        <v>47.8</v>
      </c>
      <c r="G60" s="124">
        <f>Inputs!G59</f>
        <v>59.2</v>
      </c>
      <c r="H60" s="113">
        <f>Сalculations!D177</f>
        <v>67.5</v>
      </c>
      <c r="I60" s="113">
        <f>Сalculations!E177</f>
        <v>76.900000000000006</v>
      </c>
      <c r="J60" s="113">
        <f>Сalculations!F177</f>
        <v>86.6</v>
      </c>
      <c r="K60" s="113">
        <f>Сalculations!G177</f>
        <v>95.2</v>
      </c>
      <c r="L60" s="113">
        <f>Сalculations!H177</f>
        <v>101.9</v>
      </c>
    </row>
    <row r="61" spans="3:14" s="63" customFormat="1">
      <c r="C61" s="8"/>
      <c r="D61" s="12" t="s">
        <v>112</v>
      </c>
      <c r="E61" s="124">
        <f>Inputs!E60</f>
        <v>36.700000000000003</v>
      </c>
      <c r="F61" s="124">
        <f>Inputs!F60</f>
        <v>26.9</v>
      </c>
      <c r="G61" s="124">
        <f>Inputs!G60</f>
        <v>43.1</v>
      </c>
      <c r="H61" s="113">
        <f>Сalculations!D178</f>
        <v>43.1</v>
      </c>
      <c r="I61" s="113">
        <f>Сalculations!E178</f>
        <v>43.1</v>
      </c>
      <c r="J61" s="113">
        <f>Сalculations!F178</f>
        <v>43.1</v>
      </c>
      <c r="K61" s="113">
        <f>Сalculations!G178</f>
        <v>43.1</v>
      </c>
      <c r="L61" s="113">
        <f>Сalculations!H178</f>
        <v>43.1</v>
      </c>
    </row>
    <row r="62" spans="3:14" s="63" customFormat="1">
      <c r="C62" s="8"/>
      <c r="D62" s="12" t="s">
        <v>113</v>
      </c>
      <c r="E62" s="124">
        <f>Inputs!E61</f>
        <v>0</v>
      </c>
      <c r="F62" s="124">
        <f>Inputs!F61</f>
        <v>26.3</v>
      </c>
      <c r="G62" s="124">
        <f>Inputs!G61</f>
        <v>0</v>
      </c>
      <c r="H62" s="113">
        <f>Сalculations!D179</f>
        <v>0</v>
      </c>
      <c r="I62" s="113">
        <f>Сalculations!E179</f>
        <v>0</v>
      </c>
      <c r="J62" s="113">
        <f>Сalculations!F179</f>
        <v>0</v>
      </c>
      <c r="K62" s="113">
        <f>Сalculations!G179</f>
        <v>0</v>
      </c>
      <c r="L62" s="113">
        <f>Сalculations!H179</f>
        <v>0</v>
      </c>
    </row>
    <row r="63" spans="3:14" s="63" customFormat="1">
      <c r="C63" s="8"/>
      <c r="D63" s="12" t="s">
        <v>43</v>
      </c>
      <c r="E63" s="124">
        <f>Inputs!E62</f>
        <v>135</v>
      </c>
      <c r="F63" s="124">
        <f>Inputs!F62</f>
        <v>35</v>
      </c>
      <c r="G63" s="124">
        <f>Inputs!G62</f>
        <v>0</v>
      </c>
      <c r="H63" s="113">
        <f>Сalculations!D180</f>
        <v>0</v>
      </c>
      <c r="I63" s="113">
        <f>Сalculations!E180</f>
        <v>0</v>
      </c>
      <c r="J63" s="113">
        <f>Сalculations!F180</f>
        <v>0</v>
      </c>
      <c r="K63" s="113">
        <f>Сalculations!G180</f>
        <v>0</v>
      </c>
      <c r="L63" s="113">
        <f>Сalculations!H180</f>
        <v>0</v>
      </c>
    </row>
    <row r="64" spans="3:14" s="63" customFormat="1">
      <c r="C64" s="8"/>
      <c r="D64" s="12" t="s">
        <v>114</v>
      </c>
      <c r="E64" s="124">
        <f>Inputs!E63</f>
        <v>0</v>
      </c>
      <c r="F64" s="124">
        <f>Inputs!F63</f>
        <v>159.9</v>
      </c>
      <c r="G64" s="124">
        <f>Inputs!G63</f>
        <v>0</v>
      </c>
      <c r="H64" s="113">
        <f>Сalculations!D181</f>
        <v>0</v>
      </c>
      <c r="I64" s="113">
        <f>Сalculations!E181</f>
        <v>0</v>
      </c>
      <c r="J64" s="113">
        <f>Сalculations!F181</f>
        <v>0</v>
      </c>
      <c r="K64" s="113">
        <f>Сalculations!G181</f>
        <v>0</v>
      </c>
      <c r="L64" s="113">
        <f>Сalculations!H181</f>
        <v>0</v>
      </c>
    </row>
    <row r="65" spans="3:12" s="63" customFormat="1">
      <c r="C65" s="8"/>
      <c r="D65" s="12" t="s">
        <v>115</v>
      </c>
      <c r="E65" s="124">
        <f>Inputs!E64</f>
        <v>0</v>
      </c>
      <c r="F65" s="124">
        <f>Inputs!F64</f>
        <v>88.8</v>
      </c>
      <c r="G65" s="124">
        <f>Inputs!G64</f>
        <v>0</v>
      </c>
      <c r="H65" s="113">
        <f>Сalculations!D182</f>
        <v>0</v>
      </c>
      <c r="I65" s="113">
        <f>Сalculations!E182</f>
        <v>0</v>
      </c>
      <c r="J65" s="113">
        <f>Сalculations!F182</f>
        <v>0</v>
      </c>
      <c r="K65" s="113">
        <f>Сalculations!G182</f>
        <v>0</v>
      </c>
      <c r="L65" s="113">
        <f>Сalculations!H182</f>
        <v>0</v>
      </c>
    </row>
    <row r="66" spans="3:12" s="63" customFormat="1">
      <c r="C66" s="8"/>
      <c r="D66" s="12" t="s">
        <v>44</v>
      </c>
      <c r="E66" s="124">
        <f>Inputs!E65</f>
        <v>82.6</v>
      </c>
      <c r="F66" s="124">
        <f>Inputs!F65</f>
        <v>93.7</v>
      </c>
      <c r="G66" s="124">
        <f>Inputs!G65</f>
        <v>97.7</v>
      </c>
      <c r="H66" s="113">
        <f>Сalculations!D183</f>
        <v>97.7</v>
      </c>
      <c r="I66" s="113">
        <f>Сalculations!E183</f>
        <v>97.7</v>
      </c>
      <c r="J66" s="113">
        <f>Сalculations!F183</f>
        <v>97.7</v>
      </c>
      <c r="K66" s="113">
        <f>Сalculations!G183</f>
        <v>97.7</v>
      </c>
      <c r="L66" s="113">
        <f>Сalculations!H183</f>
        <v>97.7</v>
      </c>
    </row>
    <row r="67" spans="3:12" s="63" customFormat="1">
      <c r="C67" s="8"/>
      <c r="D67" s="13" t="s">
        <v>27</v>
      </c>
      <c r="E67" s="54">
        <f>Inputs!E66</f>
        <v>662.69999999999993</v>
      </c>
      <c r="F67" s="54">
        <f>Inputs!F66</f>
        <v>856.6</v>
      </c>
      <c r="G67" s="54">
        <f>Inputs!G66</f>
        <v>604.20000000000005</v>
      </c>
      <c r="H67" s="121">
        <f>Сalculations!D184</f>
        <v>669.1</v>
      </c>
      <c r="I67" s="121">
        <f>Сalculations!E184</f>
        <v>743</v>
      </c>
      <c r="J67" s="121">
        <f>Сalculations!F184</f>
        <v>818.40000000000009</v>
      </c>
      <c r="K67" s="121">
        <f>Сalculations!G184</f>
        <v>886.00000000000011</v>
      </c>
      <c r="L67" s="121">
        <f>Сalculations!H184</f>
        <v>938.30000000000007</v>
      </c>
    </row>
    <row r="68" spans="3:12" s="63" customFormat="1">
      <c r="C68" s="10" t="s">
        <v>28</v>
      </c>
      <c r="D68" s="11"/>
      <c r="E68" s="11"/>
      <c r="F68" s="11"/>
      <c r="G68" s="11"/>
      <c r="H68" s="11"/>
      <c r="I68" s="11"/>
      <c r="J68" s="11"/>
      <c r="K68" s="11"/>
      <c r="L68" s="11"/>
    </row>
    <row r="69" spans="3:12" s="63" customFormat="1">
      <c r="C69" s="8"/>
      <c r="D69" s="12" t="s">
        <v>29</v>
      </c>
      <c r="E69" s="119">
        <f>Inputs!E68</f>
        <v>1001.4</v>
      </c>
      <c r="F69" s="119">
        <f>Inputs!F68</f>
        <v>1001.8</v>
      </c>
      <c r="G69" s="120">
        <f>Inputs!G68</f>
        <v>1002.3</v>
      </c>
      <c r="H69" s="61">
        <f>Сalculations!D186</f>
        <v>4481.3</v>
      </c>
      <c r="I69" s="61">
        <f>Сalculations!E186</f>
        <v>4173.3</v>
      </c>
      <c r="J69" s="61">
        <f>Сalculations!F186</f>
        <v>3846.3</v>
      </c>
      <c r="K69" s="61">
        <f>Сalculations!G186</f>
        <v>3502.3</v>
      </c>
      <c r="L69" s="61">
        <f>Сalculations!H186</f>
        <v>1002.3000000000002</v>
      </c>
    </row>
    <row r="70" spans="3:12" s="63" customFormat="1">
      <c r="C70" s="8"/>
      <c r="D70" s="12" t="s">
        <v>116</v>
      </c>
      <c r="E70" s="119">
        <f>Inputs!E69</f>
        <v>159.9</v>
      </c>
      <c r="F70" s="119">
        <f>Inputs!F69</f>
        <v>0</v>
      </c>
      <c r="G70" s="120">
        <f>Inputs!G69</f>
        <v>0</v>
      </c>
      <c r="H70" s="61">
        <f>Сalculations!D187</f>
        <v>0</v>
      </c>
      <c r="I70" s="61">
        <f>Сalculations!E187</f>
        <v>0</v>
      </c>
      <c r="J70" s="61">
        <f>Сalculations!F187</f>
        <v>0</v>
      </c>
      <c r="K70" s="61">
        <f>Сalculations!G187</f>
        <v>0</v>
      </c>
      <c r="L70" s="61">
        <f>Сalculations!H187</f>
        <v>0</v>
      </c>
    </row>
    <row r="71" spans="3:12" s="63" customFormat="1">
      <c r="C71" s="8"/>
      <c r="D71" s="12" t="s">
        <v>115</v>
      </c>
      <c r="E71" s="119">
        <f>Inputs!E70</f>
        <v>25.8</v>
      </c>
      <c r="F71" s="119">
        <f>Inputs!F70</f>
        <v>0</v>
      </c>
      <c r="G71" s="120">
        <f>Inputs!G70</f>
        <v>0</v>
      </c>
      <c r="H71" s="61">
        <f>Сalculations!D188</f>
        <v>0</v>
      </c>
      <c r="I71" s="61">
        <f>Сalculations!E188</f>
        <v>0</v>
      </c>
      <c r="J71" s="61">
        <f>Сalculations!F188</f>
        <v>0</v>
      </c>
      <c r="K71" s="61">
        <f>Сalculations!G188</f>
        <v>0</v>
      </c>
      <c r="L71" s="61">
        <f>Сalculations!H188</f>
        <v>0</v>
      </c>
    </row>
    <row r="72" spans="3:12" s="63" customFormat="1">
      <c r="C72" s="8"/>
      <c r="D72" s="12" t="s">
        <v>22</v>
      </c>
      <c r="E72" s="119">
        <f>Inputs!E71</f>
        <v>647.1</v>
      </c>
      <c r="F72" s="119">
        <f>Inputs!F71</f>
        <v>601.5</v>
      </c>
      <c r="G72" s="120">
        <f>Inputs!G71</f>
        <v>554.4</v>
      </c>
      <c r="H72" s="61">
        <f>Сalculations!D189</f>
        <v>554.4</v>
      </c>
      <c r="I72" s="61">
        <f>Сalculations!E189</f>
        <v>554.4</v>
      </c>
      <c r="J72" s="61">
        <f>Сalculations!F189</f>
        <v>554.4</v>
      </c>
      <c r="K72" s="61">
        <f>Сalculations!G189</f>
        <v>554.4</v>
      </c>
      <c r="L72" s="61">
        <f>Сalculations!H189</f>
        <v>554.4</v>
      </c>
    </row>
    <row r="73" spans="3:12" s="63" customFormat="1">
      <c r="C73" s="8"/>
      <c r="D73" s="12" t="s">
        <v>46</v>
      </c>
      <c r="E73" s="119">
        <f>Inputs!E72</f>
        <v>90.2</v>
      </c>
      <c r="F73" s="119">
        <f>Inputs!F72</f>
        <v>127.6</v>
      </c>
      <c r="G73" s="120">
        <f>Inputs!G72</f>
        <v>126.8</v>
      </c>
      <c r="H73" s="61">
        <f>Сalculations!D190</f>
        <v>126.8</v>
      </c>
      <c r="I73" s="61">
        <f>Сalculations!E190</f>
        <v>126.8</v>
      </c>
      <c r="J73" s="61">
        <f>Сalculations!F190</f>
        <v>126.8</v>
      </c>
      <c r="K73" s="61">
        <f>Сalculations!G190</f>
        <v>126.8</v>
      </c>
      <c r="L73" s="61">
        <f>Сalculations!H190</f>
        <v>126.8</v>
      </c>
    </row>
    <row r="74" spans="3:12" s="63" customFormat="1">
      <c r="C74" s="8"/>
      <c r="D74" s="12" t="s">
        <v>47</v>
      </c>
      <c r="E74" s="119">
        <f>Inputs!E73</f>
        <v>46.2</v>
      </c>
      <c r="F74" s="119">
        <f>Inputs!F73</f>
        <v>62.9</v>
      </c>
      <c r="G74" s="120">
        <f>Inputs!G73</f>
        <v>84.5</v>
      </c>
      <c r="H74" s="61">
        <f>Сalculations!D191</f>
        <v>84.5</v>
      </c>
      <c r="I74" s="61">
        <f>Сalculations!E191</f>
        <v>84.5</v>
      </c>
      <c r="J74" s="61">
        <f>Сalculations!F191</f>
        <v>84.5</v>
      </c>
      <c r="K74" s="61">
        <f>Сalculations!G191</f>
        <v>84.5</v>
      </c>
      <c r="L74" s="61">
        <f>Сalculations!H191</f>
        <v>84.5</v>
      </c>
    </row>
    <row r="75" spans="3:12" s="63" customFormat="1">
      <c r="C75" s="8"/>
      <c r="D75" s="12" t="s">
        <v>117</v>
      </c>
      <c r="E75" s="119">
        <f>Inputs!E74</f>
        <v>41.9</v>
      </c>
      <c r="F75" s="119">
        <f>Inputs!F74</f>
        <v>36.700000000000003</v>
      </c>
      <c r="G75" s="120">
        <f>Inputs!G74</f>
        <v>43.4</v>
      </c>
      <c r="H75" s="61">
        <f>Сalculations!D192</f>
        <v>43.4</v>
      </c>
      <c r="I75" s="61">
        <f>Сalculations!E192</f>
        <v>43.4</v>
      </c>
      <c r="J75" s="61">
        <f>Сalculations!F192</f>
        <v>43.4</v>
      </c>
      <c r="K75" s="61">
        <f>Сalculations!G192</f>
        <v>43.4</v>
      </c>
      <c r="L75" s="61">
        <f>Сalculations!H192</f>
        <v>43.4</v>
      </c>
    </row>
    <row r="76" spans="3:12" s="63" customFormat="1">
      <c r="C76" s="8"/>
      <c r="D76" s="12" t="s">
        <v>48</v>
      </c>
      <c r="E76" s="119">
        <f>Inputs!E75</f>
        <v>1375</v>
      </c>
      <c r="F76" s="119">
        <f>Inputs!F75</f>
        <v>1378.9</v>
      </c>
      <c r="G76" s="120">
        <f>Inputs!G75</f>
        <v>1404.1</v>
      </c>
      <c r="H76" s="61">
        <f>Сalculations!D193</f>
        <v>1404.1</v>
      </c>
      <c r="I76" s="61">
        <f>Сalculations!E193</f>
        <v>1404.1</v>
      </c>
      <c r="J76" s="61">
        <f>Сalculations!F193</f>
        <v>1404.1</v>
      </c>
      <c r="K76" s="61">
        <f>Сalculations!G193</f>
        <v>1404.1</v>
      </c>
      <c r="L76" s="61">
        <f>Сalculations!H193</f>
        <v>1404.1</v>
      </c>
    </row>
    <row r="77" spans="3:12" s="63" customFormat="1">
      <c r="C77" s="8"/>
      <c r="D77" s="12" t="s">
        <v>49</v>
      </c>
      <c r="E77" s="119">
        <f>Inputs!E76</f>
        <v>1366</v>
      </c>
      <c r="F77" s="119">
        <f>Inputs!F76</f>
        <v>1614.4</v>
      </c>
      <c r="G77" s="120">
        <f>Inputs!G76</f>
        <v>1792.1</v>
      </c>
      <c r="H77" s="61">
        <f>Сalculations!D194</f>
        <v>2044.26</v>
      </c>
      <c r="I77" s="61">
        <f>Сalculations!E194</f>
        <v>2366.02</v>
      </c>
      <c r="J77" s="61">
        <f>Сalculations!F194</f>
        <v>2712.9</v>
      </c>
      <c r="K77" s="61">
        <f>Сalculations!G194</f>
        <v>3105.2200000000003</v>
      </c>
      <c r="L77" s="61">
        <f>Сalculations!H194</f>
        <v>3538.6600000000003</v>
      </c>
    </row>
    <row r="78" spans="3:12" s="63" customFormat="1">
      <c r="C78" s="8"/>
      <c r="D78" s="13" t="s">
        <v>30</v>
      </c>
      <c r="E78" s="54">
        <f>Inputs!E77</f>
        <v>4753.5</v>
      </c>
      <c r="F78" s="54">
        <f>Inputs!F77</f>
        <v>4823.8</v>
      </c>
      <c r="G78" s="54">
        <f>Inputs!G77</f>
        <v>5007.6000000000004</v>
      </c>
      <c r="H78" s="54">
        <f>Сalculations!D195</f>
        <v>8738.76</v>
      </c>
      <c r="I78" s="54">
        <f>Сalculations!E195</f>
        <v>8752.52</v>
      </c>
      <c r="J78" s="54">
        <f>Сalculations!F195</f>
        <v>8772.4</v>
      </c>
      <c r="K78" s="54">
        <f>Сalculations!G195</f>
        <v>8820.7200000000012</v>
      </c>
      <c r="L78" s="54">
        <f>Сalculations!H195</f>
        <v>6754.16</v>
      </c>
    </row>
    <row r="79" spans="3:12" s="63" customFormat="1">
      <c r="C79" s="8"/>
    </row>
    <row r="80" spans="3:12" s="63" customFormat="1" ht="15.75">
      <c r="C80" s="14" t="s">
        <v>31</v>
      </c>
      <c r="D80" s="14"/>
      <c r="E80" s="122">
        <f>Inputs!E79</f>
        <v>5416.2</v>
      </c>
      <c r="F80" s="122">
        <f>Inputs!F79</f>
        <v>5680.4000000000005</v>
      </c>
      <c r="G80" s="122">
        <f>Inputs!G79</f>
        <v>5611.8</v>
      </c>
      <c r="H80" s="123">
        <f>Сalculations!D197</f>
        <v>9407.86</v>
      </c>
      <c r="I80" s="123">
        <f>Сalculations!E197</f>
        <v>9495.52</v>
      </c>
      <c r="J80" s="123">
        <f>Сalculations!F197</f>
        <v>9590.7999999999993</v>
      </c>
      <c r="K80" s="123">
        <f>Сalculations!G197</f>
        <v>9706.7200000000012</v>
      </c>
      <c r="L80" s="123">
        <f>Сalculations!H197</f>
        <v>7692.46</v>
      </c>
    </row>
    <row r="81" spans="3:13" s="63" customFormat="1" ht="18">
      <c r="C81" s="125"/>
      <c r="D81" s="125"/>
      <c r="E81" s="125"/>
      <c r="F81" s="125"/>
      <c r="G81" s="125"/>
      <c r="H81" s="125"/>
      <c r="I81" s="125"/>
      <c r="J81" s="125"/>
      <c r="K81" s="125"/>
      <c r="L81" s="125"/>
    </row>
    <row r="82" spans="3:13"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</row>
    <row r="83" spans="3:13"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 spans="3:13"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</row>
    <row r="85" spans="3:13"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</row>
    <row r="86" spans="3:13" ht="22.5">
      <c r="C86" s="38" t="s">
        <v>199</v>
      </c>
      <c r="E86" s="63"/>
      <c r="F86" s="63"/>
      <c r="G86" s="63"/>
      <c r="H86" s="63"/>
      <c r="I86" s="63"/>
      <c r="J86" s="63"/>
      <c r="K86" s="63"/>
      <c r="L86" s="63"/>
      <c r="M86" s="63"/>
    </row>
    <row r="87" spans="3:13">
      <c r="C87" s="63"/>
      <c r="D87" s="39" t="s">
        <v>202</v>
      </c>
      <c r="E87" s="37">
        <f>Сalculations!C256</f>
        <v>8.0914128363169219E-2</v>
      </c>
      <c r="F87" s="63"/>
      <c r="G87" s="63"/>
      <c r="H87" s="63"/>
      <c r="I87" s="63"/>
      <c r="J87" s="63"/>
      <c r="K87" s="63"/>
      <c r="L87" s="63"/>
      <c r="M87" s="63"/>
    </row>
    <row r="88" spans="3:13"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</row>
    <row r="89" spans="3:13">
      <c r="C89" s="63"/>
      <c r="D89" s="102" t="s">
        <v>155</v>
      </c>
      <c r="E89" s="101">
        <f>Сalculations!C260</f>
        <v>2015.0645546625542</v>
      </c>
      <c r="F89" s="63"/>
      <c r="G89" s="63"/>
      <c r="H89" s="63"/>
      <c r="I89" s="63"/>
      <c r="J89" s="63"/>
      <c r="K89" s="63"/>
      <c r="L89" s="63"/>
      <c r="M89" s="63"/>
    </row>
    <row r="90" spans="3:13"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</row>
    <row r="91" spans="3:13">
      <c r="C91" s="63"/>
      <c r="D91" s="39" t="s">
        <v>204</v>
      </c>
      <c r="E91" s="37">
        <f>Сalculations!C264</f>
        <v>5.5E-2</v>
      </c>
      <c r="F91" s="63"/>
      <c r="G91" s="63"/>
      <c r="H91" s="63"/>
      <c r="I91" s="63"/>
      <c r="J91" s="63"/>
      <c r="K91" s="63"/>
      <c r="L91" s="63"/>
      <c r="M91" s="63"/>
    </row>
    <row r="92" spans="3:13"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 spans="3:13">
      <c r="C93" s="63"/>
      <c r="D93" s="39" t="s">
        <v>160</v>
      </c>
      <c r="E93" s="101">
        <f>Сalculations!C268</f>
        <v>142.21944648905651</v>
      </c>
      <c r="F93" s="63"/>
      <c r="G93" s="63"/>
      <c r="H93" s="63"/>
      <c r="I93" s="63"/>
      <c r="J93" s="63"/>
      <c r="K93" s="63"/>
      <c r="L93" s="63"/>
      <c r="M93" s="63"/>
    </row>
    <row r="94" spans="3:13"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63"/>
    </row>
    <row r="95" spans="3:13" ht="18">
      <c r="C95" s="125" t="s">
        <v>206</v>
      </c>
      <c r="D95" s="125"/>
      <c r="E95" s="101">
        <f>Сalculations!B270</f>
        <v>2157.2840011516109</v>
      </c>
      <c r="F95" s="76"/>
      <c r="G95" s="76"/>
      <c r="H95" s="76"/>
      <c r="I95" s="76"/>
      <c r="J95" s="76"/>
      <c r="K95" s="76"/>
      <c r="L95" s="76"/>
    </row>
    <row r="96" spans="3:13">
      <c r="C96" s="76"/>
      <c r="D96" s="76"/>
      <c r="E96" s="76"/>
      <c r="F96" s="76"/>
      <c r="G96" s="76"/>
      <c r="H96" s="76"/>
      <c r="I96" s="76"/>
      <c r="J96" s="76"/>
      <c r="K96" s="76"/>
      <c r="L96" s="76"/>
    </row>
    <row r="97" spans="3:12">
      <c r="C97" s="76"/>
      <c r="D97" s="39" t="s">
        <v>207</v>
      </c>
      <c r="E97" s="37">
        <f>Сalculations!C274</f>
        <v>-8.7682388809392862E-3</v>
      </c>
      <c r="F97" s="76"/>
      <c r="G97" s="76"/>
      <c r="H97" s="76"/>
      <c r="I97" s="76"/>
      <c r="J97" s="76"/>
      <c r="K97" s="76"/>
      <c r="L97" s="76"/>
    </row>
    <row r="98" spans="3:12">
      <c r="C98" s="76"/>
      <c r="F98" s="76"/>
      <c r="G98" s="76"/>
      <c r="H98" s="76"/>
      <c r="I98" s="76"/>
      <c r="J98" s="76"/>
      <c r="K98" s="76"/>
      <c r="L98" s="76"/>
    </row>
    <row r="99" spans="3:12">
      <c r="C99" s="76"/>
      <c r="D99" s="39" t="s">
        <v>208</v>
      </c>
      <c r="E99" s="37">
        <f>Сalculations!C275</f>
        <v>6.2780106212752318E-2</v>
      </c>
      <c r="F99" s="76"/>
      <c r="G99" s="76"/>
      <c r="H99" s="76"/>
      <c r="I99" s="76"/>
      <c r="J99" s="76"/>
      <c r="K99" s="76"/>
      <c r="L99" s="76"/>
    </row>
    <row r="100" spans="3:12">
      <c r="C100" s="76"/>
      <c r="F100" s="76"/>
      <c r="G100" s="76"/>
      <c r="H100" s="76"/>
      <c r="I100" s="76"/>
      <c r="J100" s="76"/>
      <c r="K100" s="76"/>
      <c r="L100" s="76"/>
    </row>
    <row r="101" spans="3:12">
      <c r="C101" s="76"/>
      <c r="D101" s="39" t="s">
        <v>209</v>
      </c>
      <c r="E101" s="34">
        <f>Сalculations!C276</f>
        <v>8042.6854545372062</v>
      </c>
      <c r="F101" s="76"/>
      <c r="G101" s="76"/>
      <c r="H101" s="76"/>
      <c r="I101" s="76"/>
      <c r="J101" s="76"/>
      <c r="K101" s="76"/>
      <c r="L101" s="76"/>
    </row>
    <row r="102" spans="3:12">
      <c r="C102" s="76"/>
      <c r="F102" s="76"/>
      <c r="G102" s="76"/>
      <c r="H102" s="76"/>
      <c r="I102" s="76"/>
      <c r="J102" s="76"/>
      <c r="K102" s="76"/>
      <c r="L102" s="76"/>
    </row>
    <row r="103" spans="3:12" ht="18">
      <c r="C103" s="125" t="s">
        <v>210</v>
      </c>
      <c r="D103" s="125"/>
      <c r="E103" s="101">
        <f>Сalculations!B278</f>
        <v>5931.7658843526651</v>
      </c>
      <c r="F103" s="76"/>
      <c r="G103" s="76"/>
      <c r="H103" s="76"/>
      <c r="I103" s="76"/>
      <c r="J103" s="76"/>
      <c r="K103" s="76"/>
      <c r="L103" s="76"/>
    </row>
    <row r="104" spans="3:12">
      <c r="C104" s="76"/>
      <c r="D104" s="76"/>
      <c r="E104" s="76"/>
      <c r="F104" s="76"/>
      <c r="G104" s="76"/>
      <c r="H104" s="76"/>
      <c r="I104" s="76"/>
      <c r="J104" s="76"/>
      <c r="K104" s="76"/>
      <c r="L104" s="76"/>
    </row>
    <row r="105" spans="3:12" ht="18">
      <c r="C105" s="125" t="s">
        <v>211</v>
      </c>
      <c r="D105" s="125"/>
      <c r="E105" s="101">
        <f>Сalculations!B281</f>
        <v>8089.0498855042761</v>
      </c>
      <c r="F105" s="76"/>
      <c r="G105" s="76"/>
      <c r="H105" s="76"/>
      <c r="I105" s="76"/>
      <c r="J105" s="76"/>
      <c r="K105" s="76"/>
      <c r="L105" s="76"/>
    </row>
    <row r="106" spans="3:12">
      <c r="C106" s="76"/>
      <c r="D106" s="76"/>
      <c r="E106" s="76"/>
      <c r="F106" s="76"/>
      <c r="G106" s="76"/>
      <c r="H106" s="76"/>
      <c r="I106" s="76"/>
      <c r="J106" s="76"/>
      <c r="K106" s="76"/>
      <c r="L106" s="76"/>
    </row>
    <row r="107" spans="3:12">
      <c r="C107" s="76"/>
      <c r="D107" s="76"/>
      <c r="E107" s="76"/>
      <c r="F107" s="76"/>
      <c r="G107" s="76"/>
      <c r="H107" s="76"/>
      <c r="I107" s="76"/>
      <c r="J107" s="76"/>
      <c r="K107" s="76"/>
      <c r="L107" s="76"/>
    </row>
    <row r="108" spans="3:12">
      <c r="C108" s="76"/>
      <c r="D108" s="76"/>
      <c r="E108" s="76"/>
      <c r="F108" s="76"/>
      <c r="G108" s="76"/>
      <c r="H108" s="76"/>
      <c r="I108" s="76"/>
      <c r="J108" s="76"/>
      <c r="K108" s="76"/>
      <c r="L108" s="76"/>
    </row>
    <row r="109" spans="3:12">
      <c r="C109" s="76"/>
      <c r="D109" s="76"/>
      <c r="E109" s="76"/>
      <c r="F109" s="76"/>
      <c r="G109" s="76"/>
      <c r="H109" s="76"/>
      <c r="I109" s="76"/>
      <c r="J109" s="76"/>
      <c r="K109" s="76"/>
      <c r="L109" s="76"/>
    </row>
    <row r="110" spans="3:12">
      <c r="C110" s="76"/>
      <c r="D110" s="76"/>
      <c r="E110" s="76"/>
      <c r="F110" s="76"/>
      <c r="G110" s="76"/>
      <c r="H110" s="76"/>
      <c r="I110" s="76"/>
      <c r="J110" s="76"/>
      <c r="K110" s="76"/>
      <c r="L110" s="76"/>
    </row>
    <row r="111" spans="3:12">
      <c r="C111" s="76"/>
      <c r="D111" s="76"/>
      <c r="E111" s="76"/>
      <c r="F111" s="76"/>
      <c r="G111" s="76"/>
      <c r="H111" s="76"/>
      <c r="I111" s="76"/>
      <c r="J111" s="76"/>
      <c r="K111" s="76"/>
      <c r="L111" s="76"/>
    </row>
    <row r="112" spans="3:12">
      <c r="C112" s="76"/>
      <c r="D112" s="76"/>
      <c r="E112" s="76"/>
      <c r="F112" s="76"/>
      <c r="G112" s="76"/>
      <c r="H112" s="76"/>
      <c r="I112" s="76"/>
      <c r="J112" s="76"/>
      <c r="K112" s="76"/>
      <c r="L112" s="76"/>
    </row>
    <row r="113" spans="3:12">
      <c r="C113" s="76"/>
      <c r="D113" s="76"/>
      <c r="E113" s="76"/>
      <c r="F113" s="76"/>
      <c r="G113" s="76"/>
      <c r="H113" s="76"/>
      <c r="I113" s="76"/>
      <c r="J113" s="76"/>
      <c r="K113" s="76"/>
      <c r="L113" s="76"/>
    </row>
    <row r="114" spans="3:12">
      <c r="C114" s="76"/>
      <c r="D114" s="76"/>
      <c r="E114" s="76"/>
      <c r="F114" s="76"/>
      <c r="G114" s="76"/>
      <c r="H114" s="76"/>
      <c r="I114" s="76"/>
      <c r="J114" s="76"/>
      <c r="K114" s="76"/>
      <c r="L114" s="76"/>
    </row>
    <row r="115" spans="3:12">
      <c r="C115" s="76"/>
      <c r="D115" s="76"/>
      <c r="E115" s="76"/>
      <c r="F115" s="76"/>
      <c r="G115" s="76"/>
      <c r="H115" s="76"/>
      <c r="I115" s="76"/>
      <c r="J115" s="76"/>
      <c r="K115" s="76"/>
      <c r="L115" s="76"/>
    </row>
    <row r="116" spans="3:12">
      <c r="C116" s="76"/>
      <c r="D116" s="76"/>
      <c r="E116" s="76"/>
      <c r="F116" s="76"/>
      <c r="G116" s="76"/>
      <c r="H116" s="76"/>
      <c r="I116" s="76"/>
      <c r="J116" s="76"/>
      <c r="K116" s="76"/>
      <c r="L116" s="76"/>
    </row>
    <row r="117" spans="3:12">
      <c r="C117" s="76"/>
      <c r="D117" s="76"/>
      <c r="E117" s="76"/>
      <c r="F117" s="76"/>
      <c r="G117" s="76"/>
      <c r="H117" s="76"/>
      <c r="I117" s="76"/>
      <c r="J117" s="76"/>
      <c r="K117" s="76"/>
      <c r="L117" s="76"/>
    </row>
    <row r="118" spans="3:12">
      <c r="C118" s="76"/>
      <c r="D118" s="76"/>
      <c r="E118" s="76"/>
      <c r="F118" s="76"/>
      <c r="G118" s="76"/>
      <c r="H118" s="76"/>
      <c r="I118" s="76"/>
      <c r="J118" s="76"/>
      <c r="K118" s="76"/>
      <c r="L118" s="76"/>
    </row>
  </sheetData>
  <mergeCells count="13">
    <mergeCell ref="K81:L81"/>
    <mergeCell ref="C95:D95"/>
    <mergeCell ref="C103:D103"/>
    <mergeCell ref="C105:D105"/>
    <mergeCell ref="C81:D81"/>
    <mergeCell ref="E81:F81"/>
    <mergeCell ref="G81:H81"/>
    <mergeCell ref="I81:J81"/>
    <mergeCell ref="C2:D2"/>
    <mergeCell ref="C6:D6"/>
    <mergeCell ref="C14:D14"/>
    <mergeCell ref="C23:D23"/>
    <mergeCell ref="H23:I23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Inputs</vt:lpstr>
      <vt:lpstr>Сalculations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2020-04-10T13:53:02Z</dcterms:modified>
</cp:coreProperties>
</file>