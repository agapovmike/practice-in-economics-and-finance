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gapo\Desktop\"/>
    </mc:Choice>
  </mc:AlternateContent>
  <xr:revisionPtr revIDLastSave="0" documentId="13_ncr:1_{0DC29B74-5889-4F57-88FE-1E73F541C114}" xr6:coauthVersionLast="47" xr6:coauthVersionMax="47" xr10:uidLastSave="{00000000-0000-0000-0000-000000000000}"/>
  <bookViews>
    <workbookView xWindow="-110" yWindow="-110" windowWidth="38620" windowHeight="21220" tabRatio="834" activeTab="13" xr2:uid="{00000000-000D-0000-FFFF-FFFF00000000}"/>
  </bookViews>
  <sheets>
    <sheet name="BS" sheetId="1" r:id="rId1"/>
    <sheet name="IS" sheetId="3" r:id="rId2"/>
    <sheet name="сок+фин.устойчивость" sheetId="8" r:id="rId3"/>
    <sheet name="фин.коэффициенты" sheetId="9" r:id="rId4"/>
    <sheet name="ликвидность баланса" sheetId="11" r:id="rId5"/>
    <sheet name="коэффициенты ликвидности" sheetId="13" r:id="rId6"/>
    <sheet name="коэффициенты оборачиваемости" sheetId="14" r:id="rId7"/>
    <sheet name="коэффициенты рентабельности" sheetId="15" r:id="rId8"/>
    <sheet name="вероятность банкротства" sheetId="16" r:id="rId9"/>
    <sheet name="WACC" sheetId="25" r:id="rId10"/>
    <sheet name="Доходный подход" sheetId="40" r:id="rId11"/>
    <sheet name="Сравнительный подход" sheetId="39" r:id="rId12"/>
    <sheet name="Затратный подход" sheetId="35" r:id="rId13"/>
    <sheet name="Согласование" sheetId="36" r:id="rId14"/>
  </sheets>
  <externalReferences>
    <externalReference r:id="rId15"/>
    <externalReference r:id="rId16"/>
  </externalReferences>
  <definedNames>
    <definedName name="solver_eng" localSheetId="10" hidden="1">1</definedName>
    <definedName name="solver_neg" localSheetId="10" hidden="1">1</definedName>
    <definedName name="solver_num" localSheetId="10" hidden="1">0</definedName>
    <definedName name="solver_opt" localSheetId="10" hidden="1">'Доходный подход'!$W$165</definedName>
    <definedName name="solver_typ" localSheetId="10" hidden="1">1</definedName>
    <definedName name="solver_val" localSheetId="10" hidden="1">0</definedName>
    <definedName name="solver_ver" localSheetId="10" hidden="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 i="36" l="1"/>
  <c r="B8" i="35"/>
  <c r="H270" i="40"/>
  <c r="L239" i="40"/>
  <c r="M240" i="40"/>
  <c r="H316" i="40"/>
  <c r="G316" i="40"/>
  <c r="F316" i="40"/>
  <c r="E316" i="40"/>
  <c r="D316" i="40"/>
  <c r="C316" i="40"/>
  <c r="H314" i="40"/>
  <c r="G314" i="40"/>
  <c r="F314" i="40"/>
  <c r="E314" i="40"/>
  <c r="C313" i="40"/>
  <c r="D314" i="40" s="1"/>
  <c r="F303" i="40"/>
  <c r="E303" i="40"/>
  <c r="D303" i="40"/>
  <c r="C303" i="40"/>
  <c r="B303" i="40"/>
  <c r="H282" i="40"/>
  <c r="H277" i="40"/>
  <c r="H276" i="40"/>
  <c r="H275" i="40"/>
  <c r="Z271" i="40"/>
  <c r="Y271" i="40"/>
  <c r="X271" i="40"/>
  <c r="W271" i="40"/>
  <c r="G269" i="40"/>
  <c r="F269" i="40"/>
  <c r="E269" i="40"/>
  <c r="D269" i="40"/>
  <c r="C269" i="40"/>
  <c r="B269" i="40"/>
  <c r="B253" i="40"/>
  <c r="F252" i="40" s="1"/>
  <c r="E252" i="40"/>
  <c r="D252" i="40"/>
  <c r="B252" i="40"/>
  <c r="B251" i="40"/>
  <c r="E250" i="40" s="1"/>
  <c r="F250" i="40"/>
  <c r="B250" i="40"/>
  <c r="B249" i="40"/>
  <c r="D248" i="40" s="1"/>
  <c r="G248" i="40"/>
  <c r="B248" i="40"/>
  <c r="B254" i="40" s="1"/>
  <c r="E239" i="40"/>
  <c r="D239" i="40"/>
  <c r="C239" i="40"/>
  <c r="E235" i="40"/>
  <c r="D235" i="40"/>
  <c r="C235" i="40"/>
  <c r="B235" i="40"/>
  <c r="B236" i="40" s="1"/>
  <c r="B234" i="40"/>
  <c r="P212" i="40" s="1"/>
  <c r="B232" i="40"/>
  <c r="B230" i="40"/>
  <c r="P210" i="40" s="1"/>
  <c r="E227" i="40"/>
  <c r="D227" i="40"/>
  <c r="C227" i="40"/>
  <c r="B227" i="40"/>
  <c r="B226" i="40"/>
  <c r="B224" i="40"/>
  <c r="P207" i="40" s="1"/>
  <c r="O214" i="40"/>
  <c r="O213" i="40"/>
  <c r="O212" i="40"/>
  <c r="O211" i="40"/>
  <c r="O210" i="40"/>
  <c r="O209" i="40"/>
  <c r="O208" i="40"/>
  <c r="O207" i="40"/>
  <c r="F194" i="40"/>
  <c r="E188" i="40"/>
  <c r="D188" i="40"/>
  <c r="C188" i="40"/>
  <c r="B188" i="40"/>
  <c r="B170" i="40"/>
  <c r="J169" i="40" s="1"/>
  <c r="H169" i="40"/>
  <c r="H167" i="40"/>
  <c r="H165" i="40"/>
  <c r="I164" i="40"/>
  <c r="I165" i="40" s="1"/>
  <c r="H164" i="40"/>
  <c r="H166" i="40" s="1"/>
  <c r="G164" i="40"/>
  <c r="F164" i="40"/>
  <c r="F168" i="40" s="1"/>
  <c r="J159" i="40"/>
  <c r="I159" i="40"/>
  <c r="H159" i="40"/>
  <c r="H158" i="40" s="1"/>
  <c r="G159" i="40"/>
  <c r="G158" i="40" s="1"/>
  <c r="F159" i="40"/>
  <c r="E159" i="40"/>
  <c r="D159" i="40"/>
  <c r="C159" i="40"/>
  <c r="B159" i="40"/>
  <c r="I158" i="40"/>
  <c r="F158" i="40"/>
  <c r="J156" i="40"/>
  <c r="I156" i="40"/>
  <c r="I155" i="40" s="1"/>
  <c r="H156" i="40"/>
  <c r="G156" i="40"/>
  <c r="G155" i="40" s="1"/>
  <c r="F156" i="40"/>
  <c r="F155" i="40" s="1"/>
  <c r="E156" i="40"/>
  <c r="D156" i="40"/>
  <c r="C156" i="40"/>
  <c r="B156" i="40"/>
  <c r="H155" i="40"/>
  <c r="J154" i="40"/>
  <c r="I154" i="40"/>
  <c r="I153" i="40" s="1"/>
  <c r="H154" i="40"/>
  <c r="H153" i="40" s="1"/>
  <c r="G154" i="40"/>
  <c r="G153" i="40" s="1"/>
  <c r="F154" i="40"/>
  <c r="F153" i="40" s="1"/>
  <c r="E154" i="40"/>
  <c r="D154" i="40"/>
  <c r="C154" i="40"/>
  <c r="B154" i="40"/>
  <c r="J152" i="40"/>
  <c r="I152" i="40"/>
  <c r="I151" i="40" s="1"/>
  <c r="H152" i="40"/>
  <c r="H151" i="40" s="1"/>
  <c r="G152" i="40"/>
  <c r="G151" i="40" s="1"/>
  <c r="F152" i="40"/>
  <c r="F151" i="40" s="1"/>
  <c r="E152" i="40"/>
  <c r="D152" i="40"/>
  <c r="C152" i="40"/>
  <c r="C157" i="40" s="1"/>
  <c r="C164" i="40" s="1"/>
  <c r="B152" i="40"/>
  <c r="E139" i="40"/>
  <c r="E141" i="40" s="1"/>
  <c r="C135" i="40"/>
  <c r="E134" i="40"/>
  <c r="E135" i="40" s="1"/>
  <c r="D134" i="40"/>
  <c r="D139" i="40" s="1"/>
  <c r="D141" i="40" s="1"/>
  <c r="C134" i="40"/>
  <c r="C139" i="40" s="1"/>
  <c r="C141" i="40" s="1"/>
  <c r="B134" i="40"/>
  <c r="B139" i="40" s="1"/>
  <c r="B141" i="40" s="1"/>
  <c r="M133" i="40"/>
  <c r="B133" i="40"/>
  <c r="C131" i="40" s="1"/>
  <c r="I131" i="40"/>
  <c r="H131" i="40"/>
  <c r="G131" i="40"/>
  <c r="F131" i="40"/>
  <c r="E131" i="40"/>
  <c r="D131" i="40"/>
  <c r="E116" i="40"/>
  <c r="D116" i="40"/>
  <c r="C116" i="40"/>
  <c r="B116" i="40"/>
  <c r="D111" i="40"/>
  <c r="B105" i="40"/>
  <c r="E100" i="40"/>
  <c r="E102" i="40" s="1"/>
  <c r="D100" i="40"/>
  <c r="D102" i="40" s="1"/>
  <c r="C100" i="40"/>
  <c r="B100" i="40"/>
  <c r="B108" i="40" s="1"/>
  <c r="E99" i="40"/>
  <c r="D99" i="40"/>
  <c r="C99" i="40"/>
  <c r="B99" i="40"/>
  <c r="E87" i="40"/>
  <c r="D87" i="40"/>
  <c r="C87" i="40"/>
  <c r="B87" i="40"/>
  <c r="E84" i="40"/>
  <c r="D84" i="40"/>
  <c r="C84" i="40"/>
  <c r="B85" i="40" s="1"/>
  <c r="B84" i="40"/>
  <c r="E81" i="40"/>
  <c r="D81" i="40"/>
  <c r="C81" i="40"/>
  <c r="B81" i="40"/>
  <c r="E74" i="40"/>
  <c r="E93" i="40" s="1"/>
  <c r="D74" i="40"/>
  <c r="D90" i="40" s="1"/>
  <c r="C74" i="40"/>
  <c r="B74" i="40"/>
  <c r="B93" i="40" s="1"/>
  <c r="E73" i="40"/>
  <c r="E66" i="40"/>
  <c r="D66" i="40"/>
  <c r="C66" i="40"/>
  <c r="B66" i="40"/>
  <c r="E63" i="40"/>
  <c r="C63" i="40"/>
  <c r="C64" i="40" s="1"/>
  <c r="S59" i="40"/>
  <c r="R59" i="40"/>
  <c r="Q59" i="40"/>
  <c r="P59" i="40"/>
  <c r="E54" i="40"/>
  <c r="E61" i="40" s="1"/>
  <c r="D54" i="40"/>
  <c r="D58" i="40" s="1"/>
  <c r="C54" i="40"/>
  <c r="C58" i="40" s="1"/>
  <c r="B54" i="40"/>
  <c r="B58" i="40" s="1"/>
  <c r="E51" i="40"/>
  <c r="D51" i="40"/>
  <c r="S48" i="40"/>
  <c r="R48" i="40"/>
  <c r="Q48" i="40"/>
  <c r="P48" i="40"/>
  <c r="S47" i="40"/>
  <c r="R47" i="40"/>
  <c r="Q47" i="40"/>
  <c r="P47" i="40"/>
  <c r="D45" i="40"/>
  <c r="D73" i="40" s="1"/>
  <c r="C45" i="40"/>
  <c r="C73" i="40" s="1"/>
  <c r="B45" i="40"/>
  <c r="B73" i="40" s="1"/>
  <c r="B75" i="40" s="1"/>
  <c r="D40" i="40"/>
  <c r="E39" i="40"/>
  <c r="E44" i="40" s="1"/>
  <c r="D39" i="40"/>
  <c r="D44" i="40" s="1"/>
  <c r="D50" i="40" s="1"/>
  <c r="C39" i="40"/>
  <c r="C44" i="40" s="1"/>
  <c r="C50" i="40" s="1"/>
  <c r="B39" i="40"/>
  <c r="B44" i="40" s="1"/>
  <c r="B50" i="40" s="1"/>
  <c r="M38" i="40"/>
  <c r="I33" i="40"/>
  <c r="H33" i="40"/>
  <c r="G33" i="40"/>
  <c r="F33" i="40"/>
  <c r="E33" i="40"/>
  <c r="D33" i="40"/>
  <c r="C33" i="40"/>
  <c r="E29" i="40"/>
  <c r="E27" i="40" s="1"/>
  <c r="D27" i="40"/>
  <c r="C27" i="40"/>
  <c r="B27" i="40"/>
  <c r="E25" i="40"/>
  <c r="D25" i="40"/>
  <c r="C25" i="40"/>
  <c r="B25" i="40"/>
  <c r="C17" i="40"/>
  <c r="C51" i="40" s="1"/>
  <c r="B17" i="40"/>
  <c r="B51" i="40" s="1"/>
  <c r="K130" i="40"/>
  <c r="J146" i="40"/>
  <c r="K33" i="40"/>
  <c r="F169" i="40" l="1"/>
  <c r="G252" i="40"/>
  <c r="D55" i="40"/>
  <c r="D61" i="40"/>
  <c r="E90" i="40"/>
  <c r="D250" i="40"/>
  <c r="D254" i="40" s="1"/>
  <c r="D105" i="40"/>
  <c r="D75" i="40"/>
  <c r="E58" i="40"/>
  <c r="B59" i="40" s="1"/>
  <c r="D108" i="40"/>
  <c r="E157" i="40"/>
  <c r="E164" i="40" s="1"/>
  <c r="D64" i="40"/>
  <c r="B90" i="40"/>
  <c r="B111" i="40"/>
  <c r="H168" i="40"/>
  <c r="E248" i="40"/>
  <c r="F165" i="40"/>
  <c r="D157" i="40"/>
  <c r="D164" i="40" s="1"/>
  <c r="E64" i="40"/>
  <c r="D93" i="40"/>
  <c r="C67" i="40"/>
  <c r="B40" i="40"/>
  <c r="C55" i="40"/>
  <c r="E75" i="40"/>
  <c r="B102" i="40"/>
  <c r="F166" i="40"/>
  <c r="E40" i="40"/>
  <c r="P56" i="40"/>
  <c r="R63" i="40" s="1"/>
  <c r="R69" i="40" s="1"/>
  <c r="C61" i="40"/>
  <c r="D135" i="40"/>
  <c r="C250" i="40"/>
  <c r="F167" i="40"/>
  <c r="B189" i="40"/>
  <c r="F189" i="40" s="1"/>
  <c r="P58" i="40"/>
  <c r="Q64" i="40" s="1"/>
  <c r="Q70" i="40" s="1"/>
  <c r="B142" i="40"/>
  <c r="F141" i="40" s="1"/>
  <c r="C248" i="40"/>
  <c r="J38" i="40"/>
  <c r="J149" i="40"/>
  <c r="J164" i="40" s="1"/>
  <c r="J133" i="40"/>
  <c r="P64" i="40"/>
  <c r="P70" i="40" s="1"/>
  <c r="X57" i="40"/>
  <c r="R64" i="40"/>
  <c r="R70" i="40" s="1"/>
  <c r="E46" i="40"/>
  <c r="E50" i="40"/>
  <c r="E52" i="40" s="1"/>
  <c r="J84" i="40"/>
  <c r="I84" i="40"/>
  <c r="H84" i="40"/>
  <c r="G84" i="40"/>
  <c r="F84" i="40"/>
  <c r="B52" i="40"/>
  <c r="B67" i="40"/>
  <c r="S63" i="40"/>
  <c r="S69" i="40" s="1"/>
  <c r="X55" i="40"/>
  <c r="C52" i="40"/>
  <c r="C40" i="40"/>
  <c r="B41" i="40" s="1"/>
  <c r="B61" i="40"/>
  <c r="B82" i="40"/>
  <c r="B157" i="40"/>
  <c r="B164" i="40" s="1"/>
  <c r="E254" i="40"/>
  <c r="G189" i="40"/>
  <c r="B214" i="40"/>
  <c r="D67" i="40"/>
  <c r="E67" i="40"/>
  <c r="C102" i="40"/>
  <c r="C105" i="40"/>
  <c r="C108" i="40"/>
  <c r="C111" i="40"/>
  <c r="B112" i="40" s="1"/>
  <c r="C114" i="40"/>
  <c r="G194" i="40"/>
  <c r="P211" i="40"/>
  <c r="P213" i="40"/>
  <c r="B46" i="40"/>
  <c r="C90" i="40"/>
  <c r="C93" i="40"/>
  <c r="C75" i="40"/>
  <c r="B76" i="40" s="1"/>
  <c r="C46" i="40"/>
  <c r="P50" i="40"/>
  <c r="P52" i="40"/>
  <c r="P54" i="40"/>
  <c r="E105" i="40"/>
  <c r="E108" i="40"/>
  <c r="E111" i="40"/>
  <c r="E114" i="40"/>
  <c r="H141" i="40"/>
  <c r="B228" i="40"/>
  <c r="P209" i="40" s="1"/>
  <c r="E55" i="40"/>
  <c r="D46" i="40"/>
  <c r="D52" i="40"/>
  <c r="B55" i="40"/>
  <c r="B64" i="40"/>
  <c r="B88" i="40"/>
  <c r="J158" i="40"/>
  <c r="C78" i="40"/>
  <c r="B103" i="40"/>
  <c r="G167" i="40"/>
  <c r="G165" i="40"/>
  <c r="G168" i="40"/>
  <c r="G166" i="40"/>
  <c r="B78" i="40"/>
  <c r="B114" i="40"/>
  <c r="I167" i="40"/>
  <c r="G169" i="40"/>
  <c r="F248" i="40"/>
  <c r="F254" i="40" s="1"/>
  <c r="G250" i="40"/>
  <c r="G254" i="40" s="1"/>
  <c r="D78" i="40"/>
  <c r="D114" i="40"/>
  <c r="B135" i="40"/>
  <c r="B136" i="40" s="1"/>
  <c r="I169" i="40"/>
  <c r="E78" i="40"/>
  <c r="I166" i="40"/>
  <c r="C252" i="40"/>
  <c r="I168" i="40"/>
  <c r="P208" i="40"/>
  <c r="P214" i="40" s="1"/>
  <c r="B65" i="40" l="1"/>
  <c r="J64" i="40" s="1"/>
  <c r="I141" i="40"/>
  <c r="E255" i="40"/>
  <c r="D267" i="40" s="1"/>
  <c r="D304" i="40" s="1"/>
  <c r="G255" i="40"/>
  <c r="F267" i="40" s="1"/>
  <c r="F304" i="40" s="1"/>
  <c r="B109" i="40"/>
  <c r="I108" i="40" s="1"/>
  <c r="J151" i="40"/>
  <c r="J155" i="40"/>
  <c r="B62" i="40"/>
  <c r="F58" i="40"/>
  <c r="J58" i="40"/>
  <c r="I58" i="40"/>
  <c r="H58" i="40"/>
  <c r="G58" i="40"/>
  <c r="B94" i="40"/>
  <c r="I93" i="40" s="1"/>
  <c r="P63" i="40"/>
  <c r="P69" i="40" s="1"/>
  <c r="J153" i="40"/>
  <c r="B91" i="40"/>
  <c r="G90" i="40" s="1"/>
  <c r="Q63" i="40"/>
  <c r="Q69" i="40" s="1"/>
  <c r="C254" i="40"/>
  <c r="D255" i="40" s="1"/>
  <c r="C267" i="40" s="1"/>
  <c r="C304" i="40" s="1"/>
  <c r="S64" i="40"/>
  <c r="S70" i="40" s="1"/>
  <c r="F255" i="40"/>
  <c r="E267" i="40" s="1"/>
  <c r="E304" i="40" s="1"/>
  <c r="J141" i="40"/>
  <c r="G141" i="40"/>
  <c r="C255" i="40"/>
  <c r="B267" i="40" s="1"/>
  <c r="B304" i="40" s="1"/>
  <c r="I40" i="40"/>
  <c r="I39" i="40" s="1"/>
  <c r="I44" i="40" s="1"/>
  <c r="H40" i="40"/>
  <c r="H39" i="40" s="1"/>
  <c r="H44" i="40" s="1"/>
  <c r="G40" i="40"/>
  <c r="G39" i="40" s="1"/>
  <c r="G44" i="40" s="1"/>
  <c r="J40" i="40"/>
  <c r="F40" i="40"/>
  <c r="F39" i="40" s="1"/>
  <c r="F44" i="40" s="1"/>
  <c r="F93" i="40"/>
  <c r="C119" i="40"/>
  <c r="C125" i="40" s="1"/>
  <c r="F108" i="40"/>
  <c r="B119" i="40"/>
  <c r="B125" i="40" s="1"/>
  <c r="J108" i="40"/>
  <c r="H108" i="40"/>
  <c r="G108" i="40"/>
  <c r="D119" i="40"/>
  <c r="D125" i="40" s="1"/>
  <c r="I81" i="40"/>
  <c r="H81" i="40"/>
  <c r="G81" i="40"/>
  <c r="F81" i="40"/>
  <c r="J81" i="40"/>
  <c r="B115" i="40"/>
  <c r="H61" i="40"/>
  <c r="G61" i="40"/>
  <c r="F61" i="40"/>
  <c r="I61" i="40"/>
  <c r="J61" i="40"/>
  <c r="H194" i="40"/>
  <c r="B79" i="40"/>
  <c r="B47" i="40"/>
  <c r="B106" i="40"/>
  <c r="E117" i="40"/>
  <c r="E123" i="40" s="1"/>
  <c r="D117" i="40"/>
  <c r="D123" i="40" s="1"/>
  <c r="C117" i="40"/>
  <c r="C123" i="40" s="1"/>
  <c r="J102" i="40"/>
  <c r="B117" i="40"/>
  <c r="B123" i="40" s="1"/>
  <c r="I102" i="40"/>
  <c r="H102" i="40"/>
  <c r="F102" i="40"/>
  <c r="G102" i="40"/>
  <c r="S62" i="40"/>
  <c r="S68" i="40" s="1"/>
  <c r="R62" i="40"/>
  <c r="R68" i="40" s="1"/>
  <c r="Q62" i="40"/>
  <c r="Q68" i="40" s="1"/>
  <c r="P62" i="40"/>
  <c r="P68" i="40" s="1"/>
  <c r="X53" i="40"/>
  <c r="G75" i="40"/>
  <c r="F75" i="40"/>
  <c r="I75" i="40"/>
  <c r="J75" i="40"/>
  <c r="H75" i="40"/>
  <c r="B68" i="40"/>
  <c r="B120" i="40"/>
  <c r="B126" i="40" s="1"/>
  <c r="G111" i="40"/>
  <c r="F111" i="40"/>
  <c r="E120" i="40"/>
  <c r="E126" i="40" s="1"/>
  <c r="J111" i="40"/>
  <c r="D120" i="40"/>
  <c r="D126" i="40" s="1"/>
  <c r="I111" i="40"/>
  <c r="H111" i="40"/>
  <c r="C120" i="40"/>
  <c r="C126" i="40" s="1"/>
  <c r="J87" i="40"/>
  <c r="I87" i="40"/>
  <c r="H87" i="40"/>
  <c r="G87" i="40"/>
  <c r="F87" i="40"/>
  <c r="B53" i="40"/>
  <c r="J168" i="40"/>
  <c r="J166" i="40"/>
  <c r="J167" i="40"/>
  <c r="J165" i="40"/>
  <c r="S61" i="40"/>
  <c r="S67" i="40" s="1"/>
  <c r="R61" i="40"/>
  <c r="R67" i="40" s="1"/>
  <c r="Q61" i="40"/>
  <c r="Q67" i="40" s="1"/>
  <c r="P61" i="40"/>
  <c r="P67" i="40" s="1"/>
  <c r="X51" i="40"/>
  <c r="S60" i="40"/>
  <c r="S66" i="40" s="1"/>
  <c r="P60" i="40"/>
  <c r="P66" i="40" s="1"/>
  <c r="R60" i="40"/>
  <c r="R66" i="40" s="1"/>
  <c r="Q60" i="40"/>
  <c r="Q66" i="40" s="1"/>
  <c r="X49" i="40"/>
  <c r="J131" i="40"/>
  <c r="F135" i="40"/>
  <c r="F134" i="40" s="1"/>
  <c r="F139" i="40" s="1"/>
  <c r="F140" i="40" s="1"/>
  <c r="B215" i="40" s="1"/>
  <c r="J135" i="40"/>
  <c r="J134" i="40" s="1"/>
  <c r="J139" i="40" s="1"/>
  <c r="I135" i="40"/>
  <c r="I134" i="40" s="1"/>
  <c r="I139" i="40" s="1"/>
  <c r="I140" i="40" s="1"/>
  <c r="H135" i="40"/>
  <c r="H134" i="40" s="1"/>
  <c r="H139" i="40" s="1"/>
  <c r="H140" i="40" s="1"/>
  <c r="G135" i="40"/>
  <c r="G134" i="40" s="1"/>
  <c r="G139" i="40" s="1"/>
  <c r="G140" i="40" s="1"/>
  <c r="C215" i="40" s="1"/>
  <c r="B56" i="40"/>
  <c r="H189" i="40"/>
  <c r="C214" i="40"/>
  <c r="J39" i="40"/>
  <c r="J44" i="40" s="1"/>
  <c r="J33" i="40"/>
  <c r="F90" i="40" l="1"/>
  <c r="H90" i="40"/>
  <c r="I90" i="40"/>
  <c r="F64" i="40"/>
  <c r="G64" i="40"/>
  <c r="H93" i="40"/>
  <c r="J90" i="40"/>
  <c r="H64" i="40"/>
  <c r="E119" i="40"/>
  <c r="E125" i="40" s="1"/>
  <c r="G93" i="40"/>
  <c r="I64" i="40"/>
  <c r="J93" i="40"/>
  <c r="J140" i="40"/>
  <c r="I189" i="40"/>
  <c r="D214" i="40"/>
  <c r="F50" i="40"/>
  <c r="J55" i="40"/>
  <c r="I55" i="40"/>
  <c r="H55" i="40"/>
  <c r="G55" i="40"/>
  <c r="F55" i="40"/>
  <c r="I67" i="40"/>
  <c r="J67" i="40"/>
  <c r="H67" i="40"/>
  <c r="G67" i="40"/>
  <c r="F67" i="40"/>
  <c r="F52" i="40"/>
  <c r="J52" i="40"/>
  <c r="G52" i="40"/>
  <c r="I52" i="40"/>
  <c r="H52" i="40"/>
  <c r="F46" i="40"/>
  <c r="F45" i="40" s="1"/>
  <c r="F73" i="40" s="1"/>
  <c r="F74" i="40" s="1"/>
  <c r="F77" i="40" s="1"/>
  <c r="G46" i="40"/>
  <c r="G45" i="40" s="1"/>
  <c r="G73" i="40" s="1"/>
  <c r="G74" i="40" s="1"/>
  <c r="G89" i="40" s="1"/>
  <c r="J46" i="40"/>
  <c r="J45" i="40" s="1"/>
  <c r="J73" i="40" s="1"/>
  <c r="J74" i="40" s="1"/>
  <c r="I46" i="40"/>
  <c r="I45" i="40" s="1"/>
  <c r="I73" i="40" s="1"/>
  <c r="I74" i="40" s="1"/>
  <c r="H46" i="40"/>
  <c r="G50" i="40"/>
  <c r="H114" i="40"/>
  <c r="G114" i="40"/>
  <c r="F114" i="40"/>
  <c r="E121" i="40"/>
  <c r="E127" i="40" s="1"/>
  <c r="D121" i="40"/>
  <c r="D127" i="40" s="1"/>
  <c r="C121" i="40"/>
  <c r="C127" i="40" s="1"/>
  <c r="J114" i="40"/>
  <c r="B121" i="40"/>
  <c r="B127" i="40" s="1"/>
  <c r="I114" i="40"/>
  <c r="H78" i="40"/>
  <c r="G78" i="40"/>
  <c r="F78" i="40"/>
  <c r="J78" i="40"/>
  <c r="I78" i="40"/>
  <c r="H50" i="40"/>
  <c r="H45" i="40"/>
  <c r="H73" i="40" s="1"/>
  <c r="H74" i="40" s="1"/>
  <c r="H92" i="40" s="1"/>
  <c r="I50" i="40"/>
  <c r="J50" i="40"/>
  <c r="J51" i="40" s="1"/>
  <c r="D215" i="40"/>
  <c r="I194" i="40"/>
  <c r="D118" i="40"/>
  <c r="D124" i="40" s="1"/>
  <c r="C118" i="40"/>
  <c r="C124" i="40" s="1"/>
  <c r="B118" i="40"/>
  <c r="B124" i="40" s="1"/>
  <c r="J105" i="40"/>
  <c r="I105" i="40"/>
  <c r="G105" i="40"/>
  <c r="H105" i="40"/>
  <c r="F105" i="40"/>
  <c r="E118" i="40"/>
  <c r="E124" i="40" s="1"/>
  <c r="I77" i="40" l="1"/>
  <c r="I86" i="40" s="1"/>
  <c r="W59" i="40" s="1"/>
  <c r="I89" i="40"/>
  <c r="I51" i="40"/>
  <c r="H51" i="40"/>
  <c r="H89" i="40"/>
  <c r="J77" i="40"/>
  <c r="J89" i="40"/>
  <c r="J92" i="40"/>
  <c r="F99" i="40"/>
  <c r="T47" i="40"/>
  <c r="T51" i="40" s="1"/>
  <c r="F83" i="40"/>
  <c r="F92" i="40"/>
  <c r="I66" i="40"/>
  <c r="E204" i="40" s="1"/>
  <c r="I54" i="40"/>
  <c r="F86" i="40"/>
  <c r="F51" i="40"/>
  <c r="E215" i="40"/>
  <c r="J194" i="40"/>
  <c r="F215" i="40" s="1"/>
  <c r="F89" i="40"/>
  <c r="G77" i="40"/>
  <c r="I92" i="40"/>
  <c r="G92" i="40"/>
  <c r="F80" i="40"/>
  <c r="G51" i="40"/>
  <c r="H66" i="40"/>
  <c r="D204" i="40" s="1"/>
  <c r="H54" i="40"/>
  <c r="J189" i="40"/>
  <c r="F214" i="40" s="1"/>
  <c r="E214" i="40"/>
  <c r="J54" i="40"/>
  <c r="J66" i="40"/>
  <c r="F204" i="40" s="1"/>
  <c r="H77" i="40"/>
  <c r="I116" i="40" l="1"/>
  <c r="I121" i="40" s="1"/>
  <c r="I99" i="40"/>
  <c r="I83" i="40"/>
  <c r="I80" i="40"/>
  <c r="W47" i="40"/>
  <c r="W51" i="40" s="1"/>
  <c r="F100" i="40"/>
  <c r="T48" i="40"/>
  <c r="G66" i="40"/>
  <c r="C204" i="40" s="1"/>
  <c r="G54" i="40"/>
  <c r="J57" i="40"/>
  <c r="F205" i="40" s="1"/>
  <c r="J63" i="40"/>
  <c r="F207" i="40" s="1"/>
  <c r="J60" i="40"/>
  <c r="F206" i="40" s="1"/>
  <c r="F203" i="40" s="1"/>
  <c r="I100" i="40"/>
  <c r="W48" i="40"/>
  <c r="F54" i="40"/>
  <c r="F66" i="40"/>
  <c r="B204" i="40" s="1"/>
  <c r="W64" i="40"/>
  <c r="W63" i="40"/>
  <c r="W62" i="40"/>
  <c r="W61" i="40"/>
  <c r="W60" i="40"/>
  <c r="H99" i="40"/>
  <c r="V47" i="40"/>
  <c r="V51" i="40" s="1"/>
  <c r="H83" i="40"/>
  <c r="H86" i="40"/>
  <c r="H80" i="40"/>
  <c r="F116" i="40"/>
  <c r="T59" i="40"/>
  <c r="I118" i="40"/>
  <c r="I57" i="40"/>
  <c r="E205" i="40" s="1"/>
  <c r="I60" i="40"/>
  <c r="E206" i="40" s="1"/>
  <c r="I63" i="40"/>
  <c r="E207" i="40" s="1"/>
  <c r="H57" i="40"/>
  <c r="D205" i="40" s="1"/>
  <c r="H63" i="40"/>
  <c r="D207" i="40" s="1"/>
  <c r="H60" i="40"/>
  <c r="D206" i="40" s="1"/>
  <c r="G99" i="40"/>
  <c r="U47" i="40"/>
  <c r="U51" i="40" s="1"/>
  <c r="G83" i="40"/>
  <c r="G86" i="40"/>
  <c r="G80" i="40"/>
  <c r="J99" i="40"/>
  <c r="J83" i="40"/>
  <c r="J80" i="40"/>
  <c r="J86" i="40"/>
  <c r="I119" i="40" l="1"/>
  <c r="I120" i="40"/>
  <c r="I117" i="40"/>
  <c r="W67" i="40"/>
  <c r="E203" i="40"/>
  <c r="D203" i="40"/>
  <c r="H100" i="40"/>
  <c r="V48" i="40"/>
  <c r="J100" i="40"/>
  <c r="H116" i="40"/>
  <c r="V59" i="40"/>
  <c r="G57" i="40"/>
  <c r="C205" i="40" s="1"/>
  <c r="G63" i="40"/>
  <c r="C207" i="40" s="1"/>
  <c r="G60" i="40"/>
  <c r="C206" i="40" s="1"/>
  <c r="F57" i="40"/>
  <c r="B205" i="40" s="1"/>
  <c r="F60" i="40"/>
  <c r="B206" i="40" s="1"/>
  <c r="F63" i="40"/>
  <c r="B207" i="40" s="1"/>
  <c r="J116" i="40"/>
  <c r="X59" i="40"/>
  <c r="G100" i="40"/>
  <c r="U48" i="40"/>
  <c r="U59" i="40"/>
  <c r="G116" i="40"/>
  <c r="W49" i="40"/>
  <c r="W66" i="40" s="1"/>
  <c r="W57" i="40"/>
  <c r="W70" i="40" s="1"/>
  <c r="W55" i="40"/>
  <c r="W69" i="40" s="1"/>
  <c r="W53" i="40"/>
  <c r="W68" i="40" s="1"/>
  <c r="T49" i="40"/>
  <c r="T57" i="40"/>
  <c r="T55" i="40"/>
  <c r="T53" i="40"/>
  <c r="T68" i="40" s="1"/>
  <c r="T63" i="40"/>
  <c r="T64" i="40"/>
  <c r="T62" i="40"/>
  <c r="T61" i="40"/>
  <c r="T67" i="40" s="1"/>
  <c r="T60" i="40"/>
  <c r="I113" i="40"/>
  <c r="I127" i="40" s="1"/>
  <c r="E213" i="40" s="1"/>
  <c r="I101" i="40"/>
  <c r="I123" i="40" s="1"/>
  <c r="E209" i="40" s="1"/>
  <c r="I107" i="40"/>
  <c r="I110" i="40"/>
  <c r="I126" i="40" s="1"/>
  <c r="E212" i="40" s="1"/>
  <c r="I104" i="40"/>
  <c r="I124" i="40" s="1"/>
  <c r="E210" i="40" s="1"/>
  <c r="F104" i="40"/>
  <c r="F107" i="40"/>
  <c r="F110" i="40"/>
  <c r="F113" i="40"/>
  <c r="F127" i="40" s="1"/>
  <c r="B213" i="40" s="1"/>
  <c r="F101" i="40"/>
  <c r="F119" i="40"/>
  <c r="F117" i="40"/>
  <c r="F120" i="40"/>
  <c r="F118" i="40"/>
  <c r="F121" i="40"/>
  <c r="I125" i="40" l="1"/>
  <c r="E211" i="40" s="1"/>
  <c r="E208" i="40" s="1"/>
  <c r="E216" i="40" s="1"/>
  <c r="I222" i="40" s="1"/>
  <c r="T70" i="40"/>
  <c r="C203" i="40"/>
  <c r="B203" i="40"/>
  <c r="F123" i="40"/>
  <c r="B209" i="40" s="1"/>
  <c r="V64" i="40"/>
  <c r="V63" i="40"/>
  <c r="V62" i="40"/>
  <c r="V60" i="40"/>
  <c r="V61" i="40"/>
  <c r="V67" i="40" s="1"/>
  <c r="G117" i="40"/>
  <c r="G119" i="40"/>
  <c r="G120" i="40"/>
  <c r="G121" i="40"/>
  <c r="G118" i="40"/>
  <c r="H117" i="40"/>
  <c r="H120" i="40"/>
  <c r="H119" i="40"/>
  <c r="H121" i="40"/>
  <c r="H118" i="40"/>
  <c r="T69" i="40"/>
  <c r="U63" i="40"/>
  <c r="U64" i="40"/>
  <c r="U61" i="40"/>
  <c r="U67" i="40" s="1"/>
  <c r="U60" i="40"/>
  <c r="U62" i="40"/>
  <c r="J101" i="40"/>
  <c r="J104" i="40"/>
  <c r="J110" i="40"/>
  <c r="J113" i="40"/>
  <c r="J107" i="40"/>
  <c r="U49" i="40"/>
  <c r="U57" i="40"/>
  <c r="U55" i="40"/>
  <c r="U53" i="40"/>
  <c r="V49" i="40"/>
  <c r="V57" i="40"/>
  <c r="V70" i="40" s="1"/>
  <c r="V55" i="40"/>
  <c r="V69" i="40" s="1"/>
  <c r="V53" i="40"/>
  <c r="V68" i="40" s="1"/>
  <c r="F126" i="40"/>
  <c r="B212" i="40" s="1"/>
  <c r="T66" i="40"/>
  <c r="G107" i="40"/>
  <c r="G110" i="40"/>
  <c r="G113" i="40"/>
  <c r="G101" i="40"/>
  <c r="G104" i="40"/>
  <c r="G124" i="40" s="1"/>
  <c r="C210" i="40" s="1"/>
  <c r="H110" i="40"/>
  <c r="H113" i="40"/>
  <c r="H104" i="40"/>
  <c r="H101" i="40"/>
  <c r="H107" i="40"/>
  <c r="F125" i="40"/>
  <c r="B211" i="40" s="1"/>
  <c r="X63" i="40"/>
  <c r="X69" i="40" s="1"/>
  <c r="X64" i="40"/>
  <c r="X70" i="40" s="1"/>
  <c r="X61" i="40"/>
  <c r="X67" i="40" s="1"/>
  <c r="X60" i="40"/>
  <c r="X66" i="40" s="1"/>
  <c r="X62" i="40"/>
  <c r="X68" i="40" s="1"/>
  <c r="F124" i="40"/>
  <c r="B210" i="40" s="1"/>
  <c r="J119" i="40"/>
  <c r="J117" i="40"/>
  <c r="J120" i="40"/>
  <c r="J118" i="40"/>
  <c r="J121" i="40"/>
  <c r="H126" i="40" l="1"/>
  <c r="D212" i="40" s="1"/>
  <c r="G126" i="40"/>
  <c r="C212" i="40" s="1"/>
  <c r="H124" i="40"/>
  <c r="D210" i="40" s="1"/>
  <c r="U70" i="40"/>
  <c r="J125" i="40"/>
  <c r="F211" i="40" s="1"/>
  <c r="G127" i="40"/>
  <c r="C213" i="40" s="1"/>
  <c r="H125" i="40"/>
  <c r="D211" i="40" s="1"/>
  <c r="B208" i="40"/>
  <c r="B216" i="40" s="1"/>
  <c r="F222" i="40" s="1"/>
  <c r="F227" i="40" s="1"/>
  <c r="H123" i="40"/>
  <c r="D209" i="40" s="1"/>
  <c r="G125" i="40"/>
  <c r="C211" i="40" s="1"/>
  <c r="U69" i="40"/>
  <c r="H127" i="40"/>
  <c r="D213" i="40" s="1"/>
  <c r="U66" i="40"/>
  <c r="J127" i="40"/>
  <c r="F213" i="40" s="1"/>
  <c r="G123" i="40"/>
  <c r="C209" i="40" s="1"/>
  <c r="J126" i="40"/>
  <c r="F212" i="40" s="1"/>
  <c r="V66" i="40"/>
  <c r="J124" i="40"/>
  <c r="F210" i="40" s="1"/>
  <c r="I233" i="40"/>
  <c r="I227" i="40"/>
  <c r="I223" i="40"/>
  <c r="I225" i="40"/>
  <c r="E260" i="40"/>
  <c r="I229" i="40"/>
  <c r="I231" i="40"/>
  <c r="I235" i="40"/>
  <c r="U68" i="40"/>
  <c r="J123" i="40"/>
  <c r="F209" i="40" s="1"/>
  <c r="F223" i="40" l="1"/>
  <c r="F231" i="40"/>
  <c r="F229" i="40"/>
  <c r="B260" i="40"/>
  <c r="F233" i="40"/>
  <c r="D208" i="40"/>
  <c r="D216" i="40" s="1"/>
  <c r="H222" i="40" s="1"/>
  <c r="H225" i="40" s="1"/>
  <c r="F225" i="40"/>
  <c r="F237" i="40"/>
  <c r="B261" i="40" s="1"/>
  <c r="B298" i="40" s="1"/>
  <c r="B293" i="40" s="1"/>
  <c r="C208" i="40"/>
  <c r="C216" i="40" s="1"/>
  <c r="G222" i="40" s="1"/>
  <c r="G231" i="40" s="1"/>
  <c r="F235" i="40"/>
  <c r="E297" i="40"/>
  <c r="C260" i="40"/>
  <c r="G233" i="40"/>
  <c r="G227" i="40"/>
  <c r="G223" i="40"/>
  <c r="G225" i="40"/>
  <c r="G235" i="40"/>
  <c r="H231" i="40"/>
  <c r="H235" i="40"/>
  <c r="F208" i="40"/>
  <c r="F216" i="40" s="1"/>
  <c r="J222" i="40" s="1"/>
  <c r="I237" i="40"/>
  <c r="B297" i="40"/>
  <c r="E265" i="40"/>
  <c r="E302" i="40" s="1"/>
  <c r="F243" i="40"/>
  <c r="C243" i="40"/>
  <c r="C244" i="40"/>
  <c r="B265" i="40"/>
  <c r="B302" i="40" s="1"/>
  <c r="H223" i="40" l="1"/>
  <c r="H237" i="40" s="1"/>
  <c r="B262" i="40"/>
  <c r="H227" i="40"/>
  <c r="F238" i="40"/>
  <c r="F239" i="40" s="1"/>
  <c r="H233" i="40"/>
  <c r="D260" i="40"/>
  <c r="D297" i="40" s="1"/>
  <c r="H229" i="40"/>
  <c r="G237" i="40"/>
  <c r="B264" i="40"/>
  <c r="B299" i="40"/>
  <c r="E261" i="40"/>
  <c r="I238" i="40"/>
  <c r="D243" i="40"/>
  <c r="C265" i="40"/>
  <c r="C302" i="40" s="1"/>
  <c r="J233" i="40"/>
  <c r="J223" i="40"/>
  <c r="F260" i="40"/>
  <c r="J229" i="40"/>
  <c r="J225" i="40"/>
  <c r="J231" i="40"/>
  <c r="J235" i="40"/>
  <c r="E243" i="40"/>
  <c r="D265" i="40"/>
  <c r="D302" i="40" s="1"/>
  <c r="C297" i="40"/>
  <c r="E298" i="40" l="1"/>
  <c r="E293" i="40" s="1"/>
  <c r="E262" i="40"/>
  <c r="F297" i="40"/>
  <c r="D261" i="40"/>
  <c r="H238" i="40"/>
  <c r="J237" i="40"/>
  <c r="B268" i="40"/>
  <c r="B301" i="40"/>
  <c r="F265" i="40"/>
  <c r="F302" i="40" s="1"/>
  <c r="G243" i="40"/>
  <c r="C261" i="40"/>
  <c r="G238" i="40"/>
  <c r="G239" i="40" s="1"/>
  <c r="F261" i="40" l="1"/>
  <c r="J238" i="40"/>
  <c r="J239" i="40" s="1"/>
  <c r="H239" i="40"/>
  <c r="D298" i="40"/>
  <c r="D293" i="40" s="1"/>
  <c r="D262" i="40"/>
  <c r="C298" i="40"/>
  <c r="C293" i="40" s="1"/>
  <c r="C262" i="40"/>
  <c r="E264" i="40"/>
  <c r="E299" i="40"/>
  <c r="B270" i="40"/>
  <c r="B305" i="40"/>
  <c r="I239" i="40"/>
  <c r="E268" i="40" l="1"/>
  <c r="E301" i="40"/>
  <c r="C264" i="40"/>
  <c r="C299" i="40"/>
  <c r="D264" i="40"/>
  <c r="D299" i="40"/>
  <c r="F298" i="40"/>
  <c r="F293" i="40" s="1"/>
  <c r="F262" i="40"/>
  <c r="C268" i="40" l="1"/>
  <c r="C301" i="40"/>
  <c r="F299" i="40"/>
  <c r="F264" i="40"/>
  <c r="E305" i="40"/>
  <c r="E270" i="40"/>
  <c r="D268" i="40"/>
  <c r="D301" i="40"/>
  <c r="D305" i="40" l="1"/>
  <c r="D270" i="40"/>
  <c r="F268" i="40"/>
  <c r="F301" i="40"/>
  <c r="C305" i="40"/>
  <c r="C270" i="40"/>
  <c r="F270" i="40" l="1"/>
  <c r="F305" i="40"/>
  <c r="G268" i="40"/>
  <c r="G270" i="40" l="1"/>
  <c r="H274" i="40" s="1"/>
  <c r="H278" i="40" s="1"/>
  <c r="H280" i="40" s="1"/>
  <c r="G305" i="40"/>
  <c r="H283" i="40" l="1"/>
  <c r="H285" i="40" s="1"/>
  <c r="B10" i="35" l="1"/>
  <c r="E375" i="39"/>
  <c r="E360" i="39"/>
  <c r="E348" i="39"/>
  <c r="E337" i="39"/>
  <c r="E326" i="39"/>
  <c r="E312" i="39"/>
  <c r="E298" i="39"/>
  <c r="E286" i="39"/>
  <c r="E272" i="39"/>
  <c r="E258" i="39"/>
  <c r="E244" i="39"/>
  <c r="B242" i="39"/>
  <c r="B255" i="39" s="1"/>
  <c r="B241" i="39"/>
  <c r="E232" i="39"/>
  <c r="E222" i="39"/>
  <c r="B220" i="39"/>
  <c r="B219" i="39"/>
  <c r="E211" i="39"/>
  <c r="B210" i="39"/>
  <c r="B243" i="39" s="1"/>
  <c r="B256" i="39" s="1"/>
  <c r="B209" i="39"/>
  <c r="B208" i="39"/>
  <c r="B207" i="39"/>
  <c r="B218" i="39" s="1"/>
  <c r="B206" i="39"/>
  <c r="B217" i="39" s="1"/>
  <c r="B205" i="39"/>
  <c r="B216" i="39" s="1"/>
  <c r="E194" i="39"/>
  <c r="P185" i="39"/>
  <c r="Q177" i="39"/>
  <c r="E371" i="39" s="1"/>
  <c r="C141" i="39" s="1"/>
  <c r="Q176" i="39"/>
  <c r="E370" i="39" s="1"/>
  <c r="Q175" i="39"/>
  <c r="E369" i="39" s="1"/>
  <c r="Q174" i="39"/>
  <c r="E368" i="39" s="1"/>
  <c r="E172" i="39"/>
  <c r="B170" i="39"/>
  <c r="Q163" i="39"/>
  <c r="E356" i="39" s="1"/>
  <c r="Q162" i="39"/>
  <c r="E355" i="39" s="1"/>
  <c r="Q161" i="39"/>
  <c r="E354" i="39" s="1"/>
  <c r="Q160" i="39"/>
  <c r="E353" i="39" s="1"/>
  <c r="Q154" i="39"/>
  <c r="E347" i="39" s="1"/>
  <c r="Q151" i="39"/>
  <c r="E344" i="39" s="1"/>
  <c r="C140" i="39" s="1"/>
  <c r="Q150" i="39"/>
  <c r="E343" i="39" s="1"/>
  <c r="Q149" i="39"/>
  <c r="E342" i="39" s="1"/>
  <c r="Q148" i="39"/>
  <c r="Q153" i="39" s="1"/>
  <c r="E346" i="39" s="1"/>
  <c r="P143" i="39"/>
  <c r="Q141" i="39"/>
  <c r="E336" i="39" s="1"/>
  <c r="Q138" i="39"/>
  <c r="E333" i="39" s="1"/>
  <c r="C139" i="39" s="1"/>
  <c r="Q137" i="39"/>
  <c r="E332" i="39" s="1"/>
  <c r="Q136" i="39"/>
  <c r="E331" i="39" s="1"/>
  <c r="Q135" i="39"/>
  <c r="E330" i="39" s="1"/>
  <c r="Q127" i="39"/>
  <c r="E322" i="39" s="1"/>
  <c r="Q126" i="39"/>
  <c r="E321" i="39" s="1"/>
  <c r="Q125" i="39"/>
  <c r="E320" i="39" s="1"/>
  <c r="Q124" i="39"/>
  <c r="E319" i="39" s="1"/>
  <c r="B118" i="39"/>
  <c r="C115" i="39"/>
  <c r="C114" i="39"/>
  <c r="B114" i="39"/>
  <c r="D114" i="39" s="1"/>
  <c r="Q112" i="39"/>
  <c r="L112" i="39"/>
  <c r="E308" i="39" s="1"/>
  <c r="C138" i="39" s="1"/>
  <c r="L111" i="39"/>
  <c r="E307" i="39" s="1"/>
  <c r="L110" i="39"/>
  <c r="L115" i="39" s="1"/>
  <c r="E311" i="39" s="1"/>
  <c r="C110" i="39"/>
  <c r="B110" i="39"/>
  <c r="D110" i="39" s="1"/>
  <c r="B325" i="39" s="1"/>
  <c r="L109" i="39"/>
  <c r="E305" i="39" s="1"/>
  <c r="C109" i="39"/>
  <c r="B109" i="39"/>
  <c r="D109" i="39" s="1"/>
  <c r="B324" i="39" s="1"/>
  <c r="Q108" i="39"/>
  <c r="C108" i="39"/>
  <c r="B108" i="39"/>
  <c r="D108" i="39" s="1"/>
  <c r="B323" i="39" s="1"/>
  <c r="B357" i="39" s="1"/>
  <c r="C107" i="39"/>
  <c r="B107" i="39"/>
  <c r="D107" i="39" s="1"/>
  <c r="B322" i="39" s="1"/>
  <c r="C106" i="39"/>
  <c r="B106" i="39"/>
  <c r="D106" i="39" s="1"/>
  <c r="B105" i="39"/>
  <c r="Q101" i="39"/>
  <c r="Q107" i="39" s="1"/>
  <c r="Q100" i="39"/>
  <c r="L97" i="39"/>
  <c r="E294" i="39" s="1"/>
  <c r="L96" i="39"/>
  <c r="E293" i="39" s="1"/>
  <c r="L95" i="39"/>
  <c r="E292" i="39" s="1"/>
  <c r="L94" i="39"/>
  <c r="L99" i="39" s="1"/>
  <c r="E296" i="39" s="1"/>
  <c r="D91" i="39"/>
  <c r="B91" i="39"/>
  <c r="D90" i="39"/>
  <c r="C90" i="39"/>
  <c r="E90" i="39" s="1"/>
  <c r="F90" i="39" s="1"/>
  <c r="B283" i="39" s="1"/>
  <c r="B301" i="39" s="1"/>
  <c r="B314" i="39" s="1"/>
  <c r="B90" i="39"/>
  <c r="B117" i="39" s="1"/>
  <c r="D89" i="39"/>
  <c r="B89" i="39"/>
  <c r="B116" i="39" s="1"/>
  <c r="D116" i="39" s="1"/>
  <c r="B344" i="39" s="1"/>
  <c r="B362" i="39" s="1"/>
  <c r="B376" i="39" s="1"/>
  <c r="F88" i="39"/>
  <c r="B281" i="39" s="1"/>
  <c r="B299" i="39" s="1"/>
  <c r="B312" i="39" s="1"/>
  <c r="E88" i="39"/>
  <c r="D88" i="39"/>
  <c r="C88" i="39"/>
  <c r="B88" i="39"/>
  <c r="B115" i="39" s="1"/>
  <c r="D115" i="39" s="1"/>
  <c r="B343" i="39" s="1"/>
  <c r="B361" i="39" s="1"/>
  <c r="B375" i="39" s="1"/>
  <c r="L87" i="39"/>
  <c r="E282" i="39" s="1"/>
  <c r="C137" i="39" s="1"/>
  <c r="E87" i="39"/>
  <c r="F87" i="39" s="1"/>
  <c r="D87" i="39"/>
  <c r="C87" i="39"/>
  <c r="B87" i="39"/>
  <c r="L86" i="39"/>
  <c r="E281" i="39" s="1"/>
  <c r="L85" i="39"/>
  <c r="L90" i="39" s="1"/>
  <c r="E285" i="39" s="1"/>
  <c r="L84" i="39"/>
  <c r="E279" i="39" s="1"/>
  <c r="C83" i="39"/>
  <c r="E83" i="39" s="1"/>
  <c r="F83" i="39" s="1"/>
  <c r="B271" i="39" s="1"/>
  <c r="B297" i="39" s="1"/>
  <c r="B310" i="39" s="1"/>
  <c r="Q82" i="39"/>
  <c r="E82" i="39"/>
  <c r="F82" i="39" s="1"/>
  <c r="B270" i="39" s="1"/>
  <c r="B296" i="39" s="1"/>
  <c r="B309" i="39" s="1"/>
  <c r="C82" i="39"/>
  <c r="E81" i="39"/>
  <c r="F81" i="39" s="1"/>
  <c r="B269" i="39" s="1"/>
  <c r="B295" i="39" s="1"/>
  <c r="C81" i="39"/>
  <c r="L80" i="39"/>
  <c r="E270" i="39" s="1"/>
  <c r="F80" i="39"/>
  <c r="B268" i="39" s="1"/>
  <c r="B294" i="39" s="1"/>
  <c r="B308" i="39" s="1"/>
  <c r="E80" i="39"/>
  <c r="C80" i="39"/>
  <c r="C79" i="39"/>
  <c r="E79" i="39" s="1"/>
  <c r="F79" i="39" s="1"/>
  <c r="B267" i="39" s="1"/>
  <c r="B293" i="39" s="1"/>
  <c r="B307" i="39" s="1"/>
  <c r="L78" i="39"/>
  <c r="E268" i="39" s="1"/>
  <c r="C136" i="39" s="1"/>
  <c r="D78" i="39"/>
  <c r="L77" i="39"/>
  <c r="E267" i="39" s="1"/>
  <c r="L76" i="39"/>
  <c r="E266" i="39" s="1"/>
  <c r="Q75" i="39"/>
  <c r="Q87" i="39" s="1"/>
  <c r="Q90" i="39" s="1"/>
  <c r="L75" i="39"/>
  <c r="E265" i="39" s="1"/>
  <c r="T70" i="39"/>
  <c r="Q66" i="39"/>
  <c r="E66" i="39"/>
  <c r="J65" i="39"/>
  <c r="J66" i="39" s="1"/>
  <c r="G65" i="39"/>
  <c r="E65" i="39" s="1"/>
  <c r="V63" i="39"/>
  <c r="E254" i="39" s="1"/>
  <c r="C135" i="39" s="1"/>
  <c r="L63" i="39"/>
  <c r="E190" i="39" s="1"/>
  <c r="C131" i="39" s="1"/>
  <c r="V62" i="39"/>
  <c r="E253" i="39" s="1"/>
  <c r="Q62" i="39"/>
  <c r="L62" i="39"/>
  <c r="E189" i="39" s="1"/>
  <c r="G62" i="39"/>
  <c r="E62" i="39" s="1"/>
  <c r="V61" i="39"/>
  <c r="E252" i="39" s="1"/>
  <c r="L61" i="39"/>
  <c r="E188" i="39" s="1"/>
  <c r="G61" i="39"/>
  <c r="E61" i="39"/>
  <c r="V60" i="39"/>
  <c r="V65" i="39" s="1"/>
  <c r="E256" i="39" s="1"/>
  <c r="L60" i="39"/>
  <c r="L65" i="39" s="1"/>
  <c r="E192" i="39" s="1"/>
  <c r="G60" i="39"/>
  <c r="E60" i="39" s="1"/>
  <c r="G59" i="39"/>
  <c r="G64" i="39" s="1"/>
  <c r="E64" i="39" s="1"/>
  <c r="Q55" i="39"/>
  <c r="Q67" i="39" s="1"/>
  <c r="V52" i="39"/>
  <c r="E242" i="39" s="1"/>
  <c r="H51" i="39"/>
  <c r="G51" i="39"/>
  <c r="I51" i="39" s="1"/>
  <c r="E51" i="39"/>
  <c r="D51" i="39"/>
  <c r="B51" i="39"/>
  <c r="F51" i="39" s="1"/>
  <c r="V50" i="39"/>
  <c r="E240" i="39" s="1"/>
  <c r="H50" i="39"/>
  <c r="G50" i="39"/>
  <c r="I50" i="39" s="1"/>
  <c r="E50" i="39"/>
  <c r="D50" i="39"/>
  <c r="B50" i="39"/>
  <c r="F50" i="39" s="1"/>
  <c r="K50" i="39" s="1"/>
  <c r="B229" i="39" s="1"/>
  <c r="B247" i="39" s="1"/>
  <c r="B260" i="39" s="1"/>
  <c r="V49" i="39"/>
  <c r="E239" i="39" s="1"/>
  <c r="I49" i="39"/>
  <c r="H49" i="39"/>
  <c r="G49" i="39"/>
  <c r="E49" i="39"/>
  <c r="D49" i="39"/>
  <c r="B49" i="39"/>
  <c r="F49" i="39" s="1"/>
  <c r="K49" i="39" s="1"/>
  <c r="B228" i="39" s="1"/>
  <c r="B246" i="39" s="1"/>
  <c r="B259" i="39" s="1"/>
  <c r="V48" i="39"/>
  <c r="E238" i="39" s="1"/>
  <c r="I48" i="39"/>
  <c r="H48" i="39"/>
  <c r="G48" i="39"/>
  <c r="E48" i="39"/>
  <c r="D48" i="39"/>
  <c r="F48" i="39" s="1"/>
  <c r="K48" i="39" s="1"/>
  <c r="B227" i="39" s="1"/>
  <c r="B245" i="39" s="1"/>
  <c r="B258" i="39" s="1"/>
  <c r="C48" i="39"/>
  <c r="B48" i="39"/>
  <c r="V47" i="39"/>
  <c r="E237" i="39" s="1"/>
  <c r="H47" i="39"/>
  <c r="G47" i="39"/>
  <c r="I47" i="39" s="1"/>
  <c r="F47" i="39"/>
  <c r="K47" i="39" s="1"/>
  <c r="E47" i="39"/>
  <c r="D47" i="39"/>
  <c r="C47" i="39"/>
  <c r="B47" i="39"/>
  <c r="J43" i="39"/>
  <c r="B65" i="39" s="1"/>
  <c r="B192" i="39" s="1"/>
  <c r="I43" i="39"/>
  <c r="F43" i="39"/>
  <c r="K43" i="39" s="1"/>
  <c r="J42" i="39"/>
  <c r="B64" i="39" s="1"/>
  <c r="B191" i="39" s="1"/>
  <c r="I42" i="39"/>
  <c r="F42" i="39"/>
  <c r="K42" i="39" s="1"/>
  <c r="C42" i="39"/>
  <c r="J41" i="39"/>
  <c r="B63" i="39" s="1"/>
  <c r="B190" i="39" s="1"/>
  <c r="I41" i="39"/>
  <c r="F41" i="39"/>
  <c r="K41" i="39" s="1"/>
  <c r="K40" i="39"/>
  <c r="J40" i="39"/>
  <c r="B62" i="39" s="1"/>
  <c r="I40" i="39"/>
  <c r="F40" i="39"/>
  <c r="C40" i="39"/>
  <c r="J39" i="39"/>
  <c r="B61" i="39" s="1"/>
  <c r="B189" i="39" s="1"/>
  <c r="I39" i="39"/>
  <c r="F39" i="39"/>
  <c r="K39" i="39" s="1"/>
  <c r="H38" i="39"/>
  <c r="G38" i="39"/>
  <c r="E38" i="39"/>
  <c r="F38" i="39" s="1"/>
  <c r="V36" i="39"/>
  <c r="E228" i="39" s="1"/>
  <c r="C134" i="39" s="1"/>
  <c r="V35" i="39"/>
  <c r="E227" i="39" s="1"/>
  <c r="V34" i="39"/>
  <c r="V39" i="39" s="1"/>
  <c r="E231" i="39" s="1"/>
  <c r="Q34" i="39"/>
  <c r="Q46" i="39" s="1"/>
  <c r="V33" i="39"/>
  <c r="V38" i="39" s="1"/>
  <c r="E230" i="39" s="1"/>
  <c r="E25" i="39"/>
  <c r="S24" i="39"/>
  <c r="Q54" i="39" s="1"/>
  <c r="Q58" i="39" s="1"/>
  <c r="G24" i="39"/>
  <c r="F24" i="39"/>
  <c r="E24" i="39"/>
  <c r="D24" i="39"/>
  <c r="G23" i="39"/>
  <c r="G25" i="39" s="1"/>
  <c r="F23" i="39"/>
  <c r="F25" i="39" s="1"/>
  <c r="E23" i="39"/>
  <c r="D23" i="39"/>
  <c r="D25" i="39" s="1"/>
  <c r="H22" i="39"/>
  <c r="I22" i="39" s="1"/>
  <c r="G22" i="39"/>
  <c r="C91" i="39" s="1"/>
  <c r="E91" i="39" s="1"/>
  <c r="F22" i="39"/>
  <c r="K22" i="39" s="1"/>
  <c r="E22" i="39"/>
  <c r="C118" i="39" s="1"/>
  <c r="J21" i="39"/>
  <c r="I21" i="39"/>
  <c r="H21" i="39"/>
  <c r="G21" i="39"/>
  <c r="K21" i="39" s="1"/>
  <c r="F21" i="39"/>
  <c r="C50" i="39" s="1"/>
  <c r="E21" i="39"/>
  <c r="C117" i="39" s="1"/>
  <c r="H20" i="39"/>
  <c r="H24" i="39" s="1"/>
  <c r="G20" i="39"/>
  <c r="C89" i="39" s="1"/>
  <c r="E89" i="39" s="1"/>
  <c r="F20" i="39"/>
  <c r="K20" i="39" s="1"/>
  <c r="E20" i="39"/>
  <c r="C116" i="39" s="1"/>
  <c r="U19" i="39"/>
  <c r="E218" i="39" s="1"/>
  <c r="C133" i="39" s="1"/>
  <c r="Q19" i="39"/>
  <c r="E207" i="39" s="1"/>
  <c r="K19" i="39"/>
  <c r="J19" i="39"/>
  <c r="I19" i="39"/>
  <c r="U18" i="39"/>
  <c r="E217" i="39" s="1"/>
  <c r="Q18" i="39"/>
  <c r="E206" i="39" s="1"/>
  <c r="K18" i="39"/>
  <c r="J18" i="39"/>
  <c r="I18" i="39"/>
  <c r="U17" i="39"/>
  <c r="E216" i="39" s="1"/>
  <c r="Q17" i="39"/>
  <c r="Q22" i="39" s="1"/>
  <c r="E210" i="39" s="1"/>
  <c r="U16" i="39"/>
  <c r="U21" i="39" s="1"/>
  <c r="E220" i="39" s="1"/>
  <c r="Q16" i="39"/>
  <c r="E204" i="39" s="1"/>
  <c r="K13" i="39"/>
  <c r="J13" i="39"/>
  <c r="I13" i="39"/>
  <c r="K12" i="39"/>
  <c r="J12" i="39"/>
  <c r="I12" i="39"/>
  <c r="D12" i="39"/>
  <c r="D28" i="39" s="1"/>
  <c r="K11" i="39"/>
  <c r="J11" i="39"/>
  <c r="I11" i="39"/>
  <c r="K10" i="39"/>
  <c r="J10" i="39"/>
  <c r="I10" i="39"/>
  <c r="K9" i="39"/>
  <c r="J9" i="39"/>
  <c r="I9" i="39"/>
  <c r="H8" i="39"/>
  <c r="H28" i="39" s="1"/>
  <c r="G8" i="39"/>
  <c r="C78" i="39" s="1"/>
  <c r="E78" i="39" s="1"/>
  <c r="F78" i="39" s="1"/>
  <c r="F8" i="39"/>
  <c r="I8" i="39" s="1"/>
  <c r="E8" i="39"/>
  <c r="E27" i="39" s="1"/>
  <c r="Q104" i="39" l="1"/>
  <c r="Q105" i="39" s="1"/>
  <c r="I38" i="39"/>
  <c r="K38" i="39" s="1"/>
  <c r="Q113" i="39"/>
  <c r="Q116" i="39" s="1"/>
  <c r="Q70" i="39"/>
  <c r="B135" i="39" s="1"/>
  <c r="B163" i="39" s="1"/>
  <c r="Q59" i="39"/>
  <c r="B133" i="39"/>
  <c r="B161" i="39" s="1"/>
  <c r="I15" i="39"/>
  <c r="I14" i="39"/>
  <c r="I16" i="39" s="1"/>
  <c r="Q71" i="39"/>
  <c r="B266" i="39"/>
  <c r="B292" i="39" s="1"/>
  <c r="B306" i="39" s="1"/>
  <c r="F85" i="39"/>
  <c r="Q74" i="39" s="1"/>
  <c r="Q78" i="39" s="1"/>
  <c r="F84" i="39"/>
  <c r="K24" i="39"/>
  <c r="F92" i="39"/>
  <c r="B280" i="39"/>
  <c r="B298" i="39" s="1"/>
  <c r="B311" i="39" s="1"/>
  <c r="B356" i="39"/>
  <c r="B371" i="39" s="1"/>
  <c r="B333" i="39"/>
  <c r="B359" i="39"/>
  <c r="B373" i="39" s="1"/>
  <c r="B335" i="39"/>
  <c r="C168" i="39"/>
  <c r="D168" i="39" s="1"/>
  <c r="C164" i="39"/>
  <c r="D164" i="39" s="1"/>
  <c r="C165" i="39"/>
  <c r="D165" i="39" s="1"/>
  <c r="D117" i="39"/>
  <c r="B345" i="39" s="1"/>
  <c r="B363" i="39" s="1"/>
  <c r="B377" i="39" s="1"/>
  <c r="C161" i="39"/>
  <c r="D161" i="39" s="1"/>
  <c r="C159" i="39"/>
  <c r="D159" i="39" s="1"/>
  <c r="C132" i="39"/>
  <c r="Q91" i="39"/>
  <c r="B138" i="39"/>
  <c r="B166" i="39" s="1"/>
  <c r="D118" i="39"/>
  <c r="B346" i="39" s="1"/>
  <c r="B364" i="39" s="1"/>
  <c r="B378" i="39" s="1"/>
  <c r="C167" i="39"/>
  <c r="D167" i="39" s="1"/>
  <c r="C163" i="39"/>
  <c r="D163" i="39" s="1"/>
  <c r="C169" i="39"/>
  <c r="D169" i="39" s="1"/>
  <c r="I24" i="39"/>
  <c r="K53" i="39"/>
  <c r="Q60" i="39" s="1"/>
  <c r="K52" i="39"/>
  <c r="B226" i="39"/>
  <c r="B244" i="39" s="1"/>
  <c r="B257" i="39" s="1"/>
  <c r="D111" i="39"/>
  <c r="B321" i="39"/>
  <c r="D112" i="39"/>
  <c r="C162" i="39"/>
  <c r="D162" i="39" s="1"/>
  <c r="F91" i="39"/>
  <c r="B284" i="39" s="1"/>
  <c r="B302" i="39" s="1"/>
  <c r="B315" i="39" s="1"/>
  <c r="C166" i="39"/>
  <c r="D166" i="39" s="1"/>
  <c r="B342" i="39"/>
  <c r="B360" i="39" s="1"/>
  <c r="B374" i="39" s="1"/>
  <c r="B358" i="39"/>
  <c r="B372" i="39" s="1"/>
  <c r="B334" i="39"/>
  <c r="E28" i="39"/>
  <c r="E29" i="39" s="1"/>
  <c r="J8" i="39"/>
  <c r="U22" i="39"/>
  <c r="E221" i="39" s="1"/>
  <c r="K23" i="39"/>
  <c r="K25" i="39" s="1"/>
  <c r="C38" i="39"/>
  <c r="J38" i="39" s="1"/>
  <c r="L81" i="39"/>
  <c r="E271" i="39" s="1"/>
  <c r="F89" i="39"/>
  <c r="B282" i="39" s="1"/>
  <c r="B300" i="39" s="1"/>
  <c r="B313" i="39" s="1"/>
  <c r="L100" i="39"/>
  <c r="E297" i="39" s="1"/>
  <c r="Q129" i="39"/>
  <c r="E324" i="39" s="1"/>
  <c r="Q140" i="39"/>
  <c r="E335" i="39" s="1"/>
  <c r="Q179" i="39"/>
  <c r="E373" i="39" s="1"/>
  <c r="E225" i="39"/>
  <c r="B240" i="39"/>
  <c r="B254" i="39" s="1"/>
  <c r="F14" i="39"/>
  <c r="F16" i="39" s="1"/>
  <c r="K8" i="39"/>
  <c r="Q81" i="39"/>
  <c r="L89" i="39"/>
  <c r="E284" i="39" s="1"/>
  <c r="Q130" i="39"/>
  <c r="E325" i="39" s="1"/>
  <c r="Q166" i="39"/>
  <c r="E359" i="39" s="1"/>
  <c r="Q180" i="39"/>
  <c r="E374" i="39" s="1"/>
  <c r="E205" i="39"/>
  <c r="E306" i="39"/>
  <c r="E341" i="39"/>
  <c r="D14" i="39"/>
  <c r="D15" i="39"/>
  <c r="D27" i="39"/>
  <c r="D29" i="39" s="1"/>
  <c r="C51" i="39"/>
  <c r="Q61" i="39"/>
  <c r="L66" i="39"/>
  <c r="E193" i="39" s="1"/>
  <c r="E226" i="39"/>
  <c r="E187" i="39"/>
  <c r="E280" i="39"/>
  <c r="E14" i="39"/>
  <c r="I20" i="39"/>
  <c r="I28" i="39" s="1"/>
  <c r="V66" i="39"/>
  <c r="E257" i="39" s="1"/>
  <c r="Q165" i="39"/>
  <c r="E358" i="39" s="1"/>
  <c r="E215" i="39"/>
  <c r="B238" i="39"/>
  <c r="B252" i="39" s="1"/>
  <c r="E251" i="39"/>
  <c r="G14" i="39"/>
  <c r="G15" i="39"/>
  <c r="J20" i="39"/>
  <c r="J24" i="39" s="1"/>
  <c r="J22" i="39"/>
  <c r="H23" i="39"/>
  <c r="H25" i="39" s="1"/>
  <c r="G27" i="39"/>
  <c r="G28" i="39"/>
  <c r="Q35" i="39"/>
  <c r="Q47" i="39" s="1"/>
  <c r="Q50" i="39" s="1"/>
  <c r="C49" i="39"/>
  <c r="V53" i="39"/>
  <c r="E243" i="39" s="1"/>
  <c r="E59" i="39"/>
  <c r="C105" i="39"/>
  <c r="D105" i="39" s="1"/>
  <c r="E291" i="39"/>
  <c r="F15" i="39"/>
  <c r="F28" i="39"/>
  <c r="H14" i="39"/>
  <c r="H15" i="39"/>
  <c r="Q21" i="39"/>
  <c r="E209" i="39" s="1"/>
  <c r="I23" i="39"/>
  <c r="H27" i="39"/>
  <c r="H29" i="39" s="1"/>
  <c r="B239" i="39"/>
  <c r="B253" i="39" s="1"/>
  <c r="E15" i="39"/>
  <c r="F27" i="39"/>
  <c r="L114" i="39"/>
  <c r="E310" i="39" s="1"/>
  <c r="B141" i="39" l="1"/>
  <c r="B169" i="39" s="1"/>
  <c r="Q117" i="39"/>
  <c r="B139" i="39"/>
  <c r="B167" i="39" s="1"/>
  <c r="E16" i="39"/>
  <c r="D122" i="39"/>
  <c r="B320" i="39"/>
  <c r="D123" i="39"/>
  <c r="B132" i="39"/>
  <c r="B160" i="39" s="1"/>
  <c r="Q51" i="39"/>
  <c r="K45" i="39"/>
  <c r="K44" i="39"/>
  <c r="K55" i="39"/>
  <c r="K56" i="39"/>
  <c r="D120" i="39"/>
  <c r="Q106" i="39" s="1"/>
  <c r="Q110" i="39" s="1"/>
  <c r="C160" i="39"/>
  <c r="D160" i="39" s="1"/>
  <c r="J23" i="39"/>
  <c r="J25" i="39" s="1"/>
  <c r="G16" i="39"/>
  <c r="D16" i="39"/>
  <c r="B355" i="39"/>
  <c r="B370" i="39" s="1"/>
  <c r="B332" i="39"/>
  <c r="J120" i="39"/>
  <c r="I25" i="39"/>
  <c r="J28" i="39"/>
  <c r="J27" i="39"/>
  <c r="J29" i="39" s="1"/>
  <c r="J15" i="39"/>
  <c r="J14" i="39"/>
  <c r="E169" i="39"/>
  <c r="F29" i="39"/>
  <c r="H16" i="39"/>
  <c r="K28" i="39"/>
  <c r="K27" i="39"/>
  <c r="K29" i="39" s="1"/>
  <c r="K15" i="39"/>
  <c r="K14" i="39"/>
  <c r="D119" i="39"/>
  <c r="E163" i="39"/>
  <c r="D170" i="39"/>
  <c r="E159" i="39"/>
  <c r="F95" i="39"/>
  <c r="I27" i="39"/>
  <c r="I29" i="39" s="1"/>
  <c r="C142" i="39"/>
  <c r="E164" i="39"/>
  <c r="Q79" i="39"/>
  <c r="B136" i="39"/>
  <c r="B164" i="39" s="1"/>
  <c r="E165" i="39"/>
  <c r="G29" i="39"/>
  <c r="Q38" i="39"/>
  <c r="E166" i="39"/>
  <c r="E167" i="39"/>
  <c r="F93" i="39"/>
  <c r="Q80" i="39" s="1"/>
  <c r="Q84" i="39" s="1"/>
  <c r="F96" i="39"/>
  <c r="E162" i="39"/>
  <c r="E168" i="39"/>
  <c r="J55" i="39"/>
  <c r="J45" i="39"/>
  <c r="J56" i="39"/>
  <c r="J44" i="39"/>
  <c r="B60" i="39"/>
  <c r="B188" i="39" s="1"/>
  <c r="Q64" i="39"/>
  <c r="E161" i="39"/>
  <c r="J16" i="39" l="1"/>
  <c r="K16" i="39"/>
  <c r="Q65" i="39"/>
  <c r="B134" i="39"/>
  <c r="B162" i="39" s="1"/>
  <c r="Q85" i="39"/>
  <c r="B137" i="39"/>
  <c r="B165" i="39" s="1"/>
  <c r="D137" i="39"/>
  <c r="E137" i="39" s="1"/>
  <c r="D136" i="39"/>
  <c r="E136" i="39" s="1"/>
  <c r="D133" i="39"/>
  <c r="E133" i="39" s="1"/>
  <c r="D139" i="39"/>
  <c r="E139" i="39" s="1"/>
  <c r="D138" i="39"/>
  <c r="E138" i="39" s="1"/>
  <c r="D141" i="39"/>
  <c r="E141" i="39" s="1"/>
  <c r="D131" i="39"/>
  <c r="D135" i="39"/>
  <c r="E135" i="39" s="1"/>
  <c r="D134" i="39"/>
  <c r="E134" i="39" s="1"/>
  <c r="D140" i="39"/>
  <c r="E140" i="39" s="1"/>
  <c r="D132" i="39"/>
  <c r="E132" i="39" s="1"/>
  <c r="Q39" i="39"/>
  <c r="B131" i="39"/>
  <c r="B159" i="39" s="1"/>
  <c r="E160" i="39"/>
  <c r="Q111" i="39"/>
  <c r="B140" i="39"/>
  <c r="B168" i="39" s="1"/>
  <c r="B354" i="39"/>
  <c r="B369" i="39" s="1"/>
  <c r="B331" i="39"/>
  <c r="E171" i="39"/>
  <c r="E170" i="39"/>
  <c r="E131" i="39" l="1"/>
  <c r="D142" i="39"/>
  <c r="F131" i="39" l="1"/>
  <c r="E142" i="39"/>
  <c r="F139" i="39" l="1"/>
  <c r="F141" i="39"/>
  <c r="F140" i="39"/>
  <c r="F137" i="39"/>
  <c r="F132" i="39"/>
  <c r="F142" i="39" s="1"/>
  <c r="F134" i="39"/>
  <c r="F133" i="39"/>
  <c r="F143" i="39" s="1"/>
  <c r="F145" i="39" s="1"/>
  <c r="E173" i="39" s="1"/>
  <c r="F136" i="39"/>
  <c r="F138" i="39"/>
  <c r="F135" i="39"/>
  <c r="X3" i="3" l="1"/>
  <c r="X4" i="3"/>
  <c r="J5" i="11" l="1"/>
  <c r="J4" i="11"/>
  <c r="H6" i="36"/>
  <c r="C4" i="36"/>
  <c r="C20" i="36" l="1"/>
  <c r="V34" i="25" l="1"/>
  <c r="AB33" i="25"/>
  <c r="T37" i="25"/>
  <c r="T35" i="25"/>
  <c r="S68" i="25" s="1"/>
  <c r="S71" i="25" s="1"/>
  <c r="AB37" i="25"/>
  <c r="V35" i="25" s="1"/>
  <c r="W55" i="25"/>
  <c r="X55" i="25" s="1"/>
  <c r="U70" i="25"/>
  <c r="W42" i="25" s="1"/>
  <c r="X42" i="25" s="1"/>
  <c r="C22" i="36"/>
  <c r="B22" i="36"/>
  <c r="C7" i="36"/>
  <c r="C9" i="36" s="1"/>
  <c r="B7" i="36"/>
  <c r="B24" i="36" s="1"/>
  <c r="C24" i="36" l="1"/>
  <c r="B25" i="36" s="1"/>
  <c r="C8" i="36"/>
  <c r="W53" i="25"/>
  <c r="X53" i="25" s="1"/>
  <c r="W47" i="25"/>
  <c r="X47" i="25" s="1"/>
  <c r="W45" i="25"/>
  <c r="X45" i="25" s="1"/>
  <c r="W39" i="25"/>
  <c r="X39" i="25" s="1"/>
  <c r="W34" i="25"/>
  <c r="W63" i="25"/>
  <c r="X63" i="25" s="1"/>
  <c r="W61" i="25"/>
  <c r="X61" i="25" s="1"/>
  <c r="W65" i="25"/>
  <c r="X65" i="25" s="1"/>
  <c r="W57" i="25"/>
  <c r="X57" i="25" s="1"/>
  <c r="W49" i="25"/>
  <c r="X49" i="25" s="1"/>
  <c r="W41" i="25"/>
  <c r="X41" i="25" s="1"/>
  <c r="X34" i="25"/>
  <c r="W64" i="25"/>
  <c r="X64" i="25" s="1"/>
  <c r="W56" i="25"/>
  <c r="X56" i="25" s="1"/>
  <c r="W48" i="25"/>
  <c r="X48" i="25" s="1"/>
  <c r="W40" i="25"/>
  <c r="X40" i="25" s="1"/>
  <c r="W62" i="25"/>
  <c r="X62" i="25" s="1"/>
  <c r="W54" i="25"/>
  <c r="X54" i="25" s="1"/>
  <c r="W46" i="25"/>
  <c r="X46" i="25" s="1"/>
  <c r="W38" i="25"/>
  <c r="X38" i="25" s="1"/>
  <c r="W68" i="25"/>
  <c r="X68" i="25" s="1"/>
  <c r="W60" i="25"/>
  <c r="X60" i="25" s="1"/>
  <c r="W52" i="25"/>
  <c r="X52" i="25" s="1"/>
  <c r="W44" i="25"/>
  <c r="X44" i="25" s="1"/>
  <c r="W36" i="25"/>
  <c r="X36" i="25" s="1"/>
  <c r="W37" i="25"/>
  <c r="X37" i="25" s="1"/>
  <c r="W67" i="25"/>
  <c r="X67" i="25" s="1"/>
  <c r="W59" i="25"/>
  <c r="X59" i="25" s="1"/>
  <c r="W51" i="25"/>
  <c r="X51" i="25" s="1"/>
  <c r="W43" i="25"/>
  <c r="X43" i="25" s="1"/>
  <c r="W35" i="25"/>
  <c r="X35" i="25" s="1"/>
  <c r="W66" i="25"/>
  <c r="X66" i="25" s="1"/>
  <c r="W58" i="25"/>
  <c r="X58" i="25" s="1"/>
  <c r="W50" i="25"/>
  <c r="X50" i="25" s="1"/>
  <c r="X70" i="25" l="1"/>
  <c r="W70" i="25"/>
  <c r="R34" i="25" s="1"/>
  <c r="C24" i="15" l="1"/>
  <c r="B24" i="15"/>
  <c r="C23" i="15"/>
  <c r="C25" i="15" s="1"/>
  <c r="C22" i="15"/>
  <c r="D22" i="15"/>
  <c r="D23" i="15" s="1"/>
  <c r="B22" i="15"/>
  <c r="B23" i="15" s="1"/>
  <c r="B25" i="15" s="1"/>
  <c r="A22" i="15"/>
  <c r="R32" i="25" l="1"/>
  <c r="R26" i="25" l="1"/>
  <c r="I4" i="25"/>
  <c r="I5" i="25"/>
  <c r="I6" i="25"/>
  <c r="I7" i="25"/>
  <c r="I8" i="25"/>
  <c r="I9" i="25"/>
  <c r="I10" i="25"/>
  <c r="I11" i="25"/>
  <c r="I12" i="25"/>
  <c r="I13" i="25"/>
  <c r="I14" i="25"/>
  <c r="I15" i="25"/>
  <c r="I16" i="25"/>
  <c r="I17" i="25"/>
  <c r="I18" i="25"/>
  <c r="I19" i="25"/>
  <c r="I20" i="25"/>
  <c r="I21" i="25"/>
  <c r="I22" i="25"/>
  <c r="I23" i="25"/>
  <c r="I24" i="25"/>
  <c r="I25" i="25"/>
  <c r="I26" i="25"/>
  <c r="I27" i="25"/>
  <c r="I28" i="25"/>
  <c r="I29" i="25"/>
  <c r="I30" i="25"/>
  <c r="I31" i="25"/>
  <c r="I32" i="25"/>
  <c r="I33" i="25"/>
  <c r="I34" i="25"/>
  <c r="I35" i="25"/>
  <c r="I36" i="25"/>
  <c r="I37" i="25"/>
  <c r="I38" i="25"/>
  <c r="I39" i="25"/>
  <c r="I40" i="25"/>
  <c r="I41" i="25"/>
  <c r="I42" i="25"/>
  <c r="I43" i="25"/>
  <c r="I44" i="25"/>
  <c r="I45" i="25"/>
  <c r="I46" i="25"/>
  <c r="I47" i="25"/>
  <c r="I48" i="25"/>
  <c r="I49" i="25"/>
  <c r="I50" i="25"/>
  <c r="I51" i="25"/>
  <c r="I52" i="25"/>
  <c r="I53" i="25"/>
  <c r="I54" i="25"/>
  <c r="I55" i="25"/>
  <c r="I56" i="25"/>
  <c r="I57" i="25"/>
  <c r="I58" i="25"/>
  <c r="I59" i="25"/>
  <c r="I60" i="25"/>
  <c r="I61" i="25"/>
  <c r="I62" i="25"/>
  <c r="I63" i="25"/>
  <c r="I64" i="25"/>
  <c r="I65" i="25"/>
  <c r="I66" i="25"/>
  <c r="I3" i="25"/>
  <c r="D4" i="25"/>
  <c r="D5" i="25"/>
  <c r="D6" i="25"/>
  <c r="D7" i="25"/>
  <c r="D8" i="25"/>
  <c r="D9" i="25"/>
  <c r="D10" i="25"/>
  <c r="D11" i="25"/>
  <c r="D12" i="25"/>
  <c r="D13" i="25"/>
  <c r="D14" i="25"/>
  <c r="D15" i="25"/>
  <c r="D16" i="25"/>
  <c r="D17" i="25"/>
  <c r="D18" i="25"/>
  <c r="D19" i="25"/>
  <c r="D20" i="25"/>
  <c r="D21" i="25"/>
  <c r="D22" i="25"/>
  <c r="D23" i="25"/>
  <c r="D24" i="25"/>
  <c r="D25" i="25"/>
  <c r="D26" i="25"/>
  <c r="D27" i="25"/>
  <c r="D28" i="25"/>
  <c r="D29" i="25"/>
  <c r="D30" i="25"/>
  <c r="D31" i="25"/>
  <c r="D32" i="25"/>
  <c r="D33" i="25"/>
  <c r="D34" i="25"/>
  <c r="D35" i="25"/>
  <c r="D36" i="25"/>
  <c r="D37" i="25"/>
  <c r="D38" i="25"/>
  <c r="D39" i="25"/>
  <c r="D40" i="25"/>
  <c r="D41" i="25"/>
  <c r="D42" i="25"/>
  <c r="D43" i="25"/>
  <c r="D44" i="25"/>
  <c r="D45" i="25"/>
  <c r="D46" i="25"/>
  <c r="D47" i="25"/>
  <c r="D48" i="25"/>
  <c r="D49" i="25"/>
  <c r="D50" i="25"/>
  <c r="D51" i="25"/>
  <c r="D52" i="25"/>
  <c r="D53" i="25"/>
  <c r="D54" i="25"/>
  <c r="D55" i="25"/>
  <c r="D56" i="25"/>
  <c r="D57" i="25"/>
  <c r="D58" i="25"/>
  <c r="D59" i="25"/>
  <c r="D60" i="25"/>
  <c r="D61" i="25"/>
  <c r="D62" i="25"/>
  <c r="D63" i="25"/>
  <c r="D64" i="25"/>
  <c r="D65" i="25"/>
  <c r="D66" i="25"/>
  <c r="D3" i="25"/>
  <c r="R27" i="25" l="1"/>
  <c r="R28" i="25" s="1"/>
  <c r="R37" i="25" s="1"/>
  <c r="D46" i="9" l="1"/>
  <c r="E46" i="9"/>
  <c r="C46" i="9"/>
  <c r="C3" i="15"/>
  <c r="D3" i="15"/>
  <c r="B3" i="15"/>
  <c r="D47" i="9"/>
  <c r="E47" i="9"/>
  <c r="C47" i="9"/>
  <c r="A5" i="15"/>
  <c r="S21" i="3"/>
  <c r="S20" i="3"/>
  <c r="S18" i="3"/>
  <c r="S11" i="3"/>
  <c r="S17" i="3"/>
  <c r="I27" i="3"/>
  <c r="E48" i="9" l="1"/>
  <c r="D48" i="9"/>
  <c r="C48" i="9"/>
  <c r="R26" i="3"/>
  <c r="C127" i="3" l="1"/>
  <c r="C34" i="14"/>
  <c r="D34" i="14"/>
  <c r="B34" i="14"/>
  <c r="A33" i="14"/>
  <c r="C3" i="13"/>
  <c r="D3" i="13"/>
  <c r="E3" i="13"/>
  <c r="C4" i="13"/>
  <c r="D4" i="13"/>
  <c r="E4" i="13"/>
  <c r="C5" i="13"/>
  <c r="D5" i="13"/>
  <c r="E5" i="13"/>
  <c r="C6" i="13"/>
  <c r="D6" i="13"/>
  <c r="E6" i="13"/>
  <c r="C7" i="13"/>
  <c r="C28" i="13" s="1"/>
  <c r="D7" i="13"/>
  <c r="C27" i="13"/>
  <c r="C31" i="9"/>
  <c r="D16" i="9"/>
  <c r="C16" i="9"/>
  <c r="D9" i="9"/>
  <c r="D15" i="9" s="1"/>
  <c r="C9" i="9"/>
  <c r="D8" i="9"/>
  <c r="D14" i="9" s="1"/>
  <c r="C8" i="9"/>
  <c r="C14" i="9" s="1"/>
  <c r="D4" i="16"/>
  <c r="D21" i="16" s="1"/>
  <c r="E4" i="16"/>
  <c r="D58" i="16"/>
  <c r="C58" i="16"/>
  <c r="D57" i="16"/>
  <c r="C57" i="16"/>
  <c r="D56" i="16"/>
  <c r="C56" i="16"/>
  <c r="D54" i="16"/>
  <c r="C54" i="16"/>
  <c r="D8" i="13" l="1"/>
  <c r="C8" i="13"/>
  <c r="C29" i="13"/>
  <c r="D17" i="9"/>
  <c r="D38" i="16"/>
  <c r="C38" i="16"/>
  <c r="E21" i="16"/>
  <c r="E8" i="16"/>
  <c r="D8" i="16"/>
  <c r="E7" i="16"/>
  <c r="E24" i="16" s="1"/>
  <c r="D7" i="16"/>
  <c r="D24" i="16" s="1"/>
  <c r="E6" i="16"/>
  <c r="E22" i="16" s="1"/>
  <c r="D36" i="16" s="1"/>
  <c r="D6" i="16"/>
  <c r="D22" i="16" s="1"/>
  <c r="C36" i="16" s="1"/>
  <c r="E5" i="16"/>
  <c r="E23" i="16" s="1"/>
  <c r="D37" i="16" s="1"/>
  <c r="D5" i="16"/>
  <c r="D23" i="16" s="1"/>
  <c r="C37" i="16" s="1"/>
  <c r="C19" i="15"/>
  <c r="B19" i="15"/>
  <c r="C10" i="15"/>
  <c r="C18" i="15" s="1"/>
  <c r="B10" i="15"/>
  <c r="B18" i="15" s="1"/>
  <c r="C9" i="15"/>
  <c r="D9" i="15"/>
  <c r="D17" i="15" s="1"/>
  <c r="B9" i="15"/>
  <c r="B17" i="15" s="1"/>
  <c r="C14" i="15"/>
  <c r="B14" i="15"/>
  <c r="C13" i="15"/>
  <c r="C5" i="15" s="1"/>
  <c r="D13" i="15"/>
  <c r="D5" i="15" s="1"/>
  <c r="B13" i="15"/>
  <c r="B5" i="15" s="1"/>
  <c r="B7" i="15" s="1"/>
  <c r="C4" i="15"/>
  <c r="D4" i="15"/>
  <c r="B4" i="15"/>
  <c r="C46" i="14"/>
  <c r="D46" i="14"/>
  <c r="B46" i="14"/>
  <c r="C40" i="14"/>
  <c r="D40" i="14"/>
  <c r="B40" i="14"/>
  <c r="C24" i="14"/>
  <c r="D24" i="14"/>
  <c r="B24" i="14"/>
  <c r="C19" i="14"/>
  <c r="B19" i="14"/>
  <c r="C14" i="14"/>
  <c r="B14" i="14"/>
  <c r="C9" i="14"/>
  <c r="B9" i="14"/>
  <c r="C4" i="14"/>
  <c r="B4" i="14"/>
  <c r="C3" i="14"/>
  <c r="C18" i="14" s="1"/>
  <c r="D3" i="14"/>
  <c r="D8" i="14" s="1"/>
  <c r="B3" i="14"/>
  <c r="B13" i="14" s="1"/>
  <c r="A23" i="13"/>
  <c r="A22" i="13"/>
  <c r="A21" i="13"/>
  <c r="A20" i="13"/>
  <c r="D27" i="13"/>
  <c r="A28" i="13"/>
  <c r="A16" i="13"/>
  <c r="A15" i="13"/>
  <c r="A14" i="13"/>
  <c r="D16" i="13"/>
  <c r="C16" i="13"/>
  <c r="D22" i="13"/>
  <c r="E22" i="13"/>
  <c r="C22" i="13"/>
  <c r="D15" i="13"/>
  <c r="D21" i="13" s="1"/>
  <c r="E15" i="13"/>
  <c r="E21" i="13" s="1"/>
  <c r="C15" i="13"/>
  <c r="C21" i="13" s="1"/>
  <c r="D14" i="13"/>
  <c r="D20" i="13" s="1"/>
  <c r="E14" i="13"/>
  <c r="E20" i="13" s="1"/>
  <c r="C14" i="13"/>
  <c r="C20" i="13" s="1"/>
  <c r="I7" i="11"/>
  <c r="I6" i="11"/>
  <c r="H6" i="11"/>
  <c r="I5" i="11"/>
  <c r="H5" i="11"/>
  <c r="D6" i="11"/>
  <c r="E6" i="11"/>
  <c r="C6" i="11"/>
  <c r="C4" i="11"/>
  <c r="D5" i="11"/>
  <c r="E5" i="11"/>
  <c r="C5" i="11"/>
  <c r="D4" i="11"/>
  <c r="E4" i="11"/>
  <c r="H7" i="11"/>
  <c r="H4" i="11"/>
  <c r="I4" i="11"/>
  <c r="D7" i="11"/>
  <c r="C7" i="11"/>
  <c r="A35" i="9"/>
  <c r="A37" i="9"/>
  <c r="D36" i="9"/>
  <c r="E36" i="9"/>
  <c r="D31" i="9"/>
  <c r="A26" i="9"/>
  <c r="D21" i="9"/>
  <c r="D30" i="9" s="1"/>
  <c r="C21" i="9"/>
  <c r="C30" i="9" s="1"/>
  <c r="A15" i="9"/>
  <c r="A14" i="9"/>
  <c r="C15" i="9"/>
  <c r="D4" i="9"/>
  <c r="C4" i="9"/>
  <c r="D3" i="9"/>
  <c r="C3" i="9"/>
  <c r="C26" i="9" s="1"/>
  <c r="C16" i="8"/>
  <c r="D42" i="9" s="1"/>
  <c r="D16" i="8"/>
  <c r="E42" i="9" s="1"/>
  <c r="B16" i="8"/>
  <c r="C42" i="9" s="1"/>
  <c r="B10" i="8"/>
  <c r="C7" i="8"/>
  <c r="B7" i="8"/>
  <c r="C4" i="8"/>
  <c r="C10" i="8" s="1"/>
  <c r="B4" i="8"/>
  <c r="C3" i="8"/>
  <c r="B3" i="8"/>
  <c r="D7" i="15" l="1"/>
  <c r="C11" i="15"/>
  <c r="C36" i="9"/>
  <c r="C7" i="15"/>
  <c r="B20" i="15"/>
  <c r="B6" i="15"/>
  <c r="D6" i="15"/>
  <c r="D28" i="13"/>
  <c r="D29" i="13" s="1"/>
  <c r="C17" i="9"/>
  <c r="D32" i="9"/>
  <c r="C32" i="9"/>
  <c r="D35" i="9"/>
  <c r="D10" i="9"/>
  <c r="D11" i="9" s="1"/>
  <c r="C37" i="9"/>
  <c r="C10" i="9"/>
  <c r="C11" i="9" s="1"/>
  <c r="C35" i="9"/>
  <c r="C35" i="16"/>
  <c r="C39" i="16" s="1"/>
  <c r="D25" i="16"/>
  <c r="D35" i="16"/>
  <c r="D39" i="16" s="1"/>
  <c r="E25" i="16"/>
  <c r="C17" i="15"/>
  <c r="C20" i="15" s="1"/>
  <c r="B11" i="15"/>
  <c r="C15" i="15"/>
  <c r="C6" i="15"/>
  <c r="B15" i="15"/>
  <c r="C13" i="14"/>
  <c r="C15" i="14" s="1"/>
  <c r="C16" i="14" s="1"/>
  <c r="B15" i="14"/>
  <c r="B16" i="14" s="1"/>
  <c r="D18" i="14"/>
  <c r="C20" i="14"/>
  <c r="C21" i="14" s="1"/>
  <c r="C5" i="14"/>
  <c r="C6" i="14" s="1"/>
  <c r="D13" i="14"/>
  <c r="C8" i="14"/>
  <c r="C10" i="14" s="1"/>
  <c r="C11" i="14" s="1"/>
  <c r="B18" i="14"/>
  <c r="B23" i="14" s="1"/>
  <c r="B5" i="14"/>
  <c r="B6" i="14" s="1"/>
  <c r="B8" i="14"/>
  <c r="C23" i="14"/>
  <c r="C17" i="13"/>
  <c r="D23" i="13"/>
  <c r="C23" i="13"/>
  <c r="D17" i="13"/>
  <c r="D37" i="9"/>
  <c r="C5" i="9"/>
  <c r="D26" i="9"/>
  <c r="D5" i="9"/>
  <c r="C5" i="8"/>
  <c r="D55" i="16" s="1"/>
  <c r="D59" i="16" s="1"/>
  <c r="B5" i="8"/>
  <c r="C20" i="9" l="1"/>
  <c r="C25" i="9" s="1"/>
  <c r="C27" i="9" s="1"/>
  <c r="C55" i="16"/>
  <c r="C59" i="16" s="1"/>
  <c r="C41" i="9"/>
  <c r="C43" i="9" s="1"/>
  <c r="D38" i="9"/>
  <c r="C38" i="9"/>
  <c r="C8" i="8"/>
  <c r="D20" i="9"/>
  <c r="B8" i="8"/>
  <c r="B17" i="8"/>
  <c r="E9" i="16"/>
  <c r="D9" i="16"/>
  <c r="D23" i="14"/>
  <c r="B28" i="14"/>
  <c r="B33" i="14" s="1"/>
  <c r="B35" i="14" s="1"/>
  <c r="B10" i="14"/>
  <c r="B11" i="14" s="1"/>
  <c r="B25" i="14"/>
  <c r="B26" i="14" s="1"/>
  <c r="B20" i="14"/>
  <c r="B21" i="14" s="1"/>
  <c r="C25" i="14"/>
  <c r="C26" i="14" s="1"/>
  <c r="C28" i="14"/>
  <c r="C24" i="13"/>
  <c r="D24" i="13"/>
  <c r="C17" i="8"/>
  <c r="C11" i="8"/>
  <c r="C21" i="8" s="1"/>
  <c r="B11" i="8"/>
  <c r="B21" i="8" s="1"/>
  <c r="C22" i="9" l="1"/>
  <c r="B39" i="14"/>
  <c r="B41" i="14" s="1"/>
  <c r="B36" i="14"/>
  <c r="C39" i="14"/>
  <c r="C33" i="14"/>
  <c r="C35" i="14" s="1"/>
  <c r="C36" i="14" s="1"/>
  <c r="B29" i="14"/>
  <c r="B30" i="14" s="1"/>
  <c r="B31" i="14" s="1"/>
  <c r="B19" i="8"/>
  <c r="D25" i="9"/>
  <c r="D22" i="9"/>
  <c r="C19" i="8"/>
  <c r="C29" i="14"/>
  <c r="C30" i="14" s="1"/>
  <c r="C31" i="14" s="1"/>
  <c r="D28" i="14"/>
  <c r="D25" i="14"/>
  <c r="D26" i="14" s="1"/>
  <c r="D39" i="14" l="1"/>
  <c r="D33" i="14"/>
  <c r="D35" i="14" s="1"/>
  <c r="D36" i="14" s="1"/>
  <c r="B37" i="14" s="1"/>
  <c r="D27" i="9"/>
  <c r="D41" i="9"/>
  <c r="D43" i="9" s="1"/>
  <c r="B42" i="14"/>
  <c r="B45" i="14"/>
  <c r="D41" i="14" l="1"/>
  <c r="D42" i="14" s="1"/>
  <c r="D45" i="14"/>
  <c r="B47" i="14"/>
  <c r="B48" i="14" s="1"/>
  <c r="C41" i="14"/>
  <c r="C42" i="14" s="1"/>
  <c r="C45" i="14"/>
  <c r="B43" i="14" l="1"/>
  <c r="D47" i="14"/>
  <c r="D48" i="14" s="1"/>
  <c r="C47" i="14"/>
  <c r="C48" i="14" s="1"/>
  <c r="B49" i="14" l="1"/>
  <c r="M8" i="3"/>
  <c r="N8" i="3"/>
  <c r="O8" i="3"/>
  <c r="P8" i="3"/>
  <c r="Q8" i="3"/>
  <c r="R8" i="3"/>
  <c r="C109" i="3" s="1"/>
  <c r="S8" i="3"/>
  <c r="E109" i="3" s="1"/>
  <c r="T8" i="3"/>
  <c r="G109" i="3" s="1"/>
  <c r="M9" i="3"/>
  <c r="N9" i="3"/>
  <c r="O9" i="3"/>
  <c r="P9" i="3"/>
  <c r="Q9" i="3"/>
  <c r="R9" i="3"/>
  <c r="C110" i="3" s="1"/>
  <c r="S9" i="3"/>
  <c r="E110" i="3" s="1"/>
  <c r="T9" i="3"/>
  <c r="G110" i="3" s="1"/>
  <c r="M10" i="3"/>
  <c r="N10" i="3"/>
  <c r="O10" i="3"/>
  <c r="P10" i="3"/>
  <c r="Q10" i="3"/>
  <c r="R10" i="3"/>
  <c r="C111" i="3" s="1"/>
  <c r="S10" i="3"/>
  <c r="E111" i="3" s="1"/>
  <c r="T10" i="3"/>
  <c r="G111" i="3" s="1"/>
  <c r="M11" i="3"/>
  <c r="N11" i="3"/>
  <c r="O11" i="3"/>
  <c r="P11" i="3"/>
  <c r="Q11" i="3"/>
  <c r="R11" i="3"/>
  <c r="C112" i="3" s="1"/>
  <c r="E112" i="3"/>
  <c r="T11" i="3"/>
  <c r="G112" i="3" s="1"/>
  <c r="M12" i="3"/>
  <c r="N12" i="3"/>
  <c r="O12" i="3"/>
  <c r="P12" i="3"/>
  <c r="Q12" i="3"/>
  <c r="R12" i="3"/>
  <c r="C113" i="3" s="1"/>
  <c r="S12" i="3"/>
  <c r="E113" i="3" s="1"/>
  <c r="T12" i="3"/>
  <c r="G113" i="3" s="1"/>
  <c r="M13" i="3"/>
  <c r="N13" i="3"/>
  <c r="O13" i="3"/>
  <c r="P13" i="3"/>
  <c r="Q13" i="3"/>
  <c r="R13" i="3"/>
  <c r="C114" i="3" s="1"/>
  <c r="S13" i="3"/>
  <c r="E114" i="3" s="1"/>
  <c r="T13" i="3"/>
  <c r="G114" i="3" s="1"/>
  <c r="M14" i="3"/>
  <c r="N14" i="3"/>
  <c r="O14" i="3"/>
  <c r="P14" i="3"/>
  <c r="Q14" i="3"/>
  <c r="R14" i="3"/>
  <c r="C115" i="3" s="1"/>
  <c r="S14" i="3"/>
  <c r="E115" i="3" s="1"/>
  <c r="T14" i="3"/>
  <c r="G115" i="3" s="1"/>
  <c r="M15" i="3"/>
  <c r="N15" i="3"/>
  <c r="O15" i="3"/>
  <c r="P15" i="3"/>
  <c r="Q15" i="3"/>
  <c r="R15" i="3"/>
  <c r="C116" i="3" s="1"/>
  <c r="S15" i="3"/>
  <c r="E116" i="3" s="1"/>
  <c r="T15" i="3"/>
  <c r="G116" i="3" s="1"/>
  <c r="M16" i="3"/>
  <c r="N16" i="3"/>
  <c r="O16" i="3"/>
  <c r="P16" i="3"/>
  <c r="Q16" i="3"/>
  <c r="R16" i="3"/>
  <c r="C117" i="3" s="1"/>
  <c r="S16" i="3"/>
  <c r="E117" i="3" s="1"/>
  <c r="T16" i="3"/>
  <c r="G117" i="3" s="1"/>
  <c r="M17" i="3"/>
  <c r="N17" i="3"/>
  <c r="O17" i="3"/>
  <c r="P17" i="3"/>
  <c r="Q17" i="3"/>
  <c r="R17" i="3"/>
  <c r="C118" i="3" s="1"/>
  <c r="E118" i="3"/>
  <c r="T17" i="3"/>
  <c r="G118" i="3" s="1"/>
  <c r="M18" i="3"/>
  <c r="N18" i="3"/>
  <c r="O18" i="3"/>
  <c r="P18" i="3"/>
  <c r="Q18" i="3"/>
  <c r="R18" i="3"/>
  <c r="C119" i="3" s="1"/>
  <c r="E119" i="3"/>
  <c r="T18" i="3"/>
  <c r="G119" i="3" s="1"/>
  <c r="M19" i="3"/>
  <c r="N19" i="3"/>
  <c r="O19" i="3"/>
  <c r="P19" i="3"/>
  <c r="Q19" i="3"/>
  <c r="R19" i="3"/>
  <c r="C120" i="3" s="1"/>
  <c r="S19" i="3"/>
  <c r="E120" i="3" s="1"/>
  <c r="T19" i="3"/>
  <c r="G120" i="3" s="1"/>
  <c r="M20" i="3"/>
  <c r="N20" i="3"/>
  <c r="O20" i="3"/>
  <c r="P20" i="3"/>
  <c r="Q20" i="3"/>
  <c r="R20" i="3"/>
  <c r="C121" i="3" s="1"/>
  <c r="E121" i="3"/>
  <c r="T20" i="3"/>
  <c r="G121" i="3" s="1"/>
  <c r="M21" i="3"/>
  <c r="N21" i="3"/>
  <c r="O21" i="3"/>
  <c r="P21" i="3"/>
  <c r="Q21" i="3"/>
  <c r="R21" i="3"/>
  <c r="C122" i="3" s="1"/>
  <c r="E122" i="3"/>
  <c r="T21" i="3"/>
  <c r="G122" i="3" s="1"/>
  <c r="M22" i="3"/>
  <c r="N22" i="3"/>
  <c r="O22" i="3"/>
  <c r="P22" i="3"/>
  <c r="Q22" i="3"/>
  <c r="R22" i="3"/>
  <c r="C123" i="3" s="1"/>
  <c r="S22" i="3"/>
  <c r="E123" i="3" s="1"/>
  <c r="T22" i="3"/>
  <c r="G123" i="3" s="1"/>
  <c r="P23" i="3"/>
  <c r="Q23" i="3"/>
  <c r="R23" i="3"/>
  <c r="C124" i="3" s="1"/>
  <c r="S23" i="3"/>
  <c r="E124" i="3" s="1"/>
  <c r="T23" i="3"/>
  <c r="G124" i="3" s="1"/>
  <c r="M24" i="3"/>
  <c r="N24" i="3"/>
  <c r="O24" i="3"/>
  <c r="P24" i="3"/>
  <c r="Q24" i="3"/>
  <c r="R24" i="3"/>
  <c r="C125" i="3" s="1"/>
  <c r="S24" i="3"/>
  <c r="E125" i="3" s="1"/>
  <c r="T24" i="3"/>
  <c r="G125" i="3" s="1"/>
  <c r="M25" i="3"/>
  <c r="N25" i="3"/>
  <c r="O25" i="3"/>
  <c r="P25" i="3"/>
  <c r="Q25" i="3"/>
  <c r="R25" i="3"/>
  <c r="C126" i="3" s="1"/>
  <c r="S25" i="3"/>
  <c r="E126" i="3" s="1"/>
  <c r="T25" i="3"/>
  <c r="G126" i="3" s="1"/>
  <c r="M26" i="3"/>
  <c r="N26" i="3"/>
  <c r="O26" i="3"/>
  <c r="P26" i="3"/>
  <c r="Q26" i="3"/>
  <c r="S26" i="3"/>
  <c r="E127" i="3" s="1"/>
  <c r="T26" i="3"/>
  <c r="G127" i="3" s="1"/>
  <c r="M4" i="3"/>
  <c r="N4" i="3"/>
  <c r="O4" i="3"/>
  <c r="P4" i="3"/>
  <c r="Q4" i="3"/>
  <c r="R4" i="3"/>
  <c r="C105" i="3" s="1"/>
  <c r="S4" i="3"/>
  <c r="E105" i="3" s="1"/>
  <c r="T4" i="3"/>
  <c r="G105" i="3" s="1"/>
  <c r="M5" i="3"/>
  <c r="N5" i="3"/>
  <c r="O5" i="3"/>
  <c r="P5" i="3"/>
  <c r="Q5" i="3"/>
  <c r="R5" i="3"/>
  <c r="C106" i="3" s="1"/>
  <c r="S5" i="3"/>
  <c r="E106" i="3" s="1"/>
  <c r="T5" i="3"/>
  <c r="G106" i="3" s="1"/>
  <c r="M6" i="3"/>
  <c r="N6" i="3"/>
  <c r="O6" i="3"/>
  <c r="P6" i="3"/>
  <c r="Q6" i="3"/>
  <c r="R6" i="3"/>
  <c r="C107" i="3" s="1"/>
  <c r="S6" i="3"/>
  <c r="E107" i="3" s="1"/>
  <c r="T6" i="3"/>
  <c r="G107" i="3" s="1"/>
  <c r="P3" i="3"/>
  <c r="Q3" i="3"/>
  <c r="R3" i="3"/>
  <c r="C104" i="3" s="1"/>
  <c r="S3" i="3"/>
  <c r="E104" i="3" s="1"/>
  <c r="T3" i="3"/>
  <c r="G104" i="3" s="1"/>
  <c r="E30" i="3"/>
  <c r="D3" i="3"/>
  <c r="C3" i="3"/>
  <c r="B3" i="3"/>
  <c r="J53" i="3"/>
  <c r="F127" i="3" s="1"/>
  <c r="I53" i="3"/>
  <c r="D127" i="3" s="1"/>
  <c r="H53" i="3"/>
  <c r="B127" i="3" s="1"/>
  <c r="G53" i="3"/>
  <c r="F53" i="3"/>
  <c r="E53" i="3"/>
  <c r="D53" i="3"/>
  <c r="C53" i="3"/>
  <c r="B53" i="3"/>
  <c r="J52" i="3"/>
  <c r="F126" i="3" s="1"/>
  <c r="I52" i="3"/>
  <c r="D126" i="3" s="1"/>
  <c r="H52" i="3"/>
  <c r="B126" i="3" s="1"/>
  <c r="G52" i="3"/>
  <c r="F52" i="3"/>
  <c r="E52" i="3"/>
  <c r="D52" i="3"/>
  <c r="C52" i="3"/>
  <c r="B52" i="3"/>
  <c r="J51" i="3"/>
  <c r="F125" i="3" s="1"/>
  <c r="I51" i="3"/>
  <c r="D125" i="3" s="1"/>
  <c r="H51" i="3"/>
  <c r="B125" i="3" s="1"/>
  <c r="G51" i="3"/>
  <c r="F51" i="3"/>
  <c r="E51" i="3"/>
  <c r="D51" i="3"/>
  <c r="C51" i="3"/>
  <c r="B51" i="3"/>
  <c r="J50" i="3"/>
  <c r="F124" i="3" s="1"/>
  <c r="I50" i="3"/>
  <c r="D124" i="3" s="1"/>
  <c r="H50" i="3"/>
  <c r="B124" i="3" s="1"/>
  <c r="G50" i="3"/>
  <c r="F50" i="3"/>
  <c r="E50" i="3"/>
  <c r="J49" i="3"/>
  <c r="F123" i="3" s="1"/>
  <c r="I49" i="3"/>
  <c r="D123" i="3" s="1"/>
  <c r="H49" i="3"/>
  <c r="B123" i="3" s="1"/>
  <c r="G49" i="3"/>
  <c r="F49" i="3"/>
  <c r="E49" i="3"/>
  <c r="D49" i="3"/>
  <c r="C49" i="3"/>
  <c r="B49" i="3"/>
  <c r="J48" i="3"/>
  <c r="F122" i="3" s="1"/>
  <c r="I48" i="3"/>
  <c r="D122" i="3" s="1"/>
  <c r="H48" i="3"/>
  <c r="B122" i="3" s="1"/>
  <c r="G48" i="3"/>
  <c r="F48" i="3"/>
  <c r="E48" i="3"/>
  <c r="D48" i="3"/>
  <c r="C48" i="3"/>
  <c r="B48" i="3"/>
  <c r="J47" i="3"/>
  <c r="F121" i="3" s="1"/>
  <c r="I47" i="3"/>
  <c r="D121" i="3" s="1"/>
  <c r="H47" i="3"/>
  <c r="B121" i="3" s="1"/>
  <c r="G47" i="3"/>
  <c r="F47" i="3"/>
  <c r="E47" i="3"/>
  <c r="D47" i="3"/>
  <c r="C47" i="3"/>
  <c r="B47" i="3"/>
  <c r="J46" i="3"/>
  <c r="F120" i="3" s="1"/>
  <c r="I46" i="3"/>
  <c r="D120" i="3" s="1"/>
  <c r="H46" i="3"/>
  <c r="B120" i="3" s="1"/>
  <c r="G46" i="3"/>
  <c r="F46" i="3"/>
  <c r="E46" i="3"/>
  <c r="D46" i="3"/>
  <c r="C46" i="3"/>
  <c r="B46" i="3"/>
  <c r="J45" i="3"/>
  <c r="F119" i="3" s="1"/>
  <c r="I45" i="3"/>
  <c r="D119" i="3" s="1"/>
  <c r="H45" i="3"/>
  <c r="B119" i="3" s="1"/>
  <c r="G45" i="3"/>
  <c r="F45" i="3"/>
  <c r="E45" i="3"/>
  <c r="D45" i="3"/>
  <c r="C45" i="3"/>
  <c r="B45" i="3"/>
  <c r="J44" i="3"/>
  <c r="F118" i="3" s="1"/>
  <c r="I44" i="3"/>
  <c r="D118" i="3" s="1"/>
  <c r="H44" i="3"/>
  <c r="B118" i="3" s="1"/>
  <c r="G44" i="3"/>
  <c r="F44" i="3"/>
  <c r="E44" i="3"/>
  <c r="D44" i="3"/>
  <c r="C44" i="3"/>
  <c r="B44" i="3"/>
  <c r="J43" i="3"/>
  <c r="F117" i="3" s="1"/>
  <c r="I43" i="3"/>
  <c r="D117" i="3" s="1"/>
  <c r="H43" i="3"/>
  <c r="B117" i="3" s="1"/>
  <c r="G43" i="3"/>
  <c r="F43" i="3"/>
  <c r="E43" i="3"/>
  <c r="D43" i="3"/>
  <c r="C43" i="3"/>
  <c r="B43" i="3"/>
  <c r="J42" i="3"/>
  <c r="F116" i="3" s="1"/>
  <c r="I42" i="3"/>
  <c r="D116" i="3" s="1"/>
  <c r="H42" i="3"/>
  <c r="B116" i="3" s="1"/>
  <c r="G42" i="3"/>
  <c r="F42" i="3"/>
  <c r="E42" i="3"/>
  <c r="D42" i="3"/>
  <c r="C42" i="3"/>
  <c r="B42" i="3"/>
  <c r="J41" i="3"/>
  <c r="I41" i="3"/>
  <c r="H41" i="3"/>
  <c r="G41" i="3"/>
  <c r="F41" i="3"/>
  <c r="E41" i="3"/>
  <c r="D41" i="3"/>
  <c r="C41" i="3"/>
  <c r="B41" i="3"/>
  <c r="J40" i="3"/>
  <c r="F114" i="3" s="1"/>
  <c r="I40" i="3"/>
  <c r="D114" i="3" s="1"/>
  <c r="H40" i="3"/>
  <c r="B114" i="3" s="1"/>
  <c r="G40" i="3"/>
  <c r="F40" i="3"/>
  <c r="E40" i="3"/>
  <c r="D40" i="3"/>
  <c r="C40" i="3"/>
  <c r="B40" i="3"/>
  <c r="J39" i="3"/>
  <c r="F113" i="3" s="1"/>
  <c r="I39" i="3"/>
  <c r="D113" i="3" s="1"/>
  <c r="H39" i="3"/>
  <c r="B113" i="3" s="1"/>
  <c r="G39" i="3"/>
  <c r="F39" i="3"/>
  <c r="E39" i="3"/>
  <c r="D39" i="3"/>
  <c r="C39" i="3"/>
  <c r="B39" i="3"/>
  <c r="J38" i="3"/>
  <c r="F112" i="3" s="1"/>
  <c r="I38" i="3"/>
  <c r="D112" i="3" s="1"/>
  <c r="H38" i="3"/>
  <c r="B112" i="3" s="1"/>
  <c r="G38" i="3"/>
  <c r="F38" i="3"/>
  <c r="E38" i="3"/>
  <c r="D38" i="3"/>
  <c r="C38" i="3"/>
  <c r="B38" i="3"/>
  <c r="J37" i="3"/>
  <c r="F111" i="3" s="1"/>
  <c r="I37" i="3"/>
  <c r="D111" i="3" s="1"/>
  <c r="H37" i="3"/>
  <c r="B111" i="3" s="1"/>
  <c r="G37" i="3"/>
  <c r="F37" i="3"/>
  <c r="E37" i="3"/>
  <c r="D37" i="3"/>
  <c r="C37" i="3"/>
  <c r="B37" i="3"/>
  <c r="J36" i="3"/>
  <c r="F110" i="3" s="1"/>
  <c r="I36" i="3"/>
  <c r="D110" i="3" s="1"/>
  <c r="H36" i="3"/>
  <c r="B110" i="3" s="1"/>
  <c r="G36" i="3"/>
  <c r="F36" i="3"/>
  <c r="E36" i="3"/>
  <c r="D36" i="3"/>
  <c r="C36" i="3"/>
  <c r="B36" i="3"/>
  <c r="J35" i="3"/>
  <c r="F109" i="3" s="1"/>
  <c r="I35" i="3"/>
  <c r="D109" i="3" s="1"/>
  <c r="H35" i="3"/>
  <c r="B109" i="3" s="1"/>
  <c r="G35" i="3"/>
  <c r="F35" i="3"/>
  <c r="E35" i="3"/>
  <c r="D35" i="3"/>
  <c r="C35" i="3"/>
  <c r="B35" i="3"/>
  <c r="J33" i="3"/>
  <c r="F107" i="3" s="1"/>
  <c r="I33" i="3"/>
  <c r="D107" i="3" s="1"/>
  <c r="H33" i="3"/>
  <c r="B107" i="3" s="1"/>
  <c r="G33" i="3"/>
  <c r="F33" i="3"/>
  <c r="E33" i="3"/>
  <c r="D33" i="3"/>
  <c r="C33" i="3"/>
  <c r="B33" i="3"/>
  <c r="J32" i="3"/>
  <c r="F106" i="3" s="1"/>
  <c r="I32" i="3"/>
  <c r="D106" i="3" s="1"/>
  <c r="H32" i="3"/>
  <c r="B106" i="3" s="1"/>
  <c r="G32" i="3"/>
  <c r="F32" i="3"/>
  <c r="E32" i="3"/>
  <c r="D32" i="3"/>
  <c r="C32" i="3"/>
  <c r="B32" i="3"/>
  <c r="J31" i="3"/>
  <c r="F105" i="3" s="1"/>
  <c r="I31" i="3"/>
  <c r="D105" i="3" s="1"/>
  <c r="H31" i="3"/>
  <c r="B105" i="3" s="1"/>
  <c r="G31" i="3"/>
  <c r="F31" i="3"/>
  <c r="E31" i="3"/>
  <c r="D31" i="3"/>
  <c r="C31" i="3"/>
  <c r="B31" i="3"/>
  <c r="J30" i="3"/>
  <c r="F104" i="3" s="1"/>
  <c r="I30" i="3"/>
  <c r="D104" i="3" s="1"/>
  <c r="H30" i="3"/>
  <c r="B104" i="3" s="1"/>
  <c r="G30" i="3"/>
  <c r="F30" i="3"/>
  <c r="T102" i="1"/>
  <c r="T103" i="1"/>
  <c r="T104" i="1"/>
  <c r="T105" i="1"/>
  <c r="T106" i="1"/>
  <c r="T108" i="1"/>
  <c r="T109" i="1"/>
  <c r="T101" i="1"/>
  <c r="S103" i="1"/>
  <c r="S104" i="1"/>
  <c r="S107" i="1"/>
  <c r="S108" i="1"/>
  <c r="T95" i="1"/>
  <c r="T96" i="1"/>
  <c r="T97" i="1"/>
  <c r="T98" i="1"/>
  <c r="S96" i="1"/>
  <c r="T94" i="1"/>
  <c r="S94" i="1"/>
  <c r="T86" i="1"/>
  <c r="T87" i="1"/>
  <c r="T88" i="1"/>
  <c r="T89" i="1"/>
  <c r="T90" i="1"/>
  <c r="T91" i="1"/>
  <c r="T85" i="1"/>
  <c r="S75" i="1"/>
  <c r="S76" i="1"/>
  <c r="S79" i="1"/>
  <c r="S80" i="1"/>
  <c r="S66" i="1"/>
  <c r="Q102" i="1"/>
  <c r="Q103" i="1"/>
  <c r="Q104" i="1"/>
  <c r="Q105" i="1"/>
  <c r="Q106" i="1"/>
  <c r="Q107" i="1"/>
  <c r="Q108" i="1"/>
  <c r="Q109" i="1"/>
  <c r="Q101" i="1"/>
  <c r="P102" i="1"/>
  <c r="P103" i="1"/>
  <c r="P104" i="1"/>
  <c r="P105" i="1"/>
  <c r="P106" i="1"/>
  <c r="P107" i="1"/>
  <c r="P108" i="1"/>
  <c r="P101" i="1"/>
  <c r="Q95" i="1"/>
  <c r="Q96" i="1"/>
  <c r="Q97" i="1"/>
  <c r="Q98" i="1"/>
  <c r="Q99" i="1"/>
  <c r="Q94" i="1"/>
  <c r="P95" i="1"/>
  <c r="P96" i="1"/>
  <c r="P97" i="1"/>
  <c r="P98" i="1"/>
  <c r="P94" i="1"/>
  <c r="Q86" i="1"/>
  <c r="Q87" i="1"/>
  <c r="Q88" i="1"/>
  <c r="Q89" i="1"/>
  <c r="Q90" i="1"/>
  <c r="Q91" i="1"/>
  <c r="Q92" i="1"/>
  <c r="Q85" i="1"/>
  <c r="P86" i="1"/>
  <c r="P87" i="1"/>
  <c r="P88" i="1"/>
  <c r="P89" i="1"/>
  <c r="P90" i="1"/>
  <c r="P91" i="1"/>
  <c r="P85" i="1"/>
  <c r="Q73" i="1"/>
  <c r="Q74" i="1"/>
  <c r="Q75" i="1"/>
  <c r="Q76" i="1"/>
  <c r="Q77" i="1"/>
  <c r="Q78" i="1"/>
  <c r="Q79" i="1"/>
  <c r="Q80" i="1"/>
  <c r="Q81" i="1"/>
  <c r="Q72" i="1"/>
  <c r="P73" i="1"/>
  <c r="P74" i="1"/>
  <c r="P75" i="1"/>
  <c r="P76" i="1"/>
  <c r="P77" i="1"/>
  <c r="P78" i="1"/>
  <c r="P79" i="1"/>
  <c r="P80" i="1"/>
  <c r="P72" i="1"/>
  <c r="Q64" i="1"/>
  <c r="Q65" i="1"/>
  <c r="Q66" i="1"/>
  <c r="Q67" i="1"/>
  <c r="Q68" i="1"/>
  <c r="Q69" i="1"/>
  <c r="Q70" i="1"/>
  <c r="P64" i="1"/>
  <c r="P65" i="1"/>
  <c r="P66" i="1"/>
  <c r="P67" i="1"/>
  <c r="P68" i="1"/>
  <c r="P69" i="1"/>
  <c r="Q63" i="1"/>
  <c r="P63" i="1"/>
  <c r="N102" i="1"/>
  <c r="N103" i="1"/>
  <c r="N105" i="1"/>
  <c r="N106" i="1"/>
  <c r="N107" i="1"/>
  <c r="N108" i="1"/>
  <c r="N109" i="1"/>
  <c r="N101" i="1"/>
  <c r="M102" i="1"/>
  <c r="M103" i="1"/>
  <c r="M105" i="1"/>
  <c r="M106" i="1"/>
  <c r="M107" i="1"/>
  <c r="M108" i="1"/>
  <c r="M101" i="1"/>
  <c r="N95" i="1"/>
  <c r="N96" i="1"/>
  <c r="N97" i="1"/>
  <c r="N98" i="1"/>
  <c r="N99" i="1"/>
  <c r="N94" i="1"/>
  <c r="M95" i="1"/>
  <c r="M96" i="1"/>
  <c r="M97" i="1"/>
  <c r="M98" i="1"/>
  <c r="M94" i="1"/>
  <c r="N86" i="1"/>
  <c r="N87" i="1"/>
  <c r="N88" i="1"/>
  <c r="N89" i="1"/>
  <c r="N90" i="1"/>
  <c r="N91" i="1"/>
  <c r="N92" i="1"/>
  <c r="N85" i="1"/>
  <c r="M86" i="1"/>
  <c r="M87" i="1"/>
  <c r="M88" i="1"/>
  <c r="M89" i="1"/>
  <c r="M90" i="1"/>
  <c r="M91" i="1"/>
  <c r="M85" i="1"/>
  <c r="N74" i="1"/>
  <c r="N75" i="1"/>
  <c r="N76" i="1"/>
  <c r="N77" i="1"/>
  <c r="N78" i="1"/>
  <c r="N79" i="1"/>
  <c r="N80" i="1"/>
  <c r="N81" i="1"/>
  <c r="N72" i="1"/>
  <c r="M74" i="1"/>
  <c r="M75" i="1"/>
  <c r="M76" i="1"/>
  <c r="M77" i="1"/>
  <c r="M78" i="1"/>
  <c r="M79" i="1"/>
  <c r="M80" i="1"/>
  <c r="M72" i="1"/>
  <c r="N64" i="1"/>
  <c r="N65" i="1"/>
  <c r="N66" i="1"/>
  <c r="N68" i="1"/>
  <c r="N69" i="1"/>
  <c r="N70" i="1"/>
  <c r="N63" i="1"/>
  <c r="M64" i="1"/>
  <c r="M65" i="1"/>
  <c r="M66" i="1"/>
  <c r="M68" i="1"/>
  <c r="M69" i="1"/>
  <c r="M63" i="1"/>
  <c r="R107" i="1"/>
  <c r="R109" i="1" s="1"/>
  <c r="S105" i="1" s="1"/>
  <c r="R99" i="1"/>
  <c r="S97" i="1" s="1"/>
  <c r="R92" i="1"/>
  <c r="S87" i="1" s="1"/>
  <c r="T82" i="1"/>
  <c r="R81" i="1"/>
  <c r="S73" i="1" s="1"/>
  <c r="R70" i="1"/>
  <c r="H110" i="1"/>
  <c r="G110" i="1"/>
  <c r="G101" i="1"/>
  <c r="H101" i="1"/>
  <c r="G103" i="1"/>
  <c r="H103" i="1"/>
  <c r="H104" i="1"/>
  <c r="G105" i="1"/>
  <c r="H105" i="1"/>
  <c r="G106" i="1"/>
  <c r="H106" i="1"/>
  <c r="G107" i="1"/>
  <c r="G108" i="1"/>
  <c r="H108" i="1"/>
  <c r="G109" i="1"/>
  <c r="F103" i="1"/>
  <c r="F105" i="1"/>
  <c r="F106" i="1"/>
  <c r="F107" i="1"/>
  <c r="F108" i="1"/>
  <c r="F109" i="1"/>
  <c r="F110" i="1"/>
  <c r="F101" i="1"/>
  <c r="G94" i="1"/>
  <c r="H94" i="1"/>
  <c r="G95" i="1"/>
  <c r="H95" i="1"/>
  <c r="G96" i="1"/>
  <c r="H96" i="1"/>
  <c r="G97" i="1"/>
  <c r="H97" i="1"/>
  <c r="G98" i="1"/>
  <c r="H98" i="1"/>
  <c r="G99" i="1"/>
  <c r="F95" i="1"/>
  <c r="F96" i="1"/>
  <c r="F97" i="1"/>
  <c r="F98" i="1"/>
  <c r="F99" i="1"/>
  <c r="F94" i="1"/>
  <c r="G85" i="1"/>
  <c r="H85" i="1"/>
  <c r="G86" i="1"/>
  <c r="H86" i="1"/>
  <c r="G87" i="1"/>
  <c r="H87" i="1"/>
  <c r="G88" i="1"/>
  <c r="H88" i="1"/>
  <c r="G89" i="1"/>
  <c r="H89" i="1"/>
  <c r="G90" i="1"/>
  <c r="H90" i="1"/>
  <c r="G91" i="1"/>
  <c r="H91" i="1"/>
  <c r="G92" i="1"/>
  <c r="F86" i="1"/>
  <c r="F87" i="1"/>
  <c r="F88" i="1"/>
  <c r="F89" i="1"/>
  <c r="F90" i="1"/>
  <c r="F91" i="1"/>
  <c r="F92" i="1"/>
  <c r="F85" i="1"/>
  <c r="H63" i="1"/>
  <c r="G63" i="1"/>
  <c r="G64" i="1"/>
  <c r="H64" i="1"/>
  <c r="G65" i="1"/>
  <c r="H65" i="1"/>
  <c r="G66" i="1"/>
  <c r="H66" i="1"/>
  <c r="G68" i="1"/>
  <c r="H68" i="1"/>
  <c r="G69" i="1"/>
  <c r="H69" i="1"/>
  <c r="G70" i="1"/>
  <c r="G72" i="1"/>
  <c r="H72" i="1"/>
  <c r="H73" i="1"/>
  <c r="G74" i="1"/>
  <c r="H74" i="1"/>
  <c r="G75" i="1"/>
  <c r="H75" i="1"/>
  <c r="G76" i="1"/>
  <c r="H76" i="1"/>
  <c r="G77" i="1"/>
  <c r="H77" i="1"/>
  <c r="G78" i="1"/>
  <c r="H78" i="1"/>
  <c r="G79" i="1"/>
  <c r="H79" i="1"/>
  <c r="G80" i="1"/>
  <c r="H80" i="1"/>
  <c r="G81" i="1"/>
  <c r="G82" i="1"/>
  <c r="F74" i="1"/>
  <c r="F75" i="1"/>
  <c r="F76" i="1"/>
  <c r="F77" i="1"/>
  <c r="F78" i="1"/>
  <c r="F79" i="1"/>
  <c r="F80" i="1"/>
  <c r="F81" i="1"/>
  <c r="F82" i="1"/>
  <c r="F72" i="1"/>
  <c r="F64" i="1"/>
  <c r="F65" i="1"/>
  <c r="F66" i="1"/>
  <c r="F68" i="1"/>
  <c r="F69" i="1"/>
  <c r="F70" i="1"/>
  <c r="F63" i="1"/>
  <c r="S86" i="1" l="1"/>
  <c r="B115" i="3"/>
  <c r="S69" i="1"/>
  <c r="S85" i="1"/>
  <c r="T92" i="1"/>
  <c r="S95" i="1"/>
  <c r="C30" i="3"/>
  <c r="S68" i="1"/>
  <c r="S64" i="1"/>
  <c r="S72" i="1"/>
  <c r="S78" i="1"/>
  <c r="S74" i="1"/>
  <c r="S88" i="1"/>
  <c r="S98" i="1"/>
  <c r="T99" i="1"/>
  <c r="S106" i="1"/>
  <c r="S102" i="1"/>
  <c r="T107" i="1"/>
  <c r="F115" i="3"/>
  <c r="D30" i="3"/>
  <c r="S90" i="1"/>
  <c r="B30" i="3"/>
  <c r="S65" i="1"/>
  <c r="S89" i="1"/>
  <c r="D115" i="3"/>
  <c r="S63" i="1"/>
  <c r="S67" i="1"/>
  <c r="S77" i="1"/>
  <c r="S91" i="1"/>
  <c r="S101" i="1"/>
  <c r="M3" i="3"/>
  <c r="N3" i="3"/>
  <c r="O3" i="3"/>
  <c r="R82" i="1"/>
  <c r="E107" i="1"/>
  <c r="A100" i="1"/>
  <c r="E99" i="1"/>
  <c r="A93" i="1"/>
  <c r="E92" i="1"/>
  <c r="A84" i="1"/>
  <c r="A83" i="1"/>
  <c r="E81" i="1"/>
  <c r="A71" i="1"/>
  <c r="E70" i="1"/>
  <c r="H70" i="1" s="1"/>
  <c r="A62" i="1"/>
  <c r="A61" i="1"/>
  <c r="J50" i="1"/>
  <c r="J52" i="1" s="1"/>
  <c r="J42" i="1"/>
  <c r="J35" i="1"/>
  <c r="J23" i="1"/>
  <c r="J12" i="1"/>
  <c r="K61" i="1" l="1"/>
  <c r="B5" i="35"/>
  <c r="E7" i="13"/>
  <c r="F7" i="16"/>
  <c r="F24" i="16" s="1"/>
  <c r="D4" i="8"/>
  <c r="D10" i="8" s="1"/>
  <c r="K83" i="1"/>
  <c r="K84" i="1"/>
  <c r="K100" i="1"/>
  <c r="B3" i="35"/>
  <c r="E31" i="9"/>
  <c r="E35" i="9" s="1"/>
  <c r="E7" i="11"/>
  <c r="D14" i="14"/>
  <c r="D15" i="14" s="1"/>
  <c r="D16" i="14" s="1"/>
  <c r="K93" i="1"/>
  <c r="T74" i="1"/>
  <c r="T78" i="1"/>
  <c r="T72" i="1"/>
  <c r="T66" i="1"/>
  <c r="T76" i="1"/>
  <c r="T64" i="1"/>
  <c r="T77" i="1"/>
  <c r="T65" i="1"/>
  <c r="T75" i="1"/>
  <c r="T79" i="1"/>
  <c r="T67" i="1"/>
  <c r="T80" i="1"/>
  <c r="T68" i="1"/>
  <c r="T73" i="1"/>
  <c r="T81" i="1"/>
  <c r="T69" i="1"/>
  <c r="T63" i="1"/>
  <c r="K62" i="1"/>
  <c r="H99" i="1"/>
  <c r="E8" i="9"/>
  <c r="E14" i="9" s="1"/>
  <c r="B6" i="35"/>
  <c r="D7" i="8"/>
  <c r="J6" i="11"/>
  <c r="D19" i="15"/>
  <c r="B2" i="35"/>
  <c r="D19" i="14"/>
  <c r="D20" i="14" s="1"/>
  <c r="D21" i="14" s="1"/>
  <c r="E21" i="9"/>
  <c r="E30" i="9" s="1"/>
  <c r="E32" i="9" s="1"/>
  <c r="D3" i="8"/>
  <c r="D5" i="8" s="1"/>
  <c r="E27" i="13"/>
  <c r="D24" i="15"/>
  <c r="D25" i="15" s="1"/>
  <c r="R35" i="25"/>
  <c r="E54" i="16"/>
  <c r="E58" i="16"/>
  <c r="D10" i="15"/>
  <c r="J7" i="11"/>
  <c r="E38" i="16"/>
  <c r="D9" i="14"/>
  <c r="D10" i="14" s="1"/>
  <c r="D11" i="14" s="1"/>
  <c r="E3" i="9"/>
  <c r="K71" i="1"/>
  <c r="H92" i="1"/>
  <c r="E9" i="9"/>
  <c r="E15" i="9" s="1"/>
  <c r="T70" i="1"/>
  <c r="E109" i="1"/>
  <c r="H107" i="1"/>
  <c r="E82" i="1"/>
  <c r="H82" i="1" s="1"/>
  <c r="H81" i="1"/>
  <c r="J25" i="1"/>
  <c r="H109" i="1" l="1"/>
  <c r="E16" i="9"/>
  <c r="E26" i="9" s="1"/>
  <c r="E17" i="9"/>
  <c r="E8" i="13"/>
  <c r="E16" i="13"/>
  <c r="E28" i="13"/>
  <c r="E55" i="16"/>
  <c r="E59" i="16" s="1"/>
  <c r="E20" i="9"/>
  <c r="D11" i="8"/>
  <c r="D21" i="8" s="1"/>
  <c r="D17" i="8"/>
  <c r="D8" i="8"/>
  <c r="B4" i="35"/>
  <c r="B7" i="35" s="1"/>
  <c r="B9" i="35" s="1"/>
  <c r="B11" i="35" s="1"/>
  <c r="E57" i="16"/>
  <c r="E56" i="16"/>
  <c r="F5" i="16"/>
  <c r="F23" i="16" s="1"/>
  <c r="E37" i="16" s="1"/>
  <c r="E4" i="9"/>
  <c r="F8" i="16"/>
  <c r="F6" i="16"/>
  <c r="F22" i="16" s="1"/>
  <c r="E36" i="16" s="1"/>
  <c r="D4" i="14"/>
  <c r="D5" i="14" s="1"/>
  <c r="D6" i="14" s="1"/>
  <c r="D14" i="15"/>
  <c r="D15" i="15" s="1"/>
  <c r="E5" i="9"/>
  <c r="D18" i="15"/>
  <c r="D20" i="15" s="1"/>
  <c r="D11" i="15"/>
  <c r="R38" i="25"/>
  <c r="R33" i="25" s="1"/>
  <c r="E29" i="13"/>
  <c r="F4" i="16"/>
  <c r="R36" i="25" l="1"/>
  <c r="R39" i="25" s="1"/>
  <c r="E37" i="9"/>
  <c r="E38" i="9" s="1"/>
  <c r="E10" i="9"/>
  <c r="E11" i="9" s="1"/>
  <c r="E22" i="9"/>
  <c r="E25" i="9"/>
  <c r="F21" i="16"/>
  <c r="F9" i="16"/>
  <c r="D19" i="8"/>
  <c r="D29" i="14"/>
  <c r="D30" i="14" s="1"/>
  <c r="D31" i="14" s="1"/>
  <c r="E23" i="13"/>
  <c r="E24" i="13" s="1"/>
  <c r="E17" i="13"/>
  <c r="E35" i="16" l="1"/>
  <c r="E39" i="16" s="1"/>
  <c r="F25" i="16"/>
  <c r="E41" i="9"/>
  <c r="E43" i="9" s="1"/>
  <c r="E27" i="9"/>
  <c r="B9" i="36" l="1"/>
  <c r="B8" i="36"/>
  <c r="B20" i="36"/>
  <c r="B23" i="36" s="1"/>
  <c r="B31" i="36" s="1"/>
  <c r="B27" i="36" l="1"/>
  <c r="B33" i="36" s="1"/>
  <c r="B26" i="36"/>
  <c r="B32" i="36" s="1"/>
  <c r="C33" i="36" l="1"/>
</calcChain>
</file>

<file path=xl/sharedStrings.xml><?xml version="1.0" encoding="utf-8"?>
<sst xmlns="http://schemas.openxmlformats.org/spreadsheetml/2006/main" count="2178" uniqueCount="704">
  <si>
    <t>Наименование показателя</t>
  </si>
  <si>
    <t>АКТИВЫ</t>
  </si>
  <si>
    <t>Оборотные активы</t>
  </si>
  <si>
    <t>Денежные средства и их эквиваленты</t>
  </si>
  <si>
    <t>Денежные средства с ограничением к использованию</t>
  </si>
  <si>
    <t>Дебиторская задолженность</t>
  </si>
  <si>
    <t>Товарно-материальные запасы</t>
  </si>
  <si>
    <t>Авансы выданные и прочие оборотные активы</t>
  </si>
  <si>
    <t>Итого оборотные активы</t>
  </si>
  <si>
    <t>Внеоборотные активы</t>
  </si>
  <si>
    <t>Основные средства</t>
  </si>
  <si>
    <t>Нематериальные активы</t>
  </si>
  <si>
    <t>Инвестиции в совместные и ассоциированные предприятия</t>
  </si>
  <si>
    <t>Банковские кредиты выданные</t>
  </si>
  <si>
    <t>Отложенные налоговые активы</t>
  </si>
  <si>
    <t>Гудвилл</t>
  </si>
  <si>
    <t>Прочие внеоборотные нефинансовые активы</t>
  </si>
  <si>
    <t>Итого внеоборотные активы</t>
  </si>
  <si>
    <t>Активы, предназначенные для продажи</t>
  </si>
  <si>
    <t>Итого активы</t>
  </si>
  <si>
    <t>ОБЯЗАТЕЛЬСТВА И КАПИТАЛ</t>
  </si>
  <si>
    <t>Краткосрочные обязательства</t>
  </si>
  <si>
    <t>Кредиторская задолженность и начисления</t>
  </si>
  <si>
    <t>Кредиты и займы</t>
  </si>
  <si>
    <t>Обязательства по налогу на прибыль</t>
  </si>
  <si>
    <t>Обязательства по прочим налогам</t>
  </si>
  <si>
    <t>Резервы</t>
  </si>
  <si>
    <t>Прочие краткосрочные обязательства</t>
  </si>
  <si>
    <t>Итого краткосрочные обязательства</t>
  </si>
  <si>
    <t>Долгосрочные обязательства</t>
  </si>
  <si>
    <t>Отложенные налоговые обязательства</t>
  </si>
  <si>
    <t>Предоплата по договорам поставки нефти</t>
  </si>
  <si>
    <t>Прочие долгосрочные обязательства</t>
  </si>
  <si>
    <t>Итого долгосрочные обязательства</t>
  </si>
  <si>
    <t>Капитал</t>
  </si>
  <si>
    <t>Уставный капитал</t>
  </si>
  <si>
    <t>Собственные акции, выкупленные у акционеров</t>
  </si>
  <si>
    <t>Добавочный капитал</t>
  </si>
  <si>
    <t>Прочие фонды и резервы</t>
  </si>
  <si>
    <t>Нераспределенная прибыль</t>
  </si>
  <si>
    <t>Итого акционерный капитал «Роснефти»</t>
  </si>
  <si>
    <t>Неконтролирующие доли</t>
  </si>
  <si>
    <t>Итого капитал</t>
  </si>
  <si>
    <t>Итого капитал и обязательства</t>
  </si>
  <si>
    <t>Баланс МСФО, тыс.руб.</t>
  </si>
  <si>
    <t>Прочие оборотные финансовые активы</t>
  </si>
  <si>
    <t>-</t>
  </si>
  <si>
    <t>Активы в форме права пользования</t>
  </si>
  <si>
    <t>Прочие внеоборотные активы</t>
  </si>
  <si>
    <t>Резерв курсовых разниц от пересчета иностранных операций</t>
  </si>
  <si>
    <t>Отчет о прибылях и убытках МСФО, тыс.руб.</t>
  </si>
  <si>
    <t>Вспомогательные услуги и прочая реализация</t>
  </si>
  <si>
    <t>Доход от совместных и ассоциированных предприятий</t>
  </si>
  <si>
    <t>Итого выручка от реализации и доход от совместных и ассоциированных предприятий</t>
  </si>
  <si>
    <t>Затраты и расходы</t>
  </si>
  <si>
    <t>Производственные и операционные расходы</t>
  </si>
  <si>
    <t>Стоимость приобретенной нефти, газа, нефтепродуктов и услуг по переработке нефти</t>
  </si>
  <si>
    <t>Общехозяйственные и административные расходы</t>
  </si>
  <si>
    <t>Тарифы за пользование нефтепроводом и расходы на транспортировку</t>
  </si>
  <si>
    <t>Затраты, связанные с разведкой запасов нефти и газа</t>
  </si>
  <si>
    <t>Износ, истощение и амортизация</t>
  </si>
  <si>
    <t>Налоги, кроме налога на прибыль</t>
  </si>
  <si>
    <t>Экспортная пошлина</t>
  </si>
  <si>
    <t>Итого затраты и расходы</t>
  </si>
  <si>
    <t>Операционная прибыль</t>
  </si>
  <si>
    <t>Финансовые доходы</t>
  </si>
  <si>
    <t>Финансовые расходы</t>
  </si>
  <si>
    <t>Прочие доходы</t>
  </si>
  <si>
    <t>Прочие расходы</t>
  </si>
  <si>
    <t>Курсовые разницы</t>
  </si>
  <si>
    <t>Реализованные курсовые разницы по инструментам управления курсовым риском</t>
  </si>
  <si>
    <t>Прибыль до налогообложения</t>
  </si>
  <si>
    <t>Налог на прибыль</t>
  </si>
  <si>
    <t>Чистая прибыль</t>
  </si>
  <si>
    <t>Тпр 2018</t>
  </si>
  <si>
    <t>Тпр 2019</t>
  </si>
  <si>
    <t>Тпр 2020</t>
  </si>
  <si>
    <t>Доля в разделе</t>
  </si>
  <si>
    <t>Доля в активе\пассиве</t>
  </si>
  <si>
    <t>Реализация нефти и газа, нефтепродуктов и нефтехимии</t>
  </si>
  <si>
    <t>Выручка</t>
  </si>
  <si>
    <t>Показатель</t>
  </si>
  <si>
    <t>СОК</t>
  </si>
  <si>
    <t>Перманентный капитал (ПК) = Собственный оборотный капитал (СОК) + Долгосрочные обязательства (ДО)</t>
  </si>
  <si>
    <t>ПК</t>
  </si>
  <si>
    <t>Общая величина основных источников формирования запасов (ОИФ) = Собственный оборотный капитал (СОК) + Долгосрочные обязательства (ДО) + Краткосрочные обязательства (КО)</t>
  </si>
  <si>
    <t>ОИФ</t>
  </si>
  <si>
    <t xml:space="preserve">Δ СОС = СОК – ПЗ </t>
  </si>
  <si>
    <t>Запасы</t>
  </si>
  <si>
    <t xml:space="preserve">Δ ПК = ПК – ПЗ </t>
  </si>
  <si>
    <t>Δ ПК</t>
  </si>
  <si>
    <t xml:space="preserve">Δ ОИФ = ОИ – ПЗ </t>
  </si>
  <si>
    <t xml:space="preserve">Δ ОИФ </t>
  </si>
  <si>
    <t>Финансовая устойчивость</t>
  </si>
  <si>
    <t>Собственный оборотный капитал (СОК)=оборотные активы-текущие пассивы</t>
  </si>
  <si>
    <t>Текущие пассивы</t>
  </si>
  <si>
    <t>Δ СОК</t>
  </si>
  <si>
    <t xml:space="preserve">Δ СОК ≥ 0 (т.е. ПЗ ≤ СОК) – абсолютная финансовая устойчивость 
Δ СОК &lt;0, Δ ПК ≥ 0 (т.е. СОК ≤ ПЗ ≤ ДИФ) – нормальная финансовая устойчивость
Δ СОК &lt;0, Δ ПК &lt; 0, Δ ОИ ≥ 0 (т.е. ДИФ ≤ ПЗ ≤ ОИФ) – неустойчивое финансовое состояние
Δ СОК &lt;0, Δ ПК &lt; 0, Δ ОИ &lt; 0 (т.е. ОИФ ≤ ПЗ) – кризисное финансовое состояние
</t>
  </si>
  <si>
    <t>Нормальная</t>
  </si>
  <si>
    <t>Валюта баланса</t>
  </si>
  <si>
    <t>Кфн</t>
  </si>
  <si>
    <t>Кз</t>
  </si>
  <si>
    <t>Ксф</t>
  </si>
  <si>
    <t>Ко</t>
  </si>
  <si>
    <t>Км</t>
  </si>
  <si>
    <t>Кс</t>
  </si>
  <si>
    <t>Значение показателя индивидуально для каждого предприятия, чем выше значение, тем больше средств авансируется в оборотные (мобильные) активы</t>
  </si>
  <si>
    <t>Кипн</t>
  </si>
  <si>
    <t>Кредиторская задолженность</t>
  </si>
  <si>
    <t>СК</t>
  </si>
  <si>
    <t>Активы</t>
  </si>
  <si>
    <t>Пассивы</t>
  </si>
  <si>
    <t>Название группы</t>
  </si>
  <si>
    <t>Расчет</t>
  </si>
  <si>
    <t>Наиболее ликвидные активы (А1)</t>
  </si>
  <si>
    <t>Наиболее срочные обязательства (П1)</t>
  </si>
  <si>
    <t>Быстро реализуемые активы (А2)</t>
  </si>
  <si>
    <t>Краткосрочные пассивы (П2)</t>
  </si>
  <si>
    <t>Медленно реализуемые активы (А3)</t>
  </si>
  <si>
    <t>Долгосрочные пассивы (П3)</t>
  </si>
  <si>
    <t>Трудно реализуемые активы (А4)</t>
  </si>
  <si>
    <t>Постоянные пассивы (П4)</t>
  </si>
  <si>
    <t>ДС+КФВ</t>
  </si>
  <si>
    <t>ВНА</t>
  </si>
  <si>
    <t>КЗ</t>
  </si>
  <si>
    <t>ДЗ</t>
  </si>
  <si>
    <t>А1&gt;П1</t>
  </si>
  <si>
    <t>A2&lt;П2</t>
  </si>
  <si>
    <t>A3&lt;П3</t>
  </si>
  <si>
    <t>А1&lt;П1</t>
  </si>
  <si>
    <t>А4&gt;П4</t>
  </si>
  <si>
    <t>Запасы + Прочие ВНА+ДФВ</t>
  </si>
  <si>
    <t>КО-КЗ</t>
  </si>
  <si>
    <t>общий показатель ликвидности=(ДС+КВФ+ДЗ+З)/(КО)</t>
  </si>
  <si>
    <t>Общая ликвидность</t>
  </si>
  <si>
    <t>Кабслик</t>
  </si>
  <si>
    <t>Ксрлик</t>
  </si>
  <si>
    <t>Ктеклик</t>
  </si>
  <si>
    <t>ДС</t>
  </si>
  <si>
    <t>Прочие оборотные фин активы</t>
  </si>
  <si>
    <t>ЗП</t>
  </si>
  <si>
    <t xml:space="preserve">Значение показателя ниже 1-2, что говорит о недостаточности оборотных средств для покрытия краткосрочных обязательств </t>
  </si>
  <si>
    <t>ОА</t>
  </si>
  <si>
    <t>Коа</t>
  </si>
  <si>
    <t>Па</t>
  </si>
  <si>
    <t>Коск</t>
  </si>
  <si>
    <t>Пск</t>
  </si>
  <si>
    <t>Ковна</t>
  </si>
  <si>
    <t>Пвна</t>
  </si>
  <si>
    <t>Кооа</t>
  </si>
  <si>
    <t>Поа</t>
  </si>
  <si>
    <t>Коос</t>
  </si>
  <si>
    <t>Пос</t>
  </si>
  <si>
    <t>Коз</t>
  </si>
  <si>
    <t>Пз</t>
  </si>
  <si>
    <t>Копк</t>
  </si>
  <si>
    <t>Ппк</t>
  </si>
  <si>
    <t>Кодз</t>
  </si>
  <si>
    <t>Пдз</t>
  </si>
  <si>
    <t>Рентабельность продаж=Прибыль от продаж/Выручка</t>
  </si>
  <si>
    <t>Рентабельность собственного капитала=Чистая прибыль/Собственный капитал</t>
  </si>
  <si>
    <t>ROЕ</t>
  </si>
  <si>
    <t>Рентабельность активов=Чистая прибыль/Активы</t>
  </si>
  <si>
    <t>ROА</t>
  </si>
  <si>
    <t>EBIT</t>
  </si>
  <si>
    <t>Рентабельность инвестированного капитала=Чистая прибыль/(Капитал+ДО)</t>
  </si>
  <si>
    <t>ДО</t>
  </si>
  <si>
    <t>ROIC</t>
  </si>
  <si>
    <t>Коэффициент рентабельности активов (англ. Return On Asset, ROA) – показатель эффективности использования предприятием активов и рассчитывается как отношение чистой прибыли предприятия (после налогообложения) к величине активов. Другими словами рентабельность активов (ROA) отражает доходность, полученную как с помощью собственного, так и заемного капитала.</t>
  </si>
  <si>
    <t>Коэффициент рентабельности собственного капитала (англ. Return On Equity, ROE) – показатель отражающий эффективность и доходность использования собственного капитала. Данный коэффициент часто используется инвесторами для оценки капиталоемких предприятий и отражает качество управления собственным капиталом.</t>
  </si>
  <si>
    <t xml:space="preserve">Коэффициент рентабельности на инвестиционный капитал (англ. Return On Invested Capital, ROIC, ROI) – показатель отражающий прибыльность предприятия на инвестиционный капитал. Коэффициент рентабельности инвестиционного капитала используется инвесторами для оценки эффективности предприятия создавать добавленную стоимости на вложенный капитал. Если данный показатель высок, то предприятие инвестиционно привлекательно для инвесторов. </t>
  </si>
  <si>
    <t xml:space="preserve">Коэффициент рентабельности продаж (англ. Return On Sales, ROS) – показатель отражающий эффективность продаж. Рассчитывается как отношение прибыли от продаж к выручке. </t>
  </si>
  <si>
    <t>Z-счет</t>
  </si>
  <si>
    <t>Z &lt; 1,81 - вероятность банкротства велика</t>
  </si>
  <si>
    <t>1,81 &lt; Z &lt; 2,675 - вероятность банкротства средняя</t>
  </si>
  <si>
    <t>Z =&lt; 2,675 - вероятность банкротства 50%</t>
  </si>
  <si>
    <t>2,675 &lt; Z &lt; 2,99 - вероятность банкротства невелика</t>
  </si>
  <si>
    <t>Z &gt; 2,99 - вероятность банкротства ничтожна</t>
  </si>
  <si>
    <t>Коэффициент</t>
  </si>
  <si>
    <t>Формула расчета</t>
  </si>
  <si>
    <t>Расчет по МСФО</t>
  </si>
  <si>
    <t>X1</t>
  </si>
  <si>
    <t>Х1 = Оборотный капитал/Активы</t>
  </si>
  <si>
    <t>(Working Capital) / Total Assets </t>
  </si>
  <si>
    <t>Х2</t>
  </si>
  <si>
    <t>Х2= Нераспределенная прибыль/Активы</t>
  </si>
  <si>
    <t>Retained Earnings / Total Assets </t>
  </si>
  <si>
    <t>Х3</t>
  </si>
  <si>
    <t>Х3 = Операционная прибыль/Активы</t>
  </si>
  <si>
    <t>EBIT / Total Assets </t>
  </si>
  <si>
    <t>Х4</t>
  </si>
  <si>
    <t>Х4 = Рыночная стоимость акций/ Обязательства</t>
  </si>
  <si>
    <t>Market value of Equity/ Book value of Total Liabilities</t>
  </si>
  <si>
    <t>Х5</t>
  </si>
  <si>
    <t>Х5 = Выручка/Активы</t>
  </si>
  <si>
    <t>Sales/Total Assets</t>
  </si>
  <si>
    <t>Z-счет = 1,2*X1 + 1,4*X2 + 3,3*X3 + 0,6*X4 + X5</t>
  </si>
  <si>
    <t>Модель прогнозирования банкротства предприятия  Р. Лиса (Великобритания, 1972)</t>
  </si>
  <si>
    <t>Z=0.063*K1 + 0.092*K2 + 0.057*K3 + 0.001*K4</t>
  </si>
  <si>
    <t>EBIT / Total Assets </t>
  </si>
  <si>
    <t>Retained Earnings / Total Assets</t>
  </si>
  <si>
    <t>Value of Equity/ Book value of Total Liabilities</t>
  </si>
  <si>
    <r>
      <t>К</t>
    </r>
    <r>
      <rPr>
        <vertAlign val="subscript"/>
        <sz val="9"/>
        <color rgb="FF212034"/>
        <rFont val="Times New Roman"/>
        <family val="1"/>
        <charset val="204"/>
      </rPr>
      <t>1</t>
    </r>
  </si>
  <si>
    <r>
      <t>K</t>
    </r>
    <r>
      <rPr>
        <vertAlign val="subscript"/>
        <sz val="9"/>
        <color rgb="FF212034"/>
        <rFont val="Times New Roman"/>
        <family val="1"/>
        <charset val="204"/>
      </rPr>
      <t>1</t>
    </r>
    <r>
      <rPr>
        <sz val="9"/>
        <color rgb="FF212034"/>
        <rFont val="Times New Roman"/>
        <family val="1"/>
        <charset val="204"/>
      </rPr>
      <t> = Оборотный капитал / Активы</t>
    </r>
  </si>
  <si>
    <r>
      <t>К</t>
    </r>
    <r>
      <rPr>
        <vertAlign val="subscript"/>
        <sz val="9"/>
        <color rgb="FF212034"/>
        <rFont val="Times New Roman"/>
        <family val="1"/>
        <charset val="204"/>
      </rPr>
      <t>2</t>
    </r>
  </si>
  <si>
    <r>
      <t>K</t>
    </r>
    <r>
      <rPr>
        <vertAlign val="subscript"/>
        <sz val="9"/>
        <color rgb="FF212034"/>
        <rFont val="Times New Roman"/>
        <family val="1"/>
        <charset val="204"/>
      </rPr>
      <t>2</t>
    </r>
    <r>
      <rPr>
        <sz val="9"/>
        <color rgb="FF212034"/>
        <rFont val="Times New Roman"/>
        <family val="1"/>
        <charset val="204"/>
      </rPr>
      <t> = Прибыль до налогообложения / Активы</t>
    </r>
  </si>
  <si>
    <r>
      <t>К</t>
    </r>
    <r>
      <rPr>
        <vertAlign val="subscript"/>
        <sz val="9"/>
        <color rgb="FF212034"/>
        <rFont val="Times New Roman"/>
        <family val="1"/>
        <charset val="204"/>
      </rPr>
      <t>3</t>
    </r>
  </si>
  <si>
    <r>
      <t>К</t>
    </r>
    <r>
      <rPr>
        <vertAlign val="subscript"/>
        <sz val="9"/>
        <color rgb="FF212034"/>
        <rFont val="Times New Roman"/>
        <family val="1"/>
        <charset val="204"/>
      </rPr>
      <t>3</t>
    </r>
    <r>
      <rPr>
        <sz val="9"/>
        <color rgb="FF212034"/>
        <rFont val="Times New Roman"/>
        <family val="1"/>
        <charset val="204"/>
      </rPr>
      <t> = Нераспределенная прибыль / Активы</t>
    </r>
  </si>
  <si>
    <r>
      <t>К</t>
    </r>
    <r>
      <rPr>
        <vertAlign val="subscript"/>
        <sz val="9"/>
        <color rgb="FF212034"/>
        <rFont val="Times New Roman"/>
        <family val="1"/>
        <charset val="204"/>
      </rPr>
      <t>4</t>
    </r>
  </si>
  <si>
    <r>
      <t>К</t>
    </r>
    <r>
      <rPr>
        <vertAlign val="subscript"/>
        <sz val="9"/>
        <color rgb="FF212034"/>
        <rFont val="Times New Roman"/>
        <family val="1"/>
        <charset val="204"/>
      </rPr>
      <t>4</t>
    </r>
    <r>
      <rPr>
        <sz val="9"/>
        <color rgb="FF212034"/>
        <rFont val="Times New Roman"/>
        <family val="1"/>
        <charset val="204"/>
      </rPr>
      <t> = Собственный капитал / (Краткосрочные + Долгосрочные обязательства)</t>
    </r>
  </si>
  <si>
    <t>Модель Беликова-Давыдовой (Иркутская государственная экономическая академия, 1998 г.)</t>
  </si>
  <si>
    <t>Пятифакторная модель Альтмана (1968)</t>
  </si>
  <si>
    <t>Z= 8.38*K1 + 1*K2 + 0.054*K3 + 0.63*K4</t>
  </si>
  <si>
    <t>Z&lt;0 - риск банкротства максимальный (90-100%)</t>
  </si>
  <si>
    <t>0&lt;Z&lt;0.18 - риск банкротства высокий (60-80%)</t>
  </si>
  <si>
    <t>0.18&lt;Z&lt;0.32 - риск банкротства средний (35-50%)</t>
  </si>
  <si>
    <t>0.32&lt;Z&lt;0.42 - риск банкротства низкий (15-20%)</t>
  </si>
  <si>
    <t>Z&gt;0.42 - риск банкротства минимальный (до 10%)</t>
  </si>
  <si>
    <t xml:space="preserve">Z&lt;0.037-банкротство компании очень вероятно
</t>
  </si>
  <si>
    <t>Z&gt;0.037-предприятие финансово устойчивое</t>
  </si>
  <si>
    <t>Модель Савицкой прогнозирования вероятности банкротства (Белорусский государственный экономический университет)</t>
  </si>
  <si>
    <t>Z= 0.111*К1 + 13.23*К2 + 1.67*К3 + 0.515*К4 + 3.8*К5</t>
  </si>
  <si>
    <t>К3 = Выручка / Среднегодовая величина активов</t>
  </si>
  <si>
    <r>
      <t>К</t>
    </r>
    <r>
      <rPr>
        <vertAlign val="subscript"/>
        <sz val="9"/>
        <color rgb="FF212034"/>
        <rFont val="Times New Roman"/>
        <family val="1"/>
        <charset val="204"/>
      </rPr>
      <t>1 </t>
    </r>
    <r>
      <rPr>
        <sz val="9"/>
        <color rgb="FF212034"/>
        <rFont val="Times New Roman"/>
        <family val="1"/>
        <charset val="204"/>
      </rPr>
      <t>= Собственный капитал / Оборотные активы</t>
    </r>
  </si>
  <si>
    <r>
      <t>К</t>
    </r>
    <r>
      <rPr>
        <vertAlign val="subscript"/>
        <sz val="9"/>
        <color rgb="FF212034"/>
        <rFont val="Times New Roman"/>
        <family val="1"/>
        <charset val="204"/>
      </rPr>
      <t>2</t>
    </r>
    <r>
      <rPr>
        <sz val="9"/>
        <color rgb="FF212034"/>
        <rFont val="Times New Roman"/>
        <family val="1"/>
        <charset val="204"/>
      </rPr>
      <t>= Оборотный капитал / Капитал</t>
    </r>
  </si>
  <si>
    <r>
      <t>К</t>
    </r>
    <r>
      <rPr>
        <vertAlign val="subscript"/>
        <sz val="9"/>
        <color rgb="FF212034"/>
        <rFont val="Times New Roman"/>
        <family val="1"/>
        <charset val="204"/>
      </rPr>
      <t>4 </t>
    </r>
    <r>
      <rPr>
        <sz val="9"/>
        <color rgb="FF212034"/>
        <rFont val="Times New Roman"/>
        <family val="1"/>
        <charset val="204"/>
      </rPr>
      <t>= Чистая прибыль / Активы</t>
    </r>
  </si>
  <si>
    <r>
      <t>К</t>
    </r>
    <r>
      <rPr>
        <vertAlign val="subscript"/>
        <sz val="9"/>
        <color rgb="FF212034"/>
        <rFont val="Times New Roman"/>
        <family val="1"/>
        <charset val="204"/>
      </rPr>
      <t>5</t>
    </r>
  </si>
  <si>
    <r>
      <t>К</t>
    </r>
    <r>
      <rPr>
        <vertAlign val="subscript"/>
        <sz val="9"/>
        <color rgb="FF212034"/>
        <rFont val="Times New Roman"/>
        <family val="1"/>
        <charset val="204"/>
      </rPr>
      <t>5 </t>
    </r>
    <r>
      <rPr>
        <sz val="9"/>
        <color rgb="FF212034"/>
        <rFont val="Times New Roman"/>
        <family val="1"/>
        <charset val="204"/>
      </rPr>
      <t>= Собственный капитал / Активы</t>
    </r>
  </si>
  <si>
    <t>Z&gt;8 - риск банкротства отсутствует</t>
  </si>
  <si>
    <t>5&lt;Z&lt;8 - риск банкротства небольшой</t>
  </si>
  <si>
    <t>3&lt;Z&lt;5 - риск банкротства средний</t>
  </si>
  <si>
    <t>1&lt;Z&lt;3 - риск банкротства большой</t>
  </si>
  <si>
    <t>Z&lt;1 - риск банкротства предприятия максимальный</t>
  </si>
  <si>
    <t>срарифм</t>
  </si>
  <si>
    <t>cagr</t>
  </si>
  <si>
    <t>Рекомендуемое значение</t>
  </si>
  <si>
    <t>&gt;0,5</t>
  </si>
  <si>
    <t>Значение показателя ниже 0,5, что говорит о высокой финансовой зависимости и возможном наличии проблем с платежеспособностью</t>
  </si>
  <si>
    <t>К. фининансовой независимости (автономии)=СК/А</t>
  </si>
  <si>
    <t>К. зависимости=О/А</t>
  </si>
  <si>
    <t>Краткочрочные обязательства</t>
  </si>
  <si>
    <t>&lt;0,8</t>
  </si>
  <si>
    <t>Заемные средства составляют примерно 60-65% в структуре капитала, что является на 10-15% выше оптимального значения, но находится в пределах нормы</t>
  </si>
  <si>
    <t>К. соотношения заемного и собственного капитала=ЗК/СК</t>
  </si>
  <si>
    <t>&lt;0,7</t>
  </si>
  <si>
    <t>Значение показателя значительно превышает рекомендуемое, что свидетельствует об усилении зависимости предприятия от внешних инвесторов и кредиторов, сигнализирует о том, что финансовая устойчивость предприятия вызывает сомнение, о росте риска инвесторов</t>
  </si>
  <si>
    <t>К. маневренности=СОК/СК</t>
  </si>
  <si>
    <t>&gt;0,1</t>
  </si>
  <si>
    <t>К. обеспеченности запасов=СОК/З</t>
  </si>
  <si>
    <t>Отрицательное значение говорит о том, что собственные средства организации вложены во внеоборотные активы и на запасы ничего не приходится, это говорит о крайне неустойчивом финансовом положении организации</t>
  </si>
  <si>
    <t>К. обеспеченности собственным оборотным капиталом=СОК/ОА</t>
  </si>
  <si>
    <t>Отрицательные значения говорят о том, что все оборотные, а также часть внеоборотных активов созданы за счет кредитов и различных займов, это свидетельствует о низкой финансовой устойчивости</t>
  </si>
  <si>
    <t>0,2-0,5</t>
  </si>
  <si>
    <t>Отрицательный коэффициент маневренности означает низкую финансовую устойчивость в сочетании с тем, что средства вложены в медленно реализуемые активы (основные средства), а оборотный капитал формировался за счет заемных средств.</t>
  </si>
  <si>
    <t>К. соотношения мобильных и иммобилизованных активов=ОА/ВОА</t>
  </si>
  <si>
    <t>К. имущества производственного назначения=(ВОА+З)/А</t>
  </si>
  <si>
    <t>&gt;0,6</t>
  </si>
  <si>
    <t>Значение показателя выше нормативного, что говорит об отсутствии необходимости привлечения заемных средств для пополнения имущества производственного назначения</t>
  </si>
  <si>
    <t>К. текущей (общей) ликвидности=(ОА)/(КО)</t>
  </si>
  <si>
    <t>&gt;2</t>
  </si>
  <si>
    <t>Значение ниже 1 говорит о высоком финансовом риске, связанном с тем, что предприятие не в состоянии стабильно оплачивать текущие счета</t>
  </si>
  <si>
    <t>&gt;1</t>
  </si>
  <si>
    <t>K. срочной (быстрой) ликвидности=(ДС+КФВ+ДЗ)/(КО)</t>
  </si>
  <si>
    <t>Значение показателя ниже 1, что говорит о неполном покрытии краткосрочных обязательств за счет денежных средств, краткосрочных финансовых вложений и дебиторской задолженности, о неспособность компании погашать свои текущие обязательства в случае возникновения сложностей с реализацией продукции</t>
  </si>
  <si>
    <t>&gt;0,2</t>
  </si>
  <si>
    <t>Значение показателя выше рекомендуемого, что говорит о полном покрытии краткосрочных обязательств за счет денежных средств и краткосрочных финансовых вложений</t>
  </si>
  <si>
    <t>К. абсолютной ликвидности=(ДС+КФВ)/(КО)</t>
  </si>
  <si>
    <t>К. оборачиваемости активов (ресурсоотдача)=В/А</t>
  </si>
  <si>
    <t>К. оборачиваемости собственного капитала=В/СК</t>
  </si>
  <si>
    <t>К. отдачи внеоборотных активов=В/ВНА</t>
  </si>
  <si>
    <t>К. оборачиваемости оборотных активов=В/ОА</t>
  </si>
  <si>
    <t>К. оборачиваемости основных средств (фондоотдача)=В/ОС</t>
  </si>
  <si>
    <t>К. оборачиваемости запасов=В/Запасы</t>
  </si>
  <si>
    <t>К. оборачиваемости перманентного капитала=В/ПК</t>
  </si>
  <si>
    <t>К. оборачиваемости дебиторской задолженности=В/ДЗ</t>
  </si>
  <si>
    <t>К. оборачиваемости кредиторской задолженности=В/КЗ</t>
  </si>
  <si>
    <t>среднее значение</t>
  </si>
  <si>
    <t>Удельный вес</t>
  </si>
  <si>
    <t>Тпр</t>
  </si>
  <si>
    <t>ROS (по EBIT)</t>
  </si>
  <si>
    <t>ROS (по чистой прибыли)</t>
  </si>
  <si>
    <t>К. покрытия процентов=EBIT/проценты к уплате</t>
  </si>
  <si>
    <t>Проценты к уплате</t>
  </si>
  <si>
    <t>Кпп</t>
  </si>
  <si>
    <t>&gt;1,5</t>
  </si>
  <si>
    <t>Чем выше коэффициент покрытия процентов, тем более устойчивое финансовое положении организации, в данном случае прибыль до налогооблажения и вычета амортизации значительно превышает проценты к уплате; данный показатель значительно ухудшился в 2020 году, однако остался на границе нормы</t>
  </si>
  <si>
    <t>Итого</t>
  </si>
  <si>
    <t>Количество акций, шт.</t>
  </si>
  <si>
    <t>ВЫВОД ИТОГОВ</t>
  </si>
  <si>
    <t>Регрессионная статистика</t>
  </si>
  <si>
    <t>Множественный R</t>
  </si>
  <si>
    <t>R-квадрат</t>
  </si>
  <si>
    <t>Нормированный R-квадрат</t>
  </si>
  <si>
    <t>Стандартная ошибка</t>
  </si>
  <si>
    <t>Наблюдения</t>
  </si>
  <si>
    <t>Дисперсионный анализ</t>
  </si>
  <si>
    <t>Регрессия</t>
  </si>
  <si>
    <t>Остаток</t>
  </si>
  <si>
    <t>Y-пересечение</t>
  </si>
  <si>
    <t>df</t>
  </si>
  <si>
    <t>SS</t>
  </si>
  <si>
    <t>MS</t>
  </si>
  <si>
    <t>F</t>
  </si>
  <si>
    <t>Значимость F</t>
  </si>
  <si>
    <t>Коэффициенты</t>
  </si>
  <si>
    <t>t-статистика</t>
  </si>
  <si>
    <t>P-Значение</t>
  </si>
  <si>
    <t>Нижние 95%</t>
  </si>
  <si>
    <t>Верхние 95%</t>
  </si>
  <si>
    <t>Нижние 95,0%</t>
  </si>
  <si>
    <t>Верхние 95,0%</t>
  </si>
  <si>
    <t>&lt;TICKER&gt;</t>
  </si>
  <si>
    <t>&lt;DATE&gt;</t>
  </si>
  <si>
    <t>&lt;CLOSE&gt;</t>
  </si>
  <si>
    <t>ROSN</t>
  </si>
  <si>
    <t>IMOEX</t>
  </si>
  <si>
    <t>Доходность</t>
  </si>
  <si>
    <t>Переменная X 1</t>
  </si>
  <si>
    <t>Rf</t>
  </si>
  <si>
    <t>b</t>
  </si>
  <si>
    <t>Rm</t>
  </si>
  <si>
    <t>Re(CAPM)</t>
  </si>
  <si>
    <t>Кривая бескупонной доходности государственных облигаций | Банк России (cbr.ru)</t>
  </si>
  <si>
    <t>D</t>
  </si>
  <si>
    <t>E</t>
  </si>
  <si>
    <t>D+E</t>
  </si>
  <si>
    <t>Доля D</t>
  </si>
  <si>
    <t>Доля E</t>
  </si>
  <si>
    <t>rd</t>
  </si>
  <si>
    <t>re</t>
  </si>
  <si>
    <t>WACC</t>
  </si>
  <si>
    <t>Рентабельность на капитал=Операционная прибыль после налога (NOPAT)/(СК+ЗК)</t>
  </si>
  <si>
    <t>NOPAT=EBIT*(1-t)</t>
  </si>
  <si>
    <t>ROC</t>
  </si>
  <si>
    <t>Эмитент</t>
  </si>
  <si>
    <t>Тикер</t>
  </si>
  <si>
    <t>Страна</t>
  </si>
  <si>
    <t>P/E</t>
  </si>
  <si>
    <t>P/S</t>
  </si>
  <si>
    <t>EV/EBITDA</t>
  </si>
  <si>
    <t>РФ</t>
  </si>
  <si>
    <t>ПАО «Газпром»</t>
  </si>
  <si>
    <t>GAZP</t>
  </si>
  <si>
    <t>ПАО «ЛУКОЙЛ»</t>
  </si>
  <si>
    <t>LKOH</t>
  </si>
  <si>
    <t>ПАО «НОВАТЭК»</t>
  </si>
  <si>
    <t>NVTK</t>
  </si>
  <si>
    <t>ПАО «Сургутнефтегаз»</t>
  </si>
  <si>
    <t>SNGS</t>
  </si>
  <si>
    <t>ПАО «Татнефть» им. В.Д. Шашина</t>
  </si>
  <si>
    <t>TATN</t>
  </si>
  <si>
    <t>ROE</t>
  </si>
  <si>
    <t>ROS</t>
  </si>
  <si>
    <t>ROA</t>
  </si>
  <si>
    <t>ExxonMobil</t>
  </si>
  <si>
    <t>BP</t>
  </si>
  <si>
    <t>Chevron Corporation</t>
  </si>
  <si>
    <t>Royal Dutch Shell</t>
  </si>
  <si>
    <t>США</t>
  </si>
  <si>
    <t>Великобритания</t>
  </si>
  <si>
    <t>Total</t>
  </si>
  <si>
    <t>Франция</t>
  </si>
  <si>
    <t>Нидерланды</t>
  </si>
  <si>
    <t>Долг, млрд.руб.</t>
  </si>
  <si>
    <t>Денежные средства, млрд.руб.</t>
  </si>
  <si>
    <t>Общие сведения</t>
  </si>
  <si>
    <t>нд</t>
  </si>
  <si>
    <t>XOM</t>
  </si>
  <si>
    <t>Собственнный капитал, млрд.руб</t>
  </si>
  <si>
    <t>Чистая прибыль, млрд.руб</t>
  </si>
  <si>
    <t>Активы, млрд.руб</t>
  </si>
  <si>
    <t xml:space="preserve">Выручка, млрд.руб. </t>
  </si>
  <si>
    <t>Запасы углеводородов, млрд. барр. нефтяного эквивалента на 31.12.2019</t>
  </si>
  <si>
    <t>CVX</t>
  </si>
  <si>
    <t>КУРС ДОЛЛАРА НА 31.12.2020</t>
  </si>
  <si>
    <t>TOT</t>
  </si>
  <si>
    <t>https://finance.yahoo.com</t>
  </si>
  <si>
    <t>EV, млрд.руб.</t>
  </si>
  <si>
    <t xml:space="preserve">Операционная прибыль, млрд.руб. </t>
  </si>
  <si>
    <t>Амортизация, млрд.руб</t>
  </si>
  <si>
    <t>EBITDA, млрд.руб</t>
  </si>
  <si>
    <t>RDS</t>
  </si>
  <si>
    <t>ПРИБЫЛИ</t>
  </si>
  <si>
    <t>Среднее значение</t>
  </si>
  <si>
    <t>Капитализация, млрд.руб. на 21.05.2021</t>
  </si>
  <si>
    <t>Текущая стоимость, руб. (на 21.05.2021)</t>
  </si>
  <si>
    <t>Чистая прибыль «Роснефть», тыс.руб.</t>
  </si>
  <si>
    <t>EBITDA «Роснефть», тыс.руб.</t>
  </si>
  <si>
    <t>КУРС ДОЛЛАРА НА 21.05.2021</t>
  </si>
  <si>
    <t>БАЛАНСОВОЙ СТОИМОСТИ</t>
  </si>
  <si>
    <t>P/BV</t>
  </si>
  <si>
    <t>Долговые обязательства, млрд.руб</t>
  </si>
  <si>
    <t>Чистые активы, млрд.руб.</t>
  </si>
  <si>
    <t>Выручка, млрд.руб</t>
  </si>
  <si>
    <t>Значение цены</t>
  </si>
  <si>
    <t>Стандартное отклонение</t>
  </si>
  <si>
    <t>Вес мультипликатора</t>
  </si>
  <si>
    <t>Мультиплмкатор</t>
  </si>
  <si>
    <t>Коэффициент вариации</t>
  </si>
  <si>
    <t>Российские компании</t>
  </si>
  <si>
    <t>Зарубежные компании</t>
  </si>
  <si>
    <t>В целом по выборке</t>
  </si>
  <si>
    <t>Среднее значение Р/Е по российским компаниям</t>
  </si>
  <si>
    <t>Среднее значение Р/Е по зарубежным компаниям</t>
  </si>
  <si>
    <t>Справедливая стоимость по Р/Е российсхих компаний, руб.</t>
  </si>
  <si>
    <t>Различие внутренней стоимости и текущей по Р/Е российских компаний</t>
  </si>
  <si>
    <t>Справедливая стоимость по Р/Е зарубежных компаний, руб.</t>
  </si>
  <si>
    <t>Среднее значение Р/Е по выборке</t>
  </si>
  <si>
    <t>Справедливая стоимость по Р/Е выборки, руб.</t>
  </si>
  <si>
    <t>Различие внутренней стоимости и текущей по Р/Е выборки</t>
  </si>
  <si>
    <t>Среднее значение EV/EBITDA по российским компаниям</t>
  </si>
  <si>
    <t>Справедливая стоимость по EV/EBITDA российсхих компаний, руб.</t>
  </si>
  <si>
    <t>Различие внутренней стоимости и текущей по EV/EBITDA российских компаний</t>
  </si>
  <si>
    <t>Среднее значение EV/EBITDA по зарубежным компаниям</t>
  </si>
  <si>
    <t>Справедливая стоимость по EV/EBITDA зарубежных компаний, руб.</t>
  </si>
  <si>
    <t>Среднее значение EV/EBITDA по выборке</t>
  </si>
  <si>
    <t>Различие внутренней стоимости и текущей по Р/Е зарубежных компаний</t>
  </si>
  <si>
    <t>Различие внутренней стоимости и текущей по EV/EBITDA зарубежных компаний</t>
  </si>
  <si>
    <t>Справедливая стоимость по EV/EBITDA выборки, руб.</t>
  </si>
  <si>
    <t>Различие внутренней стоимости и текущей по EV/EBITDA выборки</t>
  </si>
  <si>
    <t>Среднее значение P/BV по российским компаниям</t>
  </si>
  <si>
    <t>BV «Роснефть», тыс.руб.</t>
  </si>
  <si>
    <t>Справедливая стоимость по P/BV российсхих компаний, руб.</t>
  </si>
  <si>
    <t>Различие внутренней стоимости и текущей по P/BV российских компаний</t>
  </si>
  <si>
    <t>Среднее значение P/BV по зарубежным компаниям</t>
  </si>
  <si>
    <t>Справедливая стоимость по P/BV зарубежных компаний, руб.</t>
  </si>
  <si>
    <t>Различие внутренней стоимости и текущей по P/BV зарубежных компаний</t>
  </si>
  <si>
    <t>Среднее значение P/BV по выборке</t>
  </si>
  <si>
    <t>Справедливая стоимость по P/BV выборки, руб.</t>
  </si>
  <si>
    <t>Различие внутренней стоимости и текущей по P/BV выборки</t>
  </si>
  <si>
    <t>Среднее значение P/S по российским компаниям</t>
  </si>
  <si>
    <t>S «Роснефть», тыс.руб.</t>
  </si>
  <si>
    <t>Справедливая стоимость по P/S российсхих компаний, руб.</t>
  </si>
  <si>
    <t>Различие внутренней стоимости и текущей по P/S российских компаний</t>
  </si>
  <si>
    <t>Среднее значение P/S по зарубежным компаниям</t>
  </si>
  <si>
    <t>Справедливая стоимость по P/S зарубежных компаний, руб.</t>
  </si>
  <si>
    <t>Различие внутренней стоимости и текущей по P/S зарубежных компаний</t>
  </si>
  <si>
    <t>Среднее значение P/S по выборке</t>
  </si>
  <si>
    <t>Справедливая стоимость по P/S выборки, руб.</t>
  </si>
  <si>
    <t>Различие внутренней стоимости и текущей по P/S выборки</t>
  </si>
  <si>
    <t>Согласование</t>
  </si>
  <si>
    <t>P/E российских</t>
  </si>
  <si>
    <t>P/E выборки</t>
  </si>
  <si>
    <t>EV/EBITDA российских</t>
  </si>
  <si>
    <t>EV/EBITDA зарубежных</t>
  </si>
  <si>
    <t>EV/EBITDA выборки</t>
  </si>
  <si>
    <t>P/BV российских</t>
  </si>
  <si>
    <t>P/BV зарубежных</t>
  </si>
  <si>
    <t>P/BV выборки</t>
  </si>
  <si>
    <t>P/S российских</t>
  </si>
  <si>
    <t>P/S зарубежных</t>
  </si>
  <si>
    <t>P/S выборки</t>
  </si>
  <si>
    <t>ИТОГО ПО СТОЛБЦУ</t>
  </si>
  <si>
    <t>Вес стандартного отклонения</t>
  </si>
  <si>
    <t>Обратная величина к весу стандартного отклонения</t>
  </si>
  <si>
    <t>Справедливая стоимость 1 обыкновенной акции, руб.</t>
  </si>
  <si>
    <t>Различие внутренней стоимости и текущей</t>
  </si>
  <si>
    <t>ПАО «НК «Роснефть»</t>
  </si>
  <si>
    <t>ЧП, млрд.руб</t>
  </si>
  <si>
    <t>Стоимость чистых активов</t>
  </si>
  <si>
    <t>Справедливая стоиость, руб.</t>
  </si>
  <si>
    <t xml:space="preserve">Различие внутренней стоимости и текущей </t>
  </si>
  <si>
    <t>Показатель, тыс.руб.</t>
  </si>
  <si>
    <t>Параметр</t>
  </si>
  <si>
    <t>Подход к оценке</t>
  </si>
  <si>
    <t>Результат расчета, руб.</t>
  </si>
  <si>
    <t>Показатель качества модели, ед.</t>
  </si>
  <si>
    <t>Существенность отличий</t>
  </si>
  <si>
    <t>Диапазон стоимости по двум критериям, ± %</t>
  </si>
  <si>
    <t>Диапазон стоимости, ± %</t>
  </si>
  <si>
    <r>
      <t>Нижняя граница диапазона стоимости (С</t>
    </r>
    <r>
      <rPr>
        <vertAlign val="subscript"/>
        <sz val="9"/>
        <color rgb="FF000000"/>
        <rFont val="Times New Roman"/>
        <family val="1"/>
        <charset val="204"/>
      </rPr>
      <t>min</t>
    </r>
    <r>
      <rPr>
        <sz val="9"/>
        <color rgb="FF000000"/>
        <rFont val="Times New Roman"/>
        <family val="1"/>
        <charset val="204"/>
      </rPr>
      <t>), руб.</t>
    </r>
  </si>
  <si>
    <r>
      <t>Верхняя граница диапазона стоимости (С</t>
    </r>
    <r>
      <rPr>
        <vertAlign val="subscript"/>
        <sz val="9"/>
        <color rgb="FF000000"/>
        <rFont val="Times New Roman"/>
        <family val="1"/>
        <charset val="204"/>
      </rPr>
      <t>max</t>
    </r>
    <r>
      <rPr>
        <sz val="9"/>
        <color rgb="FF000000"/>
        <rFont val="Times New Roman"/>
        <family val="1"/>
        <charset val="204"/>
      </rPr>
      <t>), руб.</t>
    </r>
  </si>
  <si>
    <t>Доходный</t>
  </si>
  <si>
    <t>Сравнительный</t>
  </si>
  <si>
    <t>Весовой коэффициент</t>
  </si>
  <si>
    <t>Итоговая величина стоимости, руб.</t>
  </si>
  <si>
    <t>Отличия существенны, одна имеется пересечение в диапазонах двух подходов [612,51; 724,92]</t>
  </si>
  <si>
    <t>Диапазон стоимости подхода, ± %</t>
  </si>
  <si>
    <t>Границы интервала итоговой величины инвестиционной стоимости</t>
  </si>
  <si>
    <t>Обратная величина стандартного отклонения</t>
  </si>
  <si>
    <t>Расчет средневзвешенной процентоной ставки заемного капитала</t>
  </si>
  <si>
    <t>либор usd 31.12.2020 (12 мес), %</t>
  </si>
  <si>
    <t>Кредиты стр 83</t>
  </si>
  <si>
    <t>[522,25 - 650,15]</t>
  </si>
  <si>
    <t>х</t>
  </si>
  <si>
    <t>ev/ebitda</t>
  </si>
  <si>
    <t>убираем новатэк</t>
  </si>
  <si>
    <t>Мультипликатор Р/Е российских компаний</t>
  </si>
  <si>
    <t>Р/Е</t>
  </si>
  <si>
    <t>убираем новотэк</t>
  </si>
  <si>
    <t>Компания</t>
  </si>
  <si>
    <t>max</t>
  </si>
  <si>
    <t>min</t>
  </si>
  <si>
    <t>mean</t>
  </si>
  <si>
    <t>Sd</t>
  </si>
  <si>
    <t>Tоп min</t>
  </si>
  <si>
    <t>Tоп max</t>
  </si>
  <si>
    <t>Tкрит</t>
  </si>
  <si>
    <t>Стандартное отклонение после исключения выбросов</t>
  </si>
  <si>
    <t>убираем новотэ</t>
  </si>
  <si>
    <t>Стандартное отклонение (после удаления выбросов)</t>
  </si>
  <si>
    <t>,</t>
  </si>
  <si>
    <t>Итого выручка от реализации и доход от совместных и ассоциированных предприятий, тыс.руб</t>
  </si>
  <si>
    <t>Добыча жуд, млн.т</t>
  </si>
  <si>
    <t>Переработка нефти, млн.т</t>
  </si>
  <si>
    <t>Производство нефтепродуктов и нефтехимии, млн.т</t>
  </si>
  <si>
    <t>Реализация нефти за рубежом, млн.т</t>
  </si>
  <si>
    <t>Реализация нефти на внутреннем рынке</t>
  </si>
  <si>
    <t>Реализация нефтепродуктов и нефтехимии за рубежом, млн.т.</t>
  </si>
  <si>
    <t>Реализация нефтепродуктов и нефтехимии на внутреннем рынке, млн.т.</t>
  </si>
  <si>
    <t>Добыча газа</t>
  </si>
  <si>
    <t>Реализация газа в России</t>
  </si>
  <si>
    <t>Реализация газа за рубежом</t>
  </si>
  <si>
    <t>Общий объем реализации нефти, млн.т.</t>
  </si>
  <si>
    <t>За рубеж</t>
  </si>
  <si>
    <t>На внутреннем рынке</t>
  </si>
  <si>
    <t>Общий объем реализации газа, млрд. м3</t>
  </si>
  <si>
    <t>Выручка от реализации газа, тыс.руб.</t>
  </si>
  <si>
    <t>Общий объем реализации нефтепродуктов, млн.т.</t>
  </si>
  <si>
    <t>MDA_RUS_4Q2020.pdf (rosneft.ru)</t>
  </si>
  <si>
    <t>Анализ руководством финансового состояния и результатов деятельности Компании «Роснефть» за четвертый квартал 2018 года и 12 месяцев 2018 года (rosneft.ru)</t>
  </si>
  <si>
    <t>ПРОГНОЗ ОБЪЕМА</t>
  </si>
  <si>
    <t>НЕФТЬ</t>
  </si>
  <si>
    <t>Сценарные условия, основные параметры прогноза социально-экономического развития Российской Федерации и прогнозируемые изменения цен (тарифов) на товары, услуги хозяйствующих субъектов, осуществляющих регулируемые виды деятельности в инфраструктурном секторе, на 2022 год и на плановый период 2023 и 2024 годов | Министерство экономического развития Российской Федерации (economy.gov.ru)</t>
  </si>
  <si>
    <t>Прогноз добычи нефти</t>
  </si>
  <si>
    <t>Сценарные условия, основные параметры прогноза социально-экономического развития Российской Федерации и прогнозируемые изменения цен (тарифов) на товары, услуги хозяйствующих субъектов, осуществляющих регулируемые виды деятельности в инфраструктурном секторе, на 2022 год и на плановый период 2023 и 2024 годов</t>
  </si>
  <si>
    <t>Добыча нефти РФ, млн.т (базовый сценарий)</t>
  </si>
  <si>
    <t>CAGR (2021-2024)</t>
  </si>
  <si>
    <t>Добыча нефти Роснефть, млн.т</t>
  </si>
  <si>
    <t>Доля добычи Роснефти от добычи РФ</t>
  </si>
  <si>
    <t>Средняя доля компании</t>
  </si>
  <si>
    <t>Прогноз переработки нефти</t>
  </si>
  <si>
    <t>Переработка нефти Роснефть, млн.т</t>
  </si>
  <si>
    <t>Доля переработки от добычи</t>
  </si>
  <si>
    <t>Прогноз реализации нефтепродуктов за рубежом по видам подукции</t>
  </si>
  <si>
    <t>Средняя доля переработки</t>
  </si>
  <si>
    <t>Реализация за рубеж, млн.т</t>
  </si>
  <si>
    <t>Дальнее зарубежье (Европа и Азия)</t>
  </si>
  <si>
    <t>Прогноз реализации нефти</t>
  </si>
  <si>
    <t>Автомобильный бензин</t>
  </si>
  <si>
    <t>Добыча нефти, млн.т</t>
  </si>
  <si>
    <t>Средняя величина реализации</t>
  </si>
  <si>
    <t>Реализация нефти, млн.т</t>
  </si>
  <si>
    <t>Нафта</t>
  </si>
  <si>
    <t>Доля реализации от добычи</t>
  </si>
  <si>
    <t>Средняя доля реализации от добычи</t>
  </si>
  <si>
    <t>Дизильное топливо</t>
  </si>
  <si>
    <t>Добыча нефти РФ, млн.т</t>
  </si>
  <si>
    <t>Доля реализации за рубеж</t>
  </si>
  <si>
    <t>Мазут</t>
  </si>
  <si>
    <t>Средняя доля реализации за рубеж</t>
  </si>
  <si>
    <t>Реализация в Европе, млн.т</t>
  </si>
  <si>
    <t>Прочее</t>
  </si>
  <si>
    <t>Доля реализации в Европе от реализации за рубеж</t>
  </si>
  <si>
    <t>Прогноз добычи газа</t>
  </si>
  <si>
    <t>Средняя доля реализации в Европе</t>
  </si>
  <si>
    <t>СНГ</t>
  </si>
  <si>
    <t>Добыча газа РФ, млрд.м3</t>
  </si>
  <si>
    <t>Реализация в Азии, млн.т</t>
  </si>
  <si>
    <t>Добыча газа Роснефть, млрд.м3</t>
  </si>
  <si>
    <t>Доля реализации в Азии от реализации за рубеж</t>
  </si>
  <si>
    <t>Доля добычи Роснефти</t>
  </si>
  <si>
    <t>Средняя доля реализации в Азии</t>
  </si>
  <si>
    <t>Реализация в странах СНГ, млн.т</t>
  </si>
  <si>
    <t>Доля реализации в странах СНГ от реализации за рубеж</t>
  </si>
  <si>
    <t>Средняя доля реализации в странах СНГ</t>
  </si>
  <si>
    <t>Итого реализация по видам продукции на внешнем рынке</t>
  </si>
  <si>
    <t>Реализация на внутреннем рынке, млн.т</t>
  </si>
  <si>
    <t>Доля реализации на внутреннем рынке</t>
  </si>
  <si>
    <t>Средняя доля реализации на внутреннем рынке</t>
  </si>
  <si>
    <t>НЕФТЕПРОДУКТЫ</t>
  </si>
  <si>
    <t>Прогноз производства и реализации нефтепродуктов</t>
  </si>
  <si>
    <t>Производство нефтепродуктов, млн.т</t>
  </si>
  <si>
    <t>Доля производства нефтепродуктов от переработки нефти</t>
  </si>
  <si>
    <t>Средняя доля производства нефтепродуктов</t>
  </si>
  <si>
    <t>Доля реализации в Европе</t>
  </si>
  <si>
    <t>Доля реализации в Азии</t>
  </si>
  <si>
    <t>Доля реализации в странах СНГ</t>
  </si>
  <si>
    <t>Реализация бункерного топлива покупателям, млн.т</t>
  </si>
  <si>
    <t>Доля реализации бункерного топлива покупателям</t>
  </si>
  <si>
    <t>Средняя доля реализации бункерного топлива покупателям</t>
  </si>
  <si>
    <t>Доля реализации на автомобильного бензина</t>
  </si>
  <si>
    <t>Средняя величина реализации автомобильного бензина</t>
  </si>
  <si>
    <t>Х</t>
  </si>
  <si>
    <t>Доля реализации нафты</t>
  </si>
  <si>
    <t>Средняя величина реализации нафты</t>
  </si>
  <si>
    <t>Доля реализации дизельного топлива</t>
  </si>
  <si>
    <t>Средняя величина реализации дизельного топлива</t>
  </si>
  <si>
    <t>Доля реализации мазута</t>
  </si>
  <si>
    <t>Средняя величина реализации мазута</t>
  </si>
  <si>
    <t>Доля реализации прочей продукции</t>
  </si>
  <si>
    <t>Средняя величина реализации прочей продукции</t>
  </si>
  <si>
    <t>Прогноз реализации газа</t>
  </si>
  <si>
    <t>Добыча газа, млрд.м3</t>
  </si>
  <si>
    <t>Реализация газа, млрд. м3</t>
  </si>
  <si>
    <t>ГАЗ</t>
  </si>
  <si>
    <t>Добыча газа РФ, млрд.м3 (базовый сценарий)</t>
  </si>
  <si>
    <t>СРЕДНИЕ ЦЕНЫ РЕАЛИЗАЦИИ</t>
  </si>
  <si>
    <t>Средние цены реализации нефти</t>
  </si>
  <si>
    <t>Среднегодовой курс долл.</t>
  </si>
  <si>
    <t>Минфин дал прогноз по курсу рубля до 2035 года — Финансовые статьи 2021 — Invest-Rating.ru</t>
  </si>
  <si>
    <t>Коэффициент перевода тонны нефти Urals в баррель</t>
  </si>
  <si>
    <t>Европа, тыс.руб./т</t>
  </si>
  <si>
    <t>Европа, $/барр</t>
  </si>
  <si>
    <t>Азия, тыс.руб./т</t>
  </si>
  <si>
    <t>Азия, $/барр</t>
  </si>
  <si>
    <t>СНГ, тыс.руб./т</t>
  </si>
  <si>
    <t>СНГ, $/барр</t>
  </si>
  <si>
    <t>Средняя экспортная цена, $/барр (по данным Минфин)</t>
  </si>
  <si>
    <t>В последний год 7% рост по данным аналитических агенств</t>
  </si>
  <si>
    <t>Год</t>
  </si>
  <si>
    <t>Средняя экспортная цена, $/барр</t>
  </si>
  <si>
    <t>Внутренний рынок, $/барр</t>
  </si>
  <si>
    <t>Внутренний рынок, тыс.руб./т</t>
  </si>
  <si>
    <t>Средние цены реализации нефтепродуктов за рубеж</t>
  </si>
  <si>
    <t>Средняя экспортная цена, тыс.руб./т (по данным Минфин)</t>
  </si>
  <si>
    <t>Автомобильный бензин тыс.руб./т</t>
  </si>
  <si>
    <t>Средняя эксортная цена, $/барр</t>
  </si>
  <si>
    <t>Нафта, тыс.руб./т</t>
  </si>
  <si>
    <t>Дизильное топливо, тыс.руб./т</t>
  </si>
  <si>
    <t>Мазут, тыс.руб./т</t>
  </si>
  <si>
    <t>Прочее средняя цена, тыс.руб./т</t>
  </si>
  <si>
    <t>Прочее, тыс.руб./т</t>
  </si>
  <si>
    <t>Средние цены реализации на внутреннем рынке</t>
  </si>
  <si>
    <t>Европа</t>
  </si>
  <si>
    <t>Керосин, тыс.руб./т</t>
  </si>
  <si>
    <t>Реализация нефтехимии, тыс.руб./т</t>
  </si>
  <si>
    <t>Бункерное топливо, тыс.руб./т</t>
  </si>
  <si>
    <t xml:space="preserve">Автомобильный бензин, млн.т </t>
  </si>
  <si>
    <t xml:space="preserve">Дизильное топливо, млн.т </t>
  </si>
  <si>
    <t xml:space="preserve">Мазут, млн.т </t>
  </si>
  <si>
    <t xml:space="preserve">Керосин, млн.т </t>
  </si>
  <si>
    <t xml:space="preserve">Реализация нефтехимии, млн.т </t>
  </si>
  <si>
    <t>Бункерное топливо, млн.т</t>
  </si>
  <si>
    <t>Средневзвешенная цена, скорректированная на инфляцию 4%</t>
  </si>
  <si>
    <t xml:space="preserve">Прочее, млн.т </t>
  </si>
  <si>
    <t>Средневзвешенная цена</t>
  </si>
  <si>
    <t>Средняя цена</t>
  </si>
  <si>
    <t>Средние цены реализации газа</t>
  </si>
  <si>
    <t xml:space="preserve">Параметры индексации оптовых цен на газ для всех категорий потребителей, включая население, в 2021 году будут сохранены на ранее принятом уровне – 3,0% ежегодно. В 2022–2024 годах ежегодный рост указанных цен также  не превысит 3 процентов. </t>
  </si>
  <si>
    <t>Азия</t>
  </si>
  <si>
    <t xml:space="preserve">Средняя экспортная цена, тыс.руб./тыс м3 </t>
  </si>
  <si>
    <t>Реализация в Европе</t>
  </si>
  <si>
    <t>Реализация в Азии</t>
  </si>
  <si>
    <t>Реализация в странах СНГ</t>
  </si>
  <si>
    <t>Реализация на внутреннем рынке</t>
  </si>
  <si>
    <t>ВЫРУЧКА</t>
  </si>
  <si>
    <t>Показатель, млрд.руб.</t>
  </si>
  <si>
    <t>Реализация нефти</t>
  </si>
  <si>
    <t>на внутреннем рынке</t>
  </si>
  <si>
    <t>в Европе</t>
  </si>
  <si>
    <t>в Азии</t>
  </si>
  <si>
    <t>в СНГ</t>
  </si>
  <si>
    <t>Реализация нефтепродуктов на внешнем рынке</t>
  </si>
  <si>
    <t>Реализация нефтепродуктов на внутреннем рынке</t>
  </si>
  <si>
    <t>Реализация газа</t>
  </si>
  <si>
    <t>ИТОГО ВЫРУЧКА</t>
  </si>
  <si>
    <t>ПРОГНОЗ ОПЕРАЦИОННОЙ ПРИБЫЛИ</t>
  </si>
  <si>
    <t xml:space="preserve"> тыс.руб.</t>
  </si>
  <si>
    <t>Средняя доля от выручки</t>
  </si>
  <si>
    <t>индексация на 3,7%</t>
  </si>
  <si>
    <t>Налоги, кроме налога на прибыль и экспортная пошлина</t>
  </si>
  <si>
    <t>пояснить</t>
  </si>
  <si>
    <t>Операционная прибыль (EBIT)</t>
  </si>
  <si>
    <t>Внутренний рынок</t>
  </si>
  <si>
    <t>Средний период оборота</t>
  </si>
  <si>
    <t>Чистый оборотный капитал = З+ДЗ-КЗ</t>
  </si>
  <si>
    <t>Изменение оборотного капитала</t>
  </si>
  <si>
    <t>ДЕНЕЖНЫЙ ПОТОК</t>
  </si>
  <si>
    <t>Период</t>
  </si>
  <si>
    <t>Постпрогнозный период</t>
  </si>
  <si>
    <t>Затраты и расходы по операционной деятельности</t>
  </si>
  <si>
    <t>Ставка налога на прибыль</t>
  </si>
  <si>
    <t>Чистая операционная прибыль после налогов (NOPAT)</t>
  </si>
  <si>
    <t>Капитальные затраты (CAPEX)</t>
  </si>
  <si>
    <t>Изменения оборотного капитала (∆NWC)</t>
  </si>
  <si>
    <t>Денежный поток (FCFF)</t>
  </si>
  <si>
    <t>Дисконтированный денежный поток (FCFF)</t>
  </si>
  <si>
    <t>Экспортная цена, тыс.руб./т</t>
  </si>
  <si>
    <t>Сумма потоков, руб.</t>
  </si>
  <si>
    <t>Долг, руб.</t>
  </si>
  <si>
    <t>Денежные средства, руб.</t>
  </si>
  <si>
    <t>Чистый долг, руб.</t>
  </si>
  <si>
    <t>Сумма потоков-Чистый долг, руб.</t>
  </si>
  <si>
    <t>Акции, шт.</t>
  </si>
  <si>
    <t>Внутренняя стоимость 1 обыкновенной акции акции в составе 100% пакета, руб.</t>
  </si>
  <si>
    <t>Средняя премия за контроль</t>
  </si>
  <si>
    <t>Скидка за некотрольный пакет</t>
  </si>
  <si>
    <t>Инвестиционная стоимость 1 обыкновенной акции, руб.</t>
  </si>
  <si>
    <t>Текущая стоимость акции (20.05.21), руб.</t>
  </si>
  <si>
    <t>Разница текущей и инвестиционной стоимости (потенциал роста)</t>
  </si>
  <si>
    <t>Автомобильное топливо (экспорт)</t>
  </si>
  <si>
    <t>млрд.руб.</t>
  </si>
  <si>
    <r>
      <t>Изменения оборотного капитала (</t>
    </r>
    <r>
      <rPr>
        <sz val="9"/>
        <rFont val="Calibri"/>
        <family val="2"/>
        <charset val="204"/>
      </rPr>
      <t>∆</t>
    </r>
    <r>
      <rPr>
        <sz val="9"/>
        <rFont val="Times New Roman"/>
        <family val="1"/>
        <charset val="204"/>
      </rPr>
      <t>NWC)</t>
    </r>
  </si>
  <si>
    <t>Нафта (экспорт)</t>
  </si>
  <si>
    <t>Мировой ВВП, трлн.$</t>
  </si>
  <si>
    <t xml:space="preserve">Темп прироста </t>
  </si>
  <si>
    <t>Мировой спрос на нефть, млн.барр./сутки</t>
  </si>
  <si>
    <t>Дизильное топливо (экспорт)</t>
  </si>
  <si>
    <t>Цена на нефть марки Brent, долл. США/барр.</t>
  </si>
  <si>
    <t>Среднее по всем аналитикам (Brent, $/барр.)</t>
  </si>
  <si>
    <t>Медиана по всем аналитикам (Brent, $/барр.)</t>
  </si>
  <si>
    <t>Министерство экономического развития (Urals, $/барр.)</t>
  </si>
  <si>
    <t>Мазут (экспорт)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</si>
</sst>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0\ ;\(#,##0\)\ "/>
    <numFmt numFmtId="165" formatCode="0.000"/>
    <numFmt numFmtId="166" formatCode="_-* #,##0_-;\-* #,##0_-;_-* &quot;-&quot;??_-;_-@_-"/>
    <numFmt numFmtId="167" formatCode="0.0"/>
    <numFmt numFmtId="168" formatCode="#,##0.00\ ;\(#,##0.00\)\ "/>
    <numFmt numFmtId="169" formatCode="0.00000000"/>
    <numFmt numFmtId="170" formatCode="0.0000000"/>
    <numFmt numFmtId="171" formatCode="0.0000"/>
    <numFmt numFmtId="172" formatCode="_-* #,##0.00\ _₽_-;\-* #,##0.00\ _₽_-;_-* &quot;-&quot;??\ _₽_-;_-@_-"/>
    <numFmt numFmtId="173" formatCode="#,##0.000\ ;\(#,##0.000\)\ "/>
    <numFmt numFmtId="174" formatCode="#,##0.000"/>
    <numFmt numFmtId="175" formatCode="_-* #,##0.00000000000_-;\-* #,##0.00000000000_-;_-* &quot;-&quot;??_-;_-@_-"/>
    <numFmt numFmtId="176" formatCode="_-* #,##0\ _₽_-;\-* #,##0\ _₽_-;_-* &quot;-&quot;??\ _₽_-;_-@_-"/>
    <numFmt numFmtId="177" formatCode="#,##0.0\ ;\(#,##0.0\)\ "/>
  </numFmts>
  <fonts count="33"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9"/>
      <color theme="1"/>
      <name val="Times New Roman"/>
      <family val="1"/>
      <charset val="204"/>
    </font>
    <font>
      <b/>
      <sz val="9"/>
      <color theme="1"/>
      <name val="Times New Roman"/>
      <family val="1"/>
      <charset val="204"/>
    </font>
    <font>
      <sz val="8"/>
      <name val="Calibri"/>
      <family val="2"/>
      <scheme val="minor"/>
    </font>
    <font>
      <sz val="9"/>
      <name val="Times New Roman"/>
      <family val="1"/>
      <charset val="204"/>
    </font>
    <font>
      <b/>
      <sz val="9"/>
      <name val="Times New Roman"/>
      <family val="1"/>
      <charset val="204"/>
    </font>
    <font>
      <sz val="11"/>
      <color theme="1"/>
      <name val="Calibri"/>
      <family val="2"/>
      <scheme val="minor"/>
    </font>
    <font>
      <sz val="11"/>
      <color rgb="FF006100"/>
      <name val="Calibri"/>
      <family val="2"/>
      <charset val="204"/>
      <scheme val="minor"/>
    </font>
    <font>
      <b/>
      <sz val="9"/>
      <color rgb="FF000000"/>
      <name val="Times New Roman"/>
      <family val="1"/>
      <charset val="204"/>
    </font>
    <font>
      <sz val="9"/>
      <color rgb="FF222222"/>
      <name val="Times New Roman"/>
      <family val="1"/>
      <charset val="204"/>
    </font>
    <font>
      <sz val="9"/>
      <color rgb="FF212034"/>
      <name val="Times New Roman"/>
      <family val="1"/>
      <charset val="204"/>
    </font>
    <font>
      <vertAlign val="subscript"/>
      <sz val="9"/>
      <color rgb="FF212034"/>
      <name val="Times New Roman"/>
      <family val="1"/>
      <charset val="204"/>
    </font>
    <font>
      <i/>
      <sz val="9"/>
      <color rgb="FF212034"/>
      <name val="Times New Roman"/>
      <family val="1"/>
      <charset val="204"/>
    </font>
    <font>
      <b/>
      <sz val="9"/>
      <color rgb="FF212034"/>
      <name val="Times New Roman"/>
      <family val="1"/>
      <charset val="204"/>
    </font>
    <font>
      <u/>
      <sz val="11"/>
      <color theme="10"/>
      <name val="Calibri"/>
      <family val="2"/>
      <scheme val="minor"/>
    </font>
    <font>
      <sz val="7"/>
      <color rgb="FF444444"/>
      <name val="Arial"/>
      <family val="2"/>
      <charset val="204"/>
    </font>
    <font>
      <i/>
      <sz val="11"/>
      <color theme="1"/>
      <name val="Calibri"/>
      <family val="2"/>
      <scheme val="minor"/>
    </font>
    <font>
      <sz val="10"/>
      <name val="Arial"/>
      <family val="2"/>
      <charset val="204"/>
    </font>
    <font>
      <sz val="8"/>
      <color theme="1"/>
      <name val="Arial"/>
      <family val="2"/>
      <charset val="204"/>
    </font>
    <font>
      <sz val="10"/>
      <name val="Arial"/>
      <family val="2"/>
      <charset val="1"/>
    </font>
    <font>
      <sz val="9"/>
      <color rgb="FF000000"/>
      <name val="Times New Roman"/>
      <family val="1"/>
      <charset val="204"/>
    </font>
    <font>
      <vertAlign val="subscript"/>
      <sz val="9"/>
      <color rgb="FF000000"/>
      <name val="Times New Roman"/>
      <family val="1"/>
      <charset val="204"/>
    </font>
    <font>
      <sz val="11"/>
      <color rgb="FF9C0006"/>
      <name val="Calibri"/>
      <family val="2"/>
      <charset val="204"/>
      <scheme val="minor"/>
    </font>
    <font>
      <sz val="11"/>
      <color rgb="FF9C5700"/>
      <name val="Calibri"/>
      <family val="2"/>
      <charset val="204"/>
      <scheme val="minor"/>
    </font>
    <font>
      <i/>
      <sz val="9"/>
      <color theme="1"/>
      <name val="Times New Roman"/>
      <family val="1"/>
      <charset val="204"/>
    </font>
    <font>
      <sz val="11"/>
      <name val="Calibri"/>
      <family val="2"/>
      <scheme val="minor"/>
    </font>
    <font>
      <i/>
      <sz val="9"/>
      <name val="Times New Roman"/>
      <family val="1"/>
      <charset val="204"/>
    </font>
    <font>
      <sz val="8"/>
      <color theme="1"/>
      <name val="Calibri"/>
      <family val="2"/>
      <scheme val="minor"/>
    </font>
    <font>
      <sz val="9"/>
      <name val="Calibri"/>
      <family val="2"/>
      <charset val="204"/>
    </font>
  </fonts>
  <fills count="12">
    <fill>
      <patternFill patternType="none"/>
    </fill>
    <fill>
      <patternFill patternType="gray125"/>
    </fill>
    <fill>
      <patternFill patternType="solid">
        <fgColor rgb="FFFFFFFF"/>
        <bgColor indexed="64"/>
      </patternFill>
    </fill>
    <fill>
      <patternFill patternType="solid">
        <fgColor rgb="FFC6EFCE"/>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249977111117893"/>
        <bgColor indexed="64"/>
      </patternFill>
    </fill>
    <fill>
      <patternFill patternType="solid">
        <fgColor theme="7" tint="0.39997558519241921"/>
        <bgColor indexed="64"/>
      </patternFill>
    </fill>
    <fill>
      <patternFill patternType="solid">
        <fgColor rgb="FFFFC7CE"/>
      </patternFill>
    </fill>
    <fill>
      <patternFill patternType="solid">
        <fgColor rgb="FFFFEB9C"/>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indexed="64"/>
      </left>
      <right/>
      <top/>
      <bottom style="thin">
        <color indexed="64"/>
      </bottom>
      <diagonal/>
    </border>
    <border>
      <left/>
      <right/>
      <top/>
      <bottom style="thin">
        <color indexed="64"/>
      </bottom>
      <diagonal/>
    </border>
    <border>
      <left/>
      <right style="thin">
        <color auto="1"/>
      </right>
      <top/>
      <bottom style="thin">
        <color auto="1"/>
      </bottom>
      <diagonal/>
    </border>
    <border>
      <left style="thin">
        <color indexed="64"/>
      </left>
      <right/>
      <top/>
      <bottom/>
      <diagonal/>
    </border>
    <border>
      <left style="medium">
        <color rgb="FFE3E8F1"/>
      </left>
      <right style="medium">
        <color rgb="FFE3E8F1"/>
      </right>
      <top style="medium">
        <color rgb="FFE3E8F1"/>
      </top>
      <bottom style="medium">
        <color rgb="FFE3E8F1"/>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bottom/>
      <diagonal/>
    </border>
  </borders>
  <cellStyleXfs count="13">
    <xf numFmtId="0" fontId="0" fillId="0" borderId="0"/>
    <xf numFmtId="43" fontId="10" fillId="0" borderId="0" applyFont="0" applyFill="0" applyBorder="0" applyAlignment="0" applyProtection="0"/>
    <xf numFmtId="0" fontId="11" fillId="3" borderId="0" applyNumberFormat="0" applyBorder="0" applyAlignment="0" applyProtection="0"/>
    <xf numFmtId="0" fontId="4" fillId="0" borderId="0"/>
    <xf numFmtId="0" fontId="18" fillId="0" borderId="0" applyNumberFormat="0" applyFill="0" applyBorder="0" applyAlignment="0" applyProtection="0"/>
    <xf numFmtId="0" fontId="3" fillId="0" borderId="0"/>
    <xf numFmtId="0" fontId="21" fillId="0" borderId="0"/>
    <xf numFmtId="0" fontId="2" fillId="0" borderId="0"/>
    <xf numFmtId="0" fontId="22" fillId="0" borderId="0"/>
    <xf numFmtId="0" fontId="23" fillId="0" borderId="0"/>
    <xf numFmtId="0" fontId="26" fillId="10" borderId="0" applyNumberFormat="0" applyBorder="0" applyAlignment="0" applyProtection="0"/>
    <xf numFmtId="0" fontId="27" fillId="11" borderId="0" applyNumberFormat="0" applyBorder="0" applyAlignment="0" applyProtection="0"/>
    <xf numFmtId="0" fontId="1" fillId="0" borderId="0"/>
  </cellStyleXfs>
  <cellXfs count="295">
    <xf numFmtId="0" fontId="0" fillId="0" borderId="0" xfId="0"/>
    <xf numFmtId="0" fontId="0" fillId="0" borderId="0" xfId="0" applyAlignment="1">
      <alignment horizontal="center"/>
    </xf>
    <xf numFmtId="0" fontId="5" fillId="0" borderId="1" xfId="0" applyFont="1" applyBorder="1"/>
    <xf numFmtId="0" fontId="6" fillId="2" borderId="1" xfId="0" applyFont="1" applyFill="1" applyBorder="1" applyAlignment="1">
      <alignment horizontal="center" vertical="top" wrapText="1"/>
    </xf>
    <xf numFmtId="14" fontId="6" fillId="2" borderId="1" xfId="0" applyNumberFormat="1" applyFont="1" applyFill="1" applyBorder="1" applyAlignment="1">
      <alignment horizontal="center" vertical="top" wrapText="1"/>
    </xf>
    <xf numFmtId="0" fontId="5" fillId="0" borderId="1" xfId="0" applyFont="1" applyBorder="1" applyAlignment="1">
      <alignment horizontal="center"/>
    </xf>
    <xf numFmtId="164" fontId="5" fillId="2" borderId="1" xfId="0" applyNumberFormat="1" applyFont="1" applyFill="1" applyBorder="1" applyAlignment="1">
      <alignment horizontal="left" vertical="top" wrapText="1"/>
    </xf>
    <xf numFmtId="164" fontId="5" fillId="2" borderId="1" xfId="0" applyNumberFormat="1" applyFont="1" applyFill="1" applyBorder="1" applyAlignment="1">
      <alignment horizontal="right" vertical="top" wrapText="1"/>
    </xf>
    <xf numFmtId="164" fontId="6" fillId="2" borderId="1" xfId="0" applyNumberFormat="1" applyFont="1" applyFill="1" applyBorder="1" applyAlignment="1">
      <alignment horizontal="left" vertical="top" wrapText="1"/>
    </xf>
    <xf numFmtId="164" fontId="6" fillId="2" borderId="1" xfId="0" applyNumberFormat="1" applyFont="1" applyFill="1" applyBorder="1" applyAlignment="1">
      <alignment horizontal="right" vertical="top" wrapText="1"/>
    </xf>
    <xf numFmtId="164" fontId="5" fillId="0" borderId="1" xfId="0" applyNumberFormat="1" applyFont="1" applyBorder="1" applyAlignment="1">
      <alignment horizontal="center"/>
    </xf>
    <xf numFmtId="164" fontId="5" fillId="2" borderId="1" xfId="0" quotePrefix="1" applyNumberFormat="1" applyFont="1" applyFill="1" applyBorder="1" applyAlignment="1">
      <alignment horizontal="right" vertical="top" wrapText="1"/>
    </xf>
    <xf numFmtId="164" fontId="6" fillId="2" borderId="1" xfId="0" applyNumberFormat="1" applyFont="1" applyFill="1" applyBorder="1" applyAlignment="1">
      <alignment horizontal="center" vertical="top" wrapText="1"/>
    </xf>
    <xf numFmtId="0" fontId="5" fillId="0" borderId="0" xfId="0" applyFont="1" applyAlignment="1">
      <alignment horizontal="center"/>
    </xf>
    <xf numFmtId="164" fontId="5" fillId="2" borderId="1" xfId="0" applyNumberFormat="1" applyFont="1" applyFill="1" applyBorder="1" applyAlignment="1">
      <alignment horizontal="center" vertical="top" wrapText="1"/>
    </xf>
    <xf numFmtId="0" fontId="6" fillId="0" borderId="1" xfId="0" applyFont="1" applyBorder="1" applyAlignment="1">
      <alignment horizontal="center" vertical="center"/>
    </xf>
    <xf numFmtId="0" fontId="6" fillId="2" borderId="1" xfId="0" applyFont="1" applyFill="1" applyBorder="1" applyAlignment="1">
      <alignment horizontal="center" vertical="center" wrapText="1"/>
    </xf>
    <xf numFmtId="14" fontId="6" fillId="2" borderId="1" xfId="0" applyNumberFormat="1" applyFont="1" applyFill="1" applyBorder="1" applyAlignment="1">
      <alignment horizontal="center" vertical="center" wrapText="1"/>
    </xf>
    <xf numFmtId="10" fontId="5" fillId="0" borderId="1" xfId="0" applyNumberFormat="1" applyFont="1" applyBorder="1" applyAlignment="1">
      <alignment horizontal="center"/>
    </xf>
    <xf numFmtId="10" fontId="5" fillId="2" borderId="1" xfId="0" applyNumberFormat="1" applyFont="1" applyFill="1" applyBorder="1" applyAlignment="1">
      <alignment horizontal="center" vertical="top" wrapText="1"/>
    </xf>
    <xf numFmtId="0" fontId="9" fillId="2" borderId="1" xfId="0" applyFont="1" applyFill="1" applyBorder="1" applyAlignment="1">
      <alignment horizontal="center" vertical="top" wrapText="1"/>
    </xf>
    <xf numFmtId="164" fontId="9" fillId="2" borderId="1" xfId="0" applyNumberFormat="1" applyFont="1" applyFill="1" applyBorder="1" applyAlignment="1">
      <alignment horizontal="left" vertical="top" wrapText="1"/>
    </xf>
    <xf numFmtId="164" fontId="9" fillId="2" borderId="1" xfId="0" applyNumberFormat="1" applyFont="1" applyFill="1" applyBorder="1" applyAlignment="1">
      <alignment horizontal="center" vertical="top" wrapText="1"/>
    </xf>
    <xf numFmtId="0" fontId="8" fillId="0" borderId="1" xfId="0" applyFont="1" applyBorder="1" applyAlignment="1">
      <alignment horizontal="center"/>
    </xf>
    <xf numFmtId="0" fontId="8" fillId="0" borderId="0" xfId="0" applyFont="1" applyAlignment="1">
      <alignment horizontal="center"/>
    </xf>
    <xf numFmtId="164" fontId="8" fillId="2" borderId="1" xfId="0" applyNumberFormat="1" applyFont="1" applyFill="1" applyBorder="1" applyAlignment="1">
      <alignment horizontal="center" vertical="top" wrapText="1"/>
    </xf>
    <xf numFmtId="0" fontId="9"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2" borderId="6" xfId="0" applyFont="1" applyFill="1" applyBorder="1" applyAlignment="1">
      <alignment horizontal="left" vertical="top" wrapText="1"/>
    </xf>
    <xf numFmtId="164" fontId="8" fillId="2" borderId="6" xfId="0" applyNumberFormat="1" applyFont="1" applyFill="1" applyBorder="1" applyAlignment="1">
      <alignment horizontal="center" vertical="top" wrapText="1"/>
    </xf>
    <xf numFmtId="10" fontId="8" fillId="2" borderId="1" xfId="0" applyNumberFormat="1" applyFont="1" applyFill="1" applyBorder="1" applyAlignment="1">
      <alignment horizontal="center" vertical="top" wrapText="1"/>
    </xf>
    <xf numFmtId="10" fontId="9" fillId="2" borderId="1" xfId="0" applyNumberFormat="1" applyFont="1" applyFill="1" applyBorder="1" applyAlignment="1">
      <alignment horizontal="center" vertical="top" wrapText="1"/>
    </xf>
    <xf numFmtId="164" fontId="9" fillId="2" borderId="5" xfId="0" applyNumberFormat="1" applyFont="1" applyFill="1" applyBorder="1" applyAlignment="1">
      <alignment horizontal="center" vertical="top" wrapText="1"/>
    </xf>
    <xf numFmtId="0" fontId="9" fillId="2" borderId="5" xfId="0" applyFont="1" applyFill="1" applyBorder="1" applyAlignment="1">
      <alignment horizontal="left" vertical="top" wrapText="1"/>
    </xf>
    <xf numFmtId="10" fontId="8" fillId="0" borderId="1" xfId="0" applyNumberFormat="1" applyFont="1" applyBorder="1" applyAlignment="1">
      <alignment horizontal="center"/>
    </xf>
    <xf numFmtId="0" fontId="9" fillId="0" borderId="1" xfId="0" applyFont="1" applyBorder="1" applyAlignment="1">
      <alignment horizontal="center"/>
    </xf>
    <xf numFmtId="10" fontId="9" fillId="0" borderId="1" xfId="0" applyNumberFormat="1" applyFont="1" applyBorder="1" applyAlignment="1">
      <alignment horizontal="center"/>
    </xf>
    <xf numFmtId="164" fontId="0" fillId="0" borderId="0" xfId="0" applyNumberFormat="1"/>
    <xf numFmtId="0" fontId="5" fillId="0" borderId="0" xfId="0" applyFont="1"/>
    <xf numFmtId="3" fontId="5" fillId="0" borderId="7" xfId="0" applyNumberFormat="1" applyFont="1" applyBorder="1" applyAlignment="1">
      <alignment horizontal="center"/>
    </xf>
    <xf numFmtId="3" fontId="5" fillId="0" borderId="1" xfId="0" applyNumberFormat="1" applyFont="1" applyBorder="1" applyAlignment="1">
      <alignment horizontal="center"/>
    </xf>
    <xf numFmtId="0" fontId="6" fillId="0" borderId="1" xfId="0" applyFont="1" applyBorder="1" applyAlignment="1">
      <alignment horizontal="center"/>
    </xf>
    <xf numFmtId="3" fontId="6" fillId="0" borderId="1" xfId="0" applyNumberFormat="1" applyFont="1" applyBorder="1" applyAlignment="1">
      <alignment horizontal="center"/>
    </xf>
    <xf numFmtId="0" fontId="6" fillId="0" borderId="0" xfId="0" applyFont="1" applyAlignment="1">
      <alignment horizontal="center"/>
    </xf>
    <xf numFmtId="3" fontId="6" fillId="0" borderId="0" xfId="0" applyNumberFormat="1" applyFont="1" applyAlignment="1">
      <alignment horizontal="center"/>
    </xf>
    <xf numFmtId="3" fontId="5" fillId="0" borderId="0" xfId="0" applyNumberFormat="1" applyFont="1"/>
    <xf numFmtId="0" fontId="5" fillId="0" borderId="5" xfId="0" applyFont="1" applyBorder="1" applyAlignment="1">
      <alignment horizontal="center"/>
    </xf>
    <xf numFmtId="3" fontId="5" fillId="0" borderId="8" xfId="0" applyNumberFormat="1" applyFont="1" applyBorder="1" applyAlignment="1">
      <alignment horizontal="center"/>
    </xf>
    <xf numFmtId="0" fontId="12" fillId="0" borderId="1" xfId="0" applyFont="1" applyBorder="1" applyAlignment="1">
      <alignment horizontal="center"/>
    </xf>
    <xf numFmtId="3" fontId="12" fillId="0" borderId="1" xfId="0" applyNumberFormat="1" applyFont="1" applyBorder="1" applyAlignment="1">
      <alignment horizontal="center"/>
    </xf>
    <xf numFmtId="165" fontId="6" fillId="0" borderId="1" xfId="0" applyNumberFormat="1" applyFont="1" applyBorder="1" applyAlignment="1">
      <alignment horizontal="center"/>
    </xf>
    <xf numFmtId="0" fontId="5" fillId="0" borderId="1" xfId="0" applyFont="1" applyBorder="1" applyAlignment="1">
      <alignment horizontal="center" wrapText="1"/>
    </xf>
    <xf numFmtId="166" fontId="13" fillId="0" borderId="1" xfId="1" applyNumberFormat="1" applyFont="1" applyBorder="1" applyAlignment="1">
      <alignment horizontal="center" wrapText="1"/>
    </xf>
    <xf numFmtId="166" fontId="5" fillId="0" borderId="1" xfId="1" applyNumberFormat="1" applyFont="1" applyBorder="1" applyAlignment="1">
      <alignment horizontal="center"/>
    </xf>
    <xf numFmtId="166" fontId="5" fillId="0" borderId="0" xfId="0" applyNumberFormat="1" applyFont="1" applyAlignment="1">
      <alignment horizontal="center"/>
    </xf>
    <xf numFmtId="3" fontId="5" fillId="0" borderId="1" xfId="0" applyNumberFormat="1" applyFont="1" applyBorder="1" applyAlignment="1">
      <alignment horizontal="center" wrapText="1"/>
    </xf>
    <xf numFmtId="1" fontId="6" fillId="0" borderId="1" xfId="0" applyNumberFormat="1" applyFont="1" applyBorder="1" applyAlignment="1">
      <alignment horizontal="center"/>
    </xf>
    <xf numFmtId="10" fontId="6" fillId="0" borderId="1" xfId="0" applyNumberFormat="1" applyFont="1" applyBorder="1" applyAlignment="1">
      <alignment horizontal="center"/>
    </xf>
    <xf numFmtId="165" fontId="5" fillId="0" borderId="1" xfId="0" applyNumberFormat="1" applyFont="1" applyBorder="1" applyAlignment="1">
      <alignment horizontal="center" wrapText="1"/>
    </xf>
    <xf numFmtId="0" fontId="14" fillId="0" borderId="1" xfId="0" applyFont="1" applyBorder="1" applyAlignment="1">
      <alignment horizontal="center" vertical="center" wrapText="1"/>
    </xf>
    <xf numFmtId="0" fontId="17" fillId="0" borderId="16" xfId="0" applyFont="1" applyBorder="1" applyAlignment="1">
      <alignment vertical="center" wrapText="1"/>
    </xf>
    <xf numFmtId="0" fontId="16" fillId="0" borderId="16" xfId="0" applyFont="1" applyBorder="1" applyAlignment="1">
      <alignment vertical="center" wrapText="1"/>
    </xf>
    <xf numFmtId="0" fontId="16" fillId="0" borderId="16" xfId="0" applyFont="1" applyBorder="1" applyAlignment="1">
      <alignment horizontal="center" vertical="center" wrapText="1"/>
    </xf>
    <xf numFmtId="10" fontId="8" fillId="0" borderId="0" xfId="0" applyNumberFormat="1" applyFont="1" applyAlignment="1">
      <alignment horizontal="center"/>
    </xf>
    <xf numFmtId="2" fontId="8" fillId="0" borderId="0" xfId="0" applyNumberFormat="1" applyFont="1" applyAlignment="1">
      <alignment horizontal="center"/>
    </xf>
    <xf numFmtId="166" fontId="8" fillId="0" borderId="0" xfId="1" applyNumberFormat="1" applyFont="1" applyAlignment="1">
      <alignment horizontal="center"/>
    </xf>
    <xf numFmtId="0" fontId="13" fillId="0" borderId="1" xfId="0" applyFont="1" applyBorder="1" applyAlignment="1">
      <alignment horizontal="center" wrapText="1"/>
    </xf>
    <xf numFmtId="10" fontId="0" fillId="0" borderId="0" xfId="0" applyNumberFormat="1"/>
    <xf numFmtId="0" fontId="5" fillId="0" borderId="15" xfId="0" applyFont="1" applyBorder="1" applyAlignment="1">
      <alignment horizontal="left" wrapText="1"/>
    </xf>
    <xf numFmtId="0" fontId="5" fillId="0" borderId="0" xfId="0" applyFont="1" applyAlignment="1">
      <alignment horizontal="left" wrapText="1"/>
    </xf>
    <xf numFmtId="165" fontId="5" fillId="0" borderId="1" xfId="0" applyNumberFormat="1" applyFont="1" applyBorder="1" applyAlignment="1">
      <alignment horizontal="center"/>
    </xf>
    <xf numFmtId="0" fontId="5" fillId="0" borderId="12" xfId="0" applyFont="1" applyBorder="1" applyAlignment="1">
      <alignment horizontal="center" wrapText="1"/>
    </xf>
    <xf numFmtId="0" fontId="5" fillId="0" borderId="13" xfId="0" applyFont="1" applyBorder="1" applyAlignment="1">
      <alignment horizontal="center" wrapText="1"/>
    </xf>
    <xf numFmtId="0" fontId="5" fillId="0" borderId="14" xfId="0" applyFont="1" applyBorder="1" applyAlignment="1">
      <alignment horizontal="center" wrapText="1"/>
    </xf>
    <xf numFmtId="0" fontId="9" fillId="2" borderId="1" xfId="0" applyFont="1" applyFill="1" applyBorder="1" applyAlignment="1">
      <alignment horizontal="center" vertical="center" wrapText="1"/>
    </xf>
    <xf numFmtId="1" fontId="6" fillId="0" borderId="1" xfId="0" applyNumberFormat="1" applyFont="1" applyBorder="1" applyAlignment="1">
      <alignment horizontal="center" vertical="center"/>
    </xf>
    <xf numFmtId="1" fontId="9" fillId="0" borderId="1" xfId="0" applyNumberFormat="1" applyFont="1" applyBorder="1" applyAlignment="1">
      <alignment horizontal="center" vertical="center"/>
    </xf>
    <xf numFmtId="0" fontId="8" fillId="2" borderId="1" xfId="0" applyFont="1" applyFill="1" applyBorder="1" applyAlignment="1">
      <alignment horizontal="left" vertical="center" wrapText="1"/>
    </xf>
    <xf numFmtId="164" fontId="8" fillId="2" borderId="6" xfId="0" applyNumberFormat="1" applyFont="1" applyFill="1" applyBorder="1" applyAlignment="1">
      <alignment horizontal="center" vertical="center" wrapText="1"/>
    </xf>
    <xf numFmtId="10" fontId="5" fillId="0" borderId="1" xfId="0" applyNumberFormat="1" applyFont="1" applyBorder="1" applyAlignment="1">
      <alignment horizontal="center" vertical="center"/>
    </xf>
    <xf numFmtId="10" fontId="8" fillId="0" borderId="1" xfId="0" applyNumberFormat="1" applyFont="1" applyBorder="1" applyAlignment="1">
      <alignment horizontal="center" vertical="center"/>
    </xf>
    <xf numFmtId="164" fontId="8" fillId="2" borderId="1" xfId="0" applyNumberFormat="1" applyFont="1" applyFill="1" applyBorder="1" applyAlignment="1">
      <alignment horizontal="center" vertical="center" wrapText="1"/>
    </xf>
    <xf numFmtId="0" fontId="9" fillId="2" borderId="1" xfId="0" applyFont="1" applyFill="1" applyBorder="1" applyAlignment="1">
      <alignment horizontal="left" vertical="center" wrapText="1"/>
    </xf>
    <xf numFmtId="164" fontId="9" fillId="2" borderId="1" xfId="0" applyNumberFormat="1" applyFont="1" applyFill="1" applyBorder="1" applyAlignment="1">
      <alignment horizontal="center" vertical="center" wrapText="1"/>
    </xf>
    <xf numFmtId="10" fontId="6" fillId="0" borderId="1" xfId="0" applyNumberFormat="1" applyFont="1" applyBorder="1" applyAlignment="1">
      <alignment horizontal="center" vertical="center"/>
    </xf>
    <xf numFmtId="10" fontId="9" fillId="0" borderId="1" xfId="0" applyNumberFormat="1" applyFont="1" applyBorder="1" applyAlignment="1">
      <alignment horizontal="center" vertical="center"/>
    </xf>
    <xf numFmtId="0" fontId="8" fillId="2" borderId="6" xfId="0" applyFont="1" applyFill="1" applyBorder="1" applyAlignment="1">
      <alignment horizontal="left" vertical="center" wrapText="1"/>
    </xf>
    <xf numFmtId="164" fontId="9" fillId="2" borderId="1" xfId="0" applyNumberFormat="1" applyFont="1" applyFill="1" applyBorder="1" applyAlignment="1">
      <alignment horizontal="left" vertical="center" wrapText="1"/>
    </xf>
    <xf numFmtId="164" fontId="6" fillId="2" borderId="1" xfId="0" applyNumberFormat="1" applyFont="1" applyFill="1" applyBorder="1" applyAlignment="1">
      <alignment horizontal="center" vertical="center" wrapText="1"/>
    </xf>
    <xf numFmtId="0" fontId="9" fillId="2" borderId="5" xfId="0" applyFont="1" applyFill="1" applyBorder="1" applyAlignment="1">
      <alignment horizontal="left" vertical="center" wrapText="1"/>
    </xf>
    <xf numFmtId="164" fontId="9" fillId="2" borderId="5" xfId="0" applyNumberFormat="1" applyFont="1" applyFill="1" applyBorder="1" applyAlignment="1">
      <alignment horizontal="center" vertical="center" wrapText="1"/>
    </xf>
    <xf numFmtId="0" fontId="5" fillId="0" borderId="1" xfId="0" applyFont="1" applyBorder="1" applyAlignment="1">
      <alignment horizontal="center" vertical="center"/>
    </xf>
    <xf numFmtId="164" fontId="8" fillId="0" borderId="0" xfId="0" applyNumberFormat="1" applyFont="1" applyAlignment="1">
      <alignment horizontal="center"/>
    </xf>
    <xf numFmtId="3" fontId="0" fillId="0" borderId="0" xfId="0" applyNumberFormat="1"/>
    <xf numFmtId="3" fontId="19" fillId="0" borderId="0" xfId="0" applyNumberFormat="1" applyFont="1"/>
    <xf numFmtId="2" fontId="0" fillId="0" borderId="0" xfId="0" applyNumberFormat="1"/>
    <xf numFmtId="0" fontId="0" fillId="0" borderId="17" xfId="0" applyBorder="1"/>
    <xf numFmtId="0" fontId="20" fillId="0" borderId="18" xfId="0" applyFont="1" applyBorder="1" applyAlignment="1">
      <alignment horizontal="center"/>
    </xf>
    <xf numFmtId="0" fontId="20" fillId="0" borderId="18" xfId="0" applyFont="1" applyBorder="1" applyAlignment="1">
      <alignment horizontal="centerContinuous"/>
    </xf>
    <xf numFmtId="0" fontId="18" fillId="0" borderId="0" xfId="4"/>
    <xf numFmtId="0" fontId="0" fillId="7" borderId="0" xfId="0" applyFill="1"/>
    <xf numFmtId="0" fontId="0" fillId="7" borderId="17" xfId="0" applyFill="1" applyBorder="1"/>
    <xf numFmtId="2" fontId="5" fillId="0" borderId="1" xfId="0" applyNumberFormat="1" applyFont="1" applyBorder="1" applyAlignment="1">
      <alignment horizontal="center"/>
    </xf>
    <xf numFmtId="14" fontId="0" fillId="0" borderId="0" xfId="0" applyNumberFormat="1"/>
    <xf numFmtId="10" fontId="5" fillId="0" borderId="0" xfId="0" applyNumberFormat="1" applyFont="1"/>
    <xf numFmtId="0" fontId="5" fillId="7" borderId="0" xfId="0" applyFont="1" applyFill="1"/>
    <xf numFmtId="2" fontId="5" fillId="0" borderId="1" xfId="0" applyNumberFormat="1" applyFont="1" applyBorder="1"/>
    <xf numFmtId="2" fontId="5" fillId="0" borderId="0" xfId="0" applyNumberFormat="1" applyFont="1"/>
    <xf numFmtId="0" fontId="6" fillId="0" borderId="1" xfId="0" applyFont="1" applyBorder="1"/>
    <xf numFmtId="0" fontId="5" fillId="0" borderId="1" xfId="0" applyFont="1" applyBorder="1" applyAlignment="1">
      <alignment horizontal="center" vertical="center" wrapText="1"/>
    </xf>
    <xf numFmtId="2" fontId="5" fillId="0" borderId="1" xfId="0" applyNumberFormat="1" applyFont="1" applyBorder="1" applyAlignment="1">
      <alignment horizontal="center" vertical="center"/>
    </xf>
    <xf numFmtId="2" fontId="24" fillId="0" borderId="1" xfId="0" applyNumberFormat="1" applyFont="1" applyBorder="1" applyAlignment="1">
      <alignment horizontal="center" vertical="center"/>
    </xf>
    <xf numFmtId="1" fontId="5" fillId="0" borderId="1" xfId="0" applyNumberFormat="1" applyFont="1" applyBorder="1" applyAlignment="1">
      <alignment horizontal="center" vertical="center"/>
    </xf>
    <xf numFmtId="1" fontId="8" fillId="0" borderId="1" xfId="9" applyNumberFormat="1"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2" fontId="5" fillId="6" borderId="1" xfId="0" applyNumberFormat="1" applyFont="1" applyFill="1" applyBorder="1" applyAlignment="1">
      <alignment horizontal="center"/>
    </xf>
    <xf numFmtId="2" fontId="24" fillId="6" borderId="1" xfId="0" applyNumberFormat="1" applyFont="1" applyFill="1" applyBorder="1" applyAlignment="1">
      <alignment horizontal="center" vertical="center"/>
    </xf>
    <xf numFmtId="10" fontId="24" fillId="6" borderId="1" xfId="0" applyNumberFormat="1" applyFont="1" applyFill="1" applyBorder="1" applyAlignment="1">
      <alignment horizontal="center" vertical="center"/>
    </xf>
    <xf numFmtId="164" fontId="8" fillId="0" borderId="5" xfId="0" applyNumberFormat="1" applyFont="1" applyBorder="1" applyAlignment="1">
      <alignment horizontal="center" vertical="top" wrapText="1"/>
    </xf>
    <xf numFmtId="168" fontId="8" fillId="0" borderId="5" xfId="0" applyNumberFormat="1" applyFont="1" applyBorder="1" applyAlignment="1">
      <alignment horizontal="center" vertical="top" wrapText="1"/>
    </xf>
    <xf numFmtId="168" fontId="9" fillId="0" borderId="5" xfId="0" applyNumberFormat="1" applyFont="1" applyBorder="1" applyAlignment="1">
      <alignment horizontal="center" vertical="top" wrapText="1"/>
    </xf>
    <xf numFmtId="10" fontId="9" fillId="0" borderId="5" xfId="0" applyNumberFormat="1" applyFont="1" applyBorder="1" applyAlignment="1">
      <alignment horizontal="center" vertical="top" wrapText="1"/>
    </xf>
    <xf numFmtId="164" fontId="5" fillId="2" borderId="1" xfId="0" applyNumberFormat="1" applyFont="1" applyFill="1" applyBorder="1" applyAlignment="1">
      <alignment vertical="top" wrapText="1"/>
    </xf>
    <xf numFmtId="164" fontId="6" fillId="2" borderId="1" xfId="0" applyNumberFormat="1" applyFont="1" applyFill="1" applyBorder="1" applyAlignment="1">
      <alignment vertical="top" wrapText="1"/>
    </xf>
    <xf numFmtId="164" fontId="8" fillId="0" borderId="1" xfId="0" applyNumberFormat="1" applyFont="1" applyBorder="1" applyAlignment="1">
      <alignment horizontal="center" vertical="top" wrapText="1"/>
    </xf>
    <xf numFmtId="168" fontId="9" fillId="0" borderId="1" xfId="0" applyNumberFormat="1" applyFont="1" applyBorder="1" applyAlignment="1">
      <alignment horizontal="center" vertical="top" wrapText="1"/>
    </xf>
    <xf numFmtId="10" fontId="9" fillId="0" borderId="1" xfId="0" applyNumberFormat="1" applyFont="1" applyBorder="1" applyAlignment="1">
      <alignment horizontal="center" vertical="top" wrapText="1"/>
    </xf>
    <xf numFmtId="164" fontId="9" fillId="0" borderId="1" xfId="0" applyNumberFormat="1" applyFont="1" applyBorder="1" applyAlignment="1">
      <alignment horizontal="center" vertical="top" wrapText="1"/>
    </xf>
    <xf numFmtId="0" fontId="24" fillId="2" borderId="1" xfId="0" applyFont="1" applyFill="1" applyBorder="1" applyAlignment="1">
      <alignment vertical="center" wrapText="1"/>
    </xf>
    <xf numFmtId="0" fontId="24" fillId="2" borderId="1" xfId="0" applyFont="1" applyFill="1" applyBorder="1" applyAlignment="1">
      <alignment horizontal="center" vertical="center" wrapText="1"/>
    </xf>
    <xf numFmtId="0" fontId="24" fillId="2" borderId="1" xfId="0" applyFont="1" applyFill="1" applyBorder="1" applyAlignment="1">
      <alignment horizontal="justify" vertical="center" wrapText="1"/>
    </xf>
    <xf numFmtId="2" fontId="24" fillId="2" borderId="1" xfId="0" applyNumberFormat="1" applyFont="1" applyFill="1" applyBorder="1" applyAlignment="1">
      <alignment horizontal="center" vertical="center" wrapText="1"/>
    </xf>
    <xf numFmtId="167" fontId="24" fillId="2" borderId="1" xfId="0" applyNumberFormat="1" applyFont="1" applyFill="1" applyBorder="1" applyAlignment="1">
      <alignment horizontal="center" vertical="center" wrapText="1"/>
    </xf>
    <xf numFmtId="4" fontId="24" fillId="2" borderId="1" xfId="0" applyNumberFormat="1" applyFont="1" applyFill="1" applyBorder="1" applyAlignment="1">
      <alignment horizontal="center" vertical="center" wrapText="1"/>
    </xf>
    <xf numFmtId="0" fontId="24" fillId="0" borderId="1" xfId="0" applyFont="1" applyBorder="1" applyAlignment="1">
      <alignment horizontal="center" vertical="center" wrapText="1"/>
    </xf>
    <xf numFmtId="169" fontId="5" fillId="0" borderId="0" xfId="0" applyNumberFormat="1" applyFont="1"/>
    <xf numFmtId="170" fontId="5" fillId="0" borderId="0" xfId="0" applyNumberFormat="1" applyFont="1"/>
    <xf numFmtId="165" fontId="24" fillId="2" borderId="1" xfId="0" applyNumberFormat="1" applyFont="1" applyFill="1" applyBorder="1" applyAlignment="1">
      <alignment horizontal="center" vertical="center" wrapText="1"/>
    </xf>
    <xf numFmtId="171" fontId="5" fillId="0" borderId="1" xfId="0" applyNumberFormat="1" applyFont="1" applyBorder="1" applyAlignment="1">
      <alignment horizontal="center"/>
    </xf>
    <xf numFmtId="0" fontId="0" fillId="8" borderId="0" xfId="0" applyFill="1"/>
    <xf numFmtId="10" fontId="0" fillId="8" borderId="0" xfId="0" applyNumberFormat="1" applyFill="1"/>
    <xf numFmtId="1" fontId="0" fillId="8" borderId="0" xfId="0" applyNumberFormat="1" applyFill="1"/>
    <xf numFmtId="0" fontId="0" fillId="9" borderId="0" xfId="0" applyFill="1"/>
    <xf numFmtId="2" fontId="5" fillId="7" borderId="0" xfId="0" applyNumberFormat="1" applyFont="1" applyFill="1"/>
    <xf numFmtId="164" fontId="5" fillId="0" borderId="2" xfId="0" applyNumberFormat="1" applyFont="1" applyBorder="1" applyAlignment="1">
      <alignment horizontal="center"/>
    </xf>
    <xf numFmtId="164" fontId="5" fillId="0" borderId="3" xfId="0" applyNumberFormat="1"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164" fontId="5" fillId="0" borderId="4" xfId="0" applyNumberFormat="1" applyFont="1" applyBorder="1" applyAlignment="1">
      <alignment horizontal="center"/>
    </xf>
    <xf numFmtId="0" fontId="5" fillId="0" borderId="4" xfId="0" applyFont="1" applyBorder="1" applyAlignment="1">
      <alignment horizontal="center"/>
    </xf>
    <xf numFmtId="164" fontId="5" fillId="0" borderId="1" xfId="0" applyNumberFormat="1" applyFont="1" applyBorder="1" applyAlignment="1">
      <alignment horizontal="center"/>
    </xf>
    <xf numFmtId="0" fontId="5" fillId="0" borderId="1" xfId="0" applyFont="1" applyBorder="1" applyAlignment="1">
      <alignment horizontal="center"/>
    </xf>
    <xf numFmtId="164" fontId="9" fillId="0" borderId="2" xfId="0" applyNumberFormat="1" applyFont="1" applyBorder="1" applyAlignment="1">
      <alignment horizontal="left"/>
    </xf>
    <xf numFmtId="164" fontId="9" fillId="0" borderId="3" xfId="0" applyNumberFormat="1" applyFont="1" applyBorder="1" applyAlignment="1">
      <alignment horizontal="left"/>
    </xf>
    <xf numFmtId="164" fontId="9" fillId="0" borderId="4" xfId="0" applyNumberFormat="1" applyFont="1" applyBorder="1" applyAlignment="1">
      <alignment horizontal="left"/>
    </xf>
    <xf numFmtId="164" fontId="9" fillId="0" borderId="2" xfId="0" applyNumberFormat="1" applyFont="1" applyBorder="1" applyAlignment="1">
      <alignment horizontal="left" vertical="center" wrapText="1"/>
    </xf>
    <xf numFmtId="164" fontId="9" fillId="0" borderId="3" xfId="0" applyNumberFormat="1" applyFont="1" applyBorder="1" applyAlignment="1">
      <alignment horizontal="left" vertical="center" wrapText="1"/>
    </xf>
    <xf numFmtId="164" fontId="9" fillId="0" borderId="4" xfId="0" applyNumberFormat="1" applyFont="1" applyBorder="1" applyAlignment="1">
      <alignment horizontal="left" vertical="center" wrapText="1"/>
    </xf>
    <xf numFmtId="0" fontId="6" fillId="0" borderId="1" xfId="0" applyFont="1" applyBorder="1" applyAlignment="1">
      <alignment horizontal="center" vertical="center"/>
    </xf>
    <xf numFmtId="0" fontId="5" fillId="0" borderId="1" xfId="0" applyFont="1" applyBorder="1" applyAlignment="1">
      <alignment horizontal="center" vertical="top" wrapText="1"/>
    </xf>
    <xf numFmtId="0" fontId="5" fillId="0" borderId="1" xfId="0" applyFont="1" applyBorder="1" applyAlignment="1">
      <alignment horizontal="center" vertical="center" wrapText="1"/>
    </xf>
    <xf numFmtId="0" fontId="5" fillId="0" borderId="1" xfId="0" applyFont="1" applyBorder="1" applyAlignment="1">
      <alignment horizontal="center" wrapText="1"/>
    </xf>
    <xf numFmtId="0" fontId="13" fillId="0" borderId="1" xfId="0" applyFont="1" applyBorder="1" applyAlignment="1">
      <alignment horizontal="center" wrapText="1"/>
    </xf>
    <xf numFmtId="0" fontId="5" fillId="0" borderId="9" xfId="0" applyFont="1" applyBorder="1" applyAlignment="1">
      <alignment horizontal="center" wrapText="1"/>
    </xf>
    <xf numFmtId="0" fontId="5" fillId="0" borderId="10" xfId="0" applyFont="1" applyBorder="1" applyAlignment="1">
      <alignment horizontal="center" wrapText="1"/>
    </xf>
    <xf numFmtId="0" fontId="5" fillId="0" borderId="11" xfId="0" applyFont="1" applyBorder="1" applyAlignment="1">
      <alignment horizontal="center" wrapText="1"/>
    </xf>
    <xf numFmtId="0" fontId="5" fillId="0" borderId="12" xfId="0" applyFont="1" applyBorder="1" applyAlignment="1">
      <alignment horizontal="center" wrapText="1"/>
    </xf>
    <xf numFmtId="0" fontId="5" fillId="0" borderId="13" xfId="0" applyFont="1" applyBorder="1" applyAlignment="1">
      <alignment horizontal="center" wrapText="1"/>
    </xf>
    <xf numFmtId="0" fontId="5" fillId="0" borderId="14" xfId="0" applyFont="1" applyBorder="1" applyAlignment="1">
      <alignment horizont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8" fillId="4" borderId="6" xfId="2" applyFont="1" applyFill="1" applyBorder="1" applyAlignment="1">
      <alignment horizontal="center" vertical="center" wrapText="1"/>
    </xf>
    <xf numFmtId="0" fontId="8" fillId="4" borderId="1" xfId="2" applyFont="1" applyFill="1" applyBorder="1" applyAlignment="1">
      <alignment horizontal="center" vertical="center" wrapText="1"/>
    </xf>
    <xf numFmtId="2" fontId="6" fillId="0" borderId="2" xfId="0" applyNumberFormat="1" applyFont="1" applyBorder="1" applyAlignment="1">
      <alignment horizontal="center"/>
    </xf>
    <xf numFmtId="2" fontId="6" fillId="0" borderId="3" xfId="0" applyNumberFormat="1" applyFont="1" applyBorder="1" applyAlignment="1">
      <alignment horizontal="center"/>
    </xf>
    <xf numFmtId="2" fontId="6" fillId="0" borderId="4" xfId="0" applyNumberFormat="1" applyFont="1" applyBorder="1" applyAlignment="1">
      <alignment horizontal="center"/>
    </xf>
    <xf numFmtId="0" fontId="5" fillId="0" borderId="15" xfId="0" applyFont="1" applyBorder="1" applyAlignment="1">
      <alignment horizontal="left" wrapText="1"/>
    </xf>
    <xf numFmtId="0" fontId="5" fillId="0" borderId="0" xfId="0" applyFont="1" applyAlignment="1">
      <alignment horizontal="left" wrapText="1"/>
    </xf>
    <xf numFmtId="0" fontId="5" fillId="0" borderId="0" xfId="0" applyFont="1"/>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6" borderId="2" xfId="0" applyFont="1" applyFill="1" applyBorder="1" applyAlignment="1">
      <alignment horizontal="center"/>
    </xf>
    <xf numFmtId="0" fontId="5" fillId="6" borderId="3" xfId="0" applyFont="1" applyFill="1" applyBorder="1" applyAlignment="1">
      <alignment horizontal="center"/>
    </xf>
    <xf numFmtId="0" fontId="5" fillId="6" borderId="4" xfId="0" applyFont="1" applyFill="1" applyBorder="1" applyAlignment="1">
      <alignment horizontal="center"/>
    </xf>
    <xf numFmtId="0" fontId="5" fillId="0" borderId="1" xfId="0" applyFont="1" applyBorder="1" applyAlignment="1">
      <alignment horizontal="center" vertical="center"/>
    </xf>
    <xf numFmtId="0" fontId="5" fillId="6" borderId="1" xfId="0" applyFont="1" applyFill="1" applyBorder="1" applyAlignment="1">
      <alignment horizontal="center"/>
    </xf>
    <xf numFmtId="0" fontId="5" fillId="2" borderId="1" xfId="0" applyFont="1" applyFill="1" applyBorder="1" applyAlignment="1">
      <alignment horizontal="center" vertical="center" wrapText="1"/>
    </xf>
    <xf numFmtId="0" fontId="5" fillId="0" borderId="6" xfId="0" applyFont="1" applyBorder="1" applyAlignment="1">
      <alignment horizontal="center" wrapText="1"/>
    </xf>
    <xf numFmtId="0" fontId="5" fillId="0" borderId="19" xfId="0" applyFont="1" applyBorder="1" applyAlignment="1">
      <alignment horizontal="center" wrapText="1"/>
    </xf>
    <xf numFmtId="0" fontId="5" fillId="0" borderId="5" xfId="0" applyFont="1" applyBorder="1" applyAlignment="1">
      <alignment horizontal="center" wrapText="1"/>
    </xf>
    <xf numFmtId="0" fontId="5" fillId="2" borderId="6"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0" fillId="0" borderId="0" xfId="0"/>
    <xf numFmtId="0" fontId="24" fillId="0" borderId="2" xfId="0" applyFont="1" applyBorder="1" applyAlignment="1">
      <alignment horizontal="center" vertical="center" wrapText="1"/>
    </xf>
    <xf numFmtId="0" fontId="24" fillId="0" borderId="4" xfId="0" applyFont="1" applyBorder="1" applyAlignment="1">
      <alignment horizontal="center" vertical="center" wrapText="1"/>
    </xf>
    <xf numFmtId="0" fontId="24" fillId="2" borderId="1"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4" xfId="0" applyFont="1" applyFill="1" applyBorder="1" applyAlignment="1">
      <alignment horizontal="center" vertical="center" wrapText="1"/>
    </xf>
    <xf numFmtId="4" fontId="24" fillId="2" borderId="2" xfId="0" applyNumberFormat="1" applyFont="1" applyFill="1" applyBorder="1" applyAlignment="1">
      <alignment horizontal="center" vertical="center" wrapText="1"/>
    </xf>
    <xf numFmtId="4" fontId="24" fillId="2" borderId="4" xfId="0" applyNumberFormat="1" applyFont="1" applyFill="1" applyBorder="1" applyAlignment="1">
      <alignment horizontal="center" vertical="center" wrapText="1"/>
    </xf>
    <xf numFmtId="2" fontId="24" fillId="2" borderId="2" xfId="0" applyNumberFormat="1" applyFont="1" applyFill="1" applyBorder="1" applyAlignment="1">
      <alignment horizontal="center" vertical="center" wrapText="1"/>
    </xf>
    <xf numFmtId="2" fontId="24" fillId="2" borderId="4" xfId="0" applyNumberFormat="1" applyFont="1" applyFill="1" applyBorder="1" applyAlignment="1">
      <alignment horizontal="center" vertical="center" wrapText="1"/>
    </xf>
    <xf numFmtId="0" fontId="8" fillId="0" borderId="1" xfId="0" applyFont="1" applyBorder="1" applyAlignment="1">
      <alignment horizontal="left"/>
    </xf>
    <xf numFmtId="0" fontId="8" fillId="0" borderId="0" xfId="0" applyFont="1" applyAlignment="1">
      <alignment horizontal="left"/>
    </xf>
    <xf numFmtId="0" fontId="0" fillId="0" borderId="1" xfId="0" applyBorder="1"/>
    <xf numFmtId="167" fontId="0" fillId="0" borderId="1" xfId="0" applyNumberFormat="1" applyBorder="1"/>
    <xf numFmtId="0" fontId="0" fillId="0" borderId="1" xfId="0" applyBorder="1" applyAlignment="1">
      <alignment horizontal="right"/>
    </xf>
    <xf numFmtId="166" fontId="0" fillId="0" borderId="0" xfId="1" applyNumberFormat="1" applyFont="1"/>
    <xf numFmtId="0" fontId="1" fillId="0" borderId="1" xfId="0" applyFont="1" applyBorder="1"/>
    <xf numFmtId="166" fontId="0" fillId="0" borderId="1" xfId="1" applyNumberFormat="1" applyFont="1" applyBorder="1"/>
    <xf numFmtId="10" fontId="0" fillId="0" borderId="1" xfId="0" applyNumberFormat="1" applyBorder="1"/>
    <xf numFmtId="167" fontId="0" fillId="0" borderId="0" xfId="0" applyNumberFormat="1"/>
    <xf numFmtId="10" fontId="27" fillId="11" borderId="0" xfId="11" applyNumberFormat="1"/>
    <xf numFmtId="0" fontId="5" fillId="0" borderId="1" xfId="0" applyFont="1" applyBorder="1" applyAlignment="1">
      <alignment horizontal="left"/>
    </xf>
    <xf numFmtId="167" fontId="5" fillId="0" borderId="1" xfId="0" applyNumberFormat="1" applyFont="1" applyBorder="1" applyAlignment="1">
      <alignment horizontal="center"/>
    </xf>
    <xf numFmtId="167" fontId="5" fillId="0" borderId="1" xfId="12" applyNumberFormat="1" applyFont="1" applyBorder="1" applyAlignment="1">
      <alignment horizontal="center" vertical="center"/>
    </xf>
    <xf numFmtId="0" fontId="27" fillId="11" borderId="0" xfId="11"/>
    <xf numFmtId="167" fontId="6" fillId="0" borderId="1" xfId="0" applyNumberFormat="1" applyFont="1" applyBorder="1" applyAlignment="1">
      <alignment horizontal="center"/>
    </xf>
    <xf numFmtId="172" fontId="0" fillId="0" borderId="0" xfId="0" applyNumberFormat="1"/>
    <xf numFmtId="0" fontId="26" fillId="10" borderId="0" xfId="10"/>
    <xf numFmtId="0" fontId="28" fillId="0" borderId="1" xfId="0" applyFont="1" applyBorder="1" applyAlignment="1">
      <alignment horizontal="left"/>
    </xf>
    <xf numFmtId="165" fontId="5" fillId="6" borderId="1" xfId="0" applyNumberFormat="1" applyFont="1" applyFill="1" applyBorder="1" applyAlignment="1">
      <alignment horizontal="center" vertical="center"/>
    </xf>
    <xf numFmtId="172" fontId="5" fillId="0" borderId="1" xfId="0" applyNumberFormat="1" applyFont="1" applyBorder="1" applyAlignment="1">
      <alignment horizontal="center"/>
    </xf>
    <xf numFmtId="0" fontId="5" fillId="5" borderId="1" xfId="0" applyFont="1" applyFill="1" applyBorder="1" applyAlignment="1">
      <alignment horizontal="center"/>
    </xf>
    <xf numFmtId="167" fontId="5" fillId="5" borderId="1" xfId="0" applyNumberFormat="1" applyFont="1" applyFill="1" applyBorder="1" applyAlignment="1">
      <alignment horizontal="center"/>
    </xf>
    <xf numFmtId="165" fontId="5" fillId="6" borderId="2" xfId="0" applyNumberFormat="1" applyFont="1" applyFill="1" applyBorder="1" applyAlignment="1">
      <alignment horizontal="center"/>
    </xf>
    <xf numFmtId="165" fontId="5" fillId="6" borderId="3" xfId="0" applyNumberFormat="1" applyFont="1" applyFill="1" applyBorder="1" applyAlignment="1">
      <alignment horizontal="center"/>
    </xf>
    <xf numFmtId="165" fontId="5" fillId="6" borderId="4" xfId="0" applyNumberFormat="1" applyFont="1" applyFill="1" applyBorder="1" applyAlignment="1">
      <alignment horizontal="center"/>
    </xf>
    <xf numFmtId="167" fontId="5" fillId="4" borderId="1" xfId="0" applyNumberFormat="1" applyFont="1" applyFill="1" applyBorder="1" applyAlignment="1">
      <alignment horizontal="center" vertical="center"/>
    </xf>
    <xf numFmtId="165" fontId="5" fillId="4" borderId="1" xfId="0" applyNumberFormat="1" applyFont="1" applyFill="1" applyBorder="1" applyAlignment="1">
      <alignment horizontal="center" vertical="center"/>
    </xf>
    <xf numFmtId="2" fontId="5" fillId="5" borderId="1" xfId="0" applyNumberFormat="1" applyFont="1" applyFill="1" applyBorder="1" applyAlignment="1">
      <alignment horizontal="center"/>
    </xf>
    <xf numFmtId="167" fontId="6" fillId="5" borderId="1" xfId="0" applyNumberFormat="1" applyFont="1" applyFill="1" applyBorder="1" applyAlignment="1">
      <alignment horizontal="center"/>
    </xf>
    <xf numFmtId="167" fontId="5" fillId="6" borderId="2" xfId="0" applyNumberFormat="1" applyFont="1" applyFill="1" applyBorder="1" applyAlignment="1">
      <alignment horizontal="center"/>
    </xf>
    <xf numFmtId="167" fontId="5" fillId="6" borderId="3" xfId="0" applyNumberFormat="1" applyFont="1" applyFill="1" applyBorder="1" applyAlignment="1">
      <alignment horizontal="center"/>
    </xf>
    <xf numFmtId="167" fontId="5" fillId="6" borderId="4" xfId="0" applyNumberFormat="1" applyFont="1" applyFill="1" applyBorder="1" applyAlignment="1">
      <alignment horizontal="center"/>
    </xf>
    <xf numFmtId="10" fontId="5" fillId="5" borderId="15" xfId="0" applyNumberFormat="1" applyFont="1" applyFill="1" applyBorder="1" applyAlignment="1">
      <alignment horizontal="center"/>
    </xf>
    <xf numFmtId="0" fontId="5" fillId="0" borderId="0" xfId="0" applyFont="1" applyAlignment="1">
      <alignment horizontal="left"/>
    </xf>
    <xf numFmtId="167" fontId="28" fillId="0" borderId="1" xfId="0" applyNumberFormat="1" applyFont="1" applyBorder="1" applyAlignment="1">
      <alignment horizontal="center"/>
    </xf>
    <xf numFmtId="167" fontId="28" fillId="6" borderId="1" xfId="0" applyNumberFormat="1" applyFont="1" applyFill="1" applyBorder="1" applyAlignment="1">
      <alignment horizontal="center"/>
    </xf>
    <xf numFmtId="167" fontId="5" fillId="6" borderId="1" xfId="0" applyNumberFormat="1" applyFont="1" applyFill="1" applyBorder="1" applyAlignment="1">
      <alignment horizontal="center"/>
    </xf>
    <xf numFmtId="167" fontId="5" fillId="6" borderId="1" xfId="0" applyNumberFormat="1" applyFont="1" applyFill="1" applyBorder="1" applyAlignment="1">
      <alignment horizontal="center"/>
    </xf>
    <xf numFmtId="0" fontId="29" fillId="7" borderId="0" xfId="0" applyFont="1" applyFill="1"/>
    <xf numFmtId="0" fontId="5" fillId="0" borderId="19" xfId="0" applyFont="1" applyBorder="1" applyAlignment="1">
      <alignment horizontal="left"/>
    </xf>
    <xf numFmtId="0" fontId="26" fillId="10" borderId="0" xfId="10" applyAlignment="1">
      <alignment wrapText="1"/>
    </xf>
    <xf numFmtId="0" fontId="0" fillId="0" borderId="0" xfId="0" applyAlignment="1">
      <alignment horizontal="left" wrapText="1"/>
    </xf>
    <xf numFmtId="0" fontId="0" fillId="0" borderId="0" xfId="0" applyAlignment="1">
      <alignment horizontal="left"/>
    </xf>
    <xf numFmtId="167" fontId="5" fillId="4" borderId="1" xfId="0" applyNumberFormat="1" applyFont="1" applyFill="1" applyBorder="1" applyAlignment="1">
      <alignment horizontal="center"/>
    </xf>
    <xf numFmtId="0" fontId="5" fillId="4" borderId="1" xfId="0" applyFont="1" applyFill="1" applyBorder="1" applyAlignment="1">
      <alignment horizontal="center"/>
    </xf>
    <xf numFmtId="0" fontId="6" fillId="0" borderId="1" xfId="0" applyFont="1" applyBorder="1" applyAlignment="1">
      <alignment horizontal="left"/>
    </xf>
    <xf numFmtId="164" fontId="9" fillId="4" borderId="1" xfId="0" applyNumberFormat="1" applyFont="1" applyFill="1" applyBorder="1" applyAlignment="1">
      <alignment horizontal="center" vertical="top" wrapText="1"/>
    </xf>
    <xf numFmtId="164" fontId="8" fillId="4" borderId="1" xfId="0" applyNumberFormat="1" applyFont="1" applyFill="1" applyBorder="1" applyAlignment="1">
      <alignment horizontal="center" vertical="top" wrapText="1"/>
    </xf>
    <xf numFmtId="0" fontId="30" fillId="2" borderId="1" xfId="0" applyFont="1" applyFill="1" applyBorder="1" applyAlignment="1">
      <alignment horizontal="left" vertical="top" wrapText="1"/>
    </xf>
    <xf numFmtId="173" fontId="8" fillId="6" borderId="2" xfId="0" applyNumberFormat="1" applyFont="1" applyFill="1" applyBorder="1" applyAlignment="1">
      <alignment horizontal="center" vertical="top" wrapText="1"/>
    </xf>
    <xf numFmtId="173" fontId="8" fillId="6" borderId="3" xfId="0" applyNumberFormat="1" applyFont="1" applyFill="1" applyBorder="1" applyAlignment="1">
      <alignment horizontal="center" vertical="top" wrapText="1"/>
    </xf>
    <xf numFmtId="173" fontId="8" fillId="6" borderId="4" xfId="0" applyNumberFormat="1" applyFont="1" applyFill="1" applyBorder="1" applyAlignment="1">
      <alignment horizontal="center" vertical="top" wrapText="1"/>
    </xf>
    <xf numFmtId="173" fontId="8" fillId="4" borderId="1" xfId="0" applyNumberFormat="1" applyFont="1" applyFill="1" applyBorder="1" applyAlignment="1">
      <alignment horizontal="center" vertical="top" wrapText="1"/>
    </xf>
    <xf numFmtId="165" fontId="5" fillId="6" borderId="1" xfId="0" applyNumberFormat="1" applyFont="1" applyFill="1" applyBorder="1" applyAlignment="1">
      <alignment horizontal="center"/>
    </xf>
    <xf numFmtId="0" fontId="11" fillId="3" borderId="0" xfId="2"/>
    <xf numFmtId="0" fontId="20" fillId="0" borderId="0" xfId="0" applyFont="1" applyAlignment="1">
      <alignment horizontal="center"/>
    </xf>
    <xf numFmtId="164" fontId="6" fillId="4" borderId="1" xfId="0" applyNumberFormat="1" applyFont="1" applyFill="1" applyBorder="1" applyAlignment="1">
      <alignment horizontal="center" vertical="top" wrapText="1"/>
    </xf>
    <xf numFmtId="164" fontId="9" fillId="4" borderId="5" xfId="0" applyNumberFormat="1" applyFont="1" applyFill="1" applyBorder="1" applyAlignment="1">
      <alignment horizontal="center" vertical="top" wrapText="1"/>
    </xf>
    <xf numFmtId="10" fontId="26" fillId="10" borderId="0" xfId="10" applyNumberFormat="1"/>
    <xf numFmtId="174" fontId="0" fillId="0" borderId="0" xfId="0" applyNumberFormat="1"/>
    <xf numFmtId="9" fontId="0" fillId="0" borderId="0" xfId="0" applyNumberFormat="1"/>
    <xf numFmtId="164" fontId="8" fillId="5" borderId="1" xfId="0" applyNumberFormat="1" applyFont="1" applyFill="1" applyBorder="1" applyAlignment="1">
      <alignment horizontal="center" vertical="top" wrapText="1"/>
    </xf>
    <xf numFmtId="168" fontId="8" fillId="6" borderId="1" xfId="0" applyNumberFormat="1" applyFont="1" applyFill="1" applyBorder="1" applyAlignment="1">
      <alignment horizontal="center" vertical="top" wrapText="1"/>
    </xf>
    <xf numFmtId="0" fontId="0" fillId="0" borderId="1" xfId="0" applyBorder="1" applyAlignment="1">
      <alignment horizontal="center"/>
    </xf>
    <xf numFmtId="164" fontId="8" fillId="2" borderId="1" xfId="0" applyNumberFormat="1" applyFont="1" applyFill="1" applyBorder="1" applyAlignment="1">
      <alignment horizontal="left" vertical="top" wrapText="1"/>
    </xf>
    <xf numFmtId="164" fontId="5" fillId="0" borderId="1" xfId="0" applyNumberFormat="1" applyFont="1" applyBorder="1" applyAlignment="1">
      <alignment horizontal="center" vertical="top" wrapText="1"/>
    </xf>
    <xf numFmtId="10" fontId="8" fillId="0" borderId="1" xfId="0" applyNumberFormat="1" applyFont="1" applyBorder="1" applyAlignment="1">
      <alignment horizontal="center" vertical="top" wrapText="1"/>
    </xf>
    <xf numFmtId="166" fontId="0" fillId="0" borderId="0" xfId="0" applyNumberFormat="1"/>
    <xf numFmtId="166" fontId="5" fillId="0" borderId="1" xfId="0" applyNumberFormat="1" applyFont="1" applyBorder="1" applyAlignment="1">
      <alignment horizontal="center"/>
    </xf>
    <xf numFmtId="1" fontId="0" fillId="0" borderId="0" xfId="0" applyNumberFormat="1"/>
    <xf numFmtId="0" fontId="0" fillId="0" borderId="19" xfId="0" applyBorder="1"/>
    <xf numFmtId="2" fontId="6" fillId="0" borderId="1" xfId="0" applyNumberFormat="1" applyFont="1" applyBorder="1" applyAlignment="1">
      <alignment horizontal="center"/>
    </xf>
    <xf numFmtId="2" fontId="0" fillId="0" borderId="1" xfId="0" applyNumberFormat="1" applyBorder="1"/>
    <xf numFmtId="175" fontId="0" fillId="0" borderId="0" xfId="0" applyNumberFormat="1"/>
    <xf numFmtId="176" fontId="0" fillId="0" borderId="0" xfId="0" applyNumberFormat="1"/>
    <xf numFmtId="166" fontId="31" fillId="0" borderId="0" xfId="1" applyNumberFormat="1" applyFont="1"/>
    <xf numFmtId="177" fontId="0" fillId="0" borderId="0" xfId="0" applyNumberFormat="1"/>
    <xf numFmtId="177" fontId="8" fillId="5" borderId="1" xfId="0" applyNumberFormat="1" applyFont="1" applyFill="1" applyBorder="1" applyAlignment="1">
      <alignment horizontal="center" vertical="top" wrapText="1"/>
    </xf>
    <xf numFmtId="0" fontId="8" fillId="2" borderId="5" xfId="0" applyFont="1" applyFill="1" applyBorder="1" applyAlignment="1">
      <alignment horizontal="left" vertical="top" wrapText="1"/>
    </xf>
    <xf numFmtId="177" fontId="9" fillId="5" borderId="1" xfId="0" applyNumberFormat="1" applyFont="1" applyFill="1" applyBorder="1" applyAlignment="1">
      <alignment horizontal="center" vertical="top" wrapText="1"/>
    </xf>
    <xf numFmtId="167" fontId="5" fillId="5" borderId="19" xfId="0" applyNumberFormat="1" applyFont="1" applyFill="1" applyBorder="1" applyAlignment="1">
      <alignment horizontal="center"/>
    </xf>
    <xf numFmtId="10" fontId="5" fillId="5" borderId="1" xfId="0" applyNumberFormat="1" applyFont="1" applyFill="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left"/>
    </xf>
    <xf numFmtId="167" fontId="1" fillId="0" borderId="1" xfId="0" applyNumberFormat="1" applyFont="1" applyBorder="1" applyAlignment="1">
      <alignment horizontal="center"/>
    </xf>
  </cellXfs>
  <cellStyles count="13">
    <cellStyle name="Normal 2" xfId="9" xr:uid="{EBC3B398-7902-4CFC-B485-A2EEB1F0DA52}"/>
    <cellStyle name="Гиперссылка" xfId="4" builtinId="8"/>
    <cellStyle name="Нейтральный" xfId="11" builtinId="28"/>
    <cellStyle name="Обычный" xfId="0" builtinId="0"/>
    <cellStyle name="Обычный 140 3" xfId="5" xr:uid="{3AB241CC-EB3F-469C-84B8-17C367E1748B}"/>
    <cellStyle name="Обычный 140 3 2" xfId="7" xr:uid="{4BF078C6-084B-4CA3-8BD4-3A3A960B5843}"/>
    <cellStyle name="Обычный 140 3 3" xfId="12" xr:uid="{83646BF3-BE8A-4DE5-B300-7630C47A844B}"/>
    <cellStyle name="Обычный 2" xfId="6" xr:uid="{E782A8A2-A462-465A-B983-469345DA8805}"/>
    <cellStyle name="Обычный 3" xfId="3" xr:uid="{C6143642-F7BC-4CC7-A510-DEB9E3945913}"/>
    <cellStyle name="Обычный 5" xfId="8" xr:uid="{BFD0F2F4-E104-44D8-B7E3-BC21374C8072}"/>
    <cellStyle name="Плохой" xfId="10" builtinId="27"/>
    <cellStyle name="Финансовый" xfId="1" builtinId="3"/>
    <cellStyle name="Хороший" xfId="2"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48-4402-A191-DF980F4E97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48-4402-A191-DF980F4E97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48-4402-A191-DF980F4E97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48-4402-A191-DF980F4E97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C48-4402-A191-DF980F4E979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C48-4402-A191-DF980F4E979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C48-4402-A191-DF980F4E979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C48-4402-A191-DF980F4E979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'Доходный подход'!$O$207:$O$214</c:f>
              <c:strCache>
                <c:ptCount val="8"/>
                <c:pt idx="0">
                  <c:v>Производственные и операционные расходы</c:v>
                </c:pt>
                <c:pt idx="1">
                  <c:v>Стоимость приобретенной нефти, газа, нефтепродуктов и услуг по переработке нефти</c:v>
                </c:pt>
                <c:pt idx="2">
                  <c:v>Общехозяйственные и административные расходы</c:v>
                </c:pt>
                <c:pt idx="3">
                  <c:v>Тарифы за пользование нефтепроводом и расходы на транспортировку</c:v>
                </c:pt>
                <c:pt idx="4">
                  <c:v>Затраты, связанные с разведкой запасов нефти и газа</c:v>
                </c:pt>
                <c:pt idx="5">
                  <c:v>Износ, истощение и амортизация</c:v>
                </c:pt>
                <c:pt idx="6">
                  <c:v>Налоги, кроме налога на прибыль и экспортная пошлина</c:v>
                </c:pt>
                <c:pt idx="7">
                  <c:v>Операционная прибыль (EBIT)</c:v>
                </c:pt>
              </c:strCache>
            </c:strRef>
          </c:cat>
          <c:val>
            <c:numRef>
              <c:f>'Доходный подход'!$P$207:$P$214</c:f>
              <c:numCache>
                <c:formatCode>0.00%</c:formatCode>
                <c:ptCount val="8"/>
                <c:pt idx="0">
                  <c:v>9.862576480365004E-2</c:v>
                </c:pt>
                <c:pt idx="1">
                  <c:v>0.1432767854603374</c:v>
                </c:pt>
                <c:pt idx="2">
                  <c:v>2.3496010658566172E-2</c:v>
                </c:pt>
                <c:pt idx="3">
                  <c:v>9.3962690049659278E-2</c:v>
                </c:pt>
                <c:pt idx="4">
                  <c:v>1.925711221106483E-3</c:v>
                </c:pt>
                <c:pt idx="5">
                  <c:v>9.2217306997287168E-2</c:v>
                </c:pt>
                <c:pt idx="6">
                  <c:v>0.4275719540451377</c:v>
                </c:pt>
                <c:pt idx="7">
                  <c:v>0.1189237767642557</c:v>
                </c:pt>
              </c:numCache>
            </c:numRef>
          </c:val>
          <c:extLst>
            <c:ext xmlns:c16="http://schemas.microsoft.com/office/drawing/2014/chart" uri="{C3380CC4-5D6E-409C-BE32-E72D297353CC}">
              <c16:uniqueId val="{00000010-AC48-4402-A191-DF980F4E9792}"/>
            </c:ext>
          </c:extLst>
        </c:ser>
        <c:dLbls>
          <c:showLegendKey val="0"/>
          <c:showVal val="0"/>
          <c:showCatName val="0"/>
          <c:showSerName val="0"/>
          <c:showPercent val="0"/>
          <c:showBubbleSize val="0"/>
          <c:showLeaderLines val="0"/>
        </c:dLbls>
        <c:firstSliceAng val="0"/>
      </c:pieChart>
      <c:spPr>
        <a:noFill/>
        <a:ln>
          <a:noFill/>
        </a:ln>
        <a:effectLst/>
      </c:spPr>
    </c:plotArea>
    <c:legend>
      <c:legendPos val="b"/>
      <c:layout>
        <c:manualLayout>
          <c:xMode val="edge"/>
          <c:yMode val="edge"/>
          <c:x val="9.2529329629042964E-3"/>
          <c:y val="0.68114069741282335"/>
          <c:w val="0.9390808562092442"/>
          <c:h val="0.305145016872890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Прогноз добычи нефти</a:t>
            </a:r>
            <a:r>
              <a:rPr lang="ru-RU" baseline="0"/>
              <a:t> компанией, млн.т.</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lineChart>
        <c:grouping val="standard"/>
        <c:varyColors val="0"/>
        <c:ser>
          <c:idx val="0"/>
          <c:order val="0"/>
          <c:tx>
            <c:strRef>
              <c:f>'Доходный подход'!$AC$54</c:f>
              <c:strCache>
                <c:ptCount val="1"/>
                <c:pt idx="0">
                  <c:v>Добыча нефти РФ, млн.т</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подход'!$AD$53:$AL$53</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подход'!$AD$54:$AL$54</c:f>
              <c:numCache>
                <c:formatCode>0.0</c:formatCode>
                <c:ptCount val="9"/>
                <c:pt idx="0">
                  <c:v>546.70000000000005</c:v>
                </c:pt>
                <c:pt idx="1">
                  <c:v>555.79999999999995</c:v>
                </c:pt>
                <c:pt idx="2">
                  <c:v>560.29999999999995</c:v>
                </c:pt>
                <c:pt idx="3">
                  <c:v>512.1</c:v>
                </c:pt>
                <c:pt idx="4">
                  <c:v>512.35</c:v>
                </c:pt>
                <c:pt idx="5">
                  <c:v>549.84</c:v>
                </c:pt>
                <c:pt idx="6">
                  <c:v>560</c:v>
                </c:pt>
                <c:pt idx="7">
                  <c:v>565</c:v>
                </c:pt>
                <c:pt idx="8">
                  <c:v>586.76416166208764</c:v>
                </c:pt>
              </c:numCache>
            </c:numRef>
          </c:val>
          <c:smooth val="0"/>
          <c:extLst>
            <c:ext xmlns:c16="http://schemas.microsoft.com/office/drawing/2014/chart" uri="{C3380CC4-5D6E-409C-BE32-E72D297353CC}">
              <c16:uniqueId val="{00000000-07D9-4177-B2B0-2500D5162F5B}"/>
            </c:ext>
          </c:extLst>
        </c:ser>
        <c:ser>
          <c:idx val="1"/>
          <c:order val="1"/>
          <c:tx>
            <c:strRef>
              <c:f>'Доходный подход'!$AC$55</c:f>
              <c:strCache>
                <c:ptCount val="1"/>
                <c:pt idx="0">
                  <c:v>Добыча нефти Роснефть, млн.т</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подход'!$AD$53:$AL$53</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подход'!$AD$55:$AL$55</c:f>
              <c:numCache>
                <c:formatCode>0.0</c:formatCode>
                <c:ptCount val="9"/>
                <c:pt idx="0">
                  <c:v>225.5</c:v>
                </c:pt>
                <c:pt idx="1">
                  <c:v>230.2</c:v>
                </c:pt>
                <c:pt idx="2">
                  <c:v>230.2</c:v>
                </c:pt>
                <c:pt idx="3">
                  <c:v>204.5</c:v>
                </c:pt>
                <c:pt idx="4">
                  <c:v>209.65874448609381</c:v>
                </c:pt>
                <c:pt idx="5">
                  <c:v>225.00002745824889</c:v>
                </c:pt>
                <c:pt idx="6">
                  <c:v>229.15760107780332</c:v>
                </c:pt>
                <c:pt idx="7">
                  <c:v>231.20365108742658</c:v>
                </c:pt>
                <c:pt idx="8">
                  <c:v>240.10976372305782</c:v>
                </c:pt>
              </c:numCache>
            </c:numRef>
          </c:val>
          <c:smooth val="0"/>
          <c:extLst>
            <c:ext xmlns:c16="http://schemas.microsoft.com/office/drawing/2014/chart" uri="{C3380CC4-5D6E-409C-BE32-E72D297353CC}">
              <c16:uniqueId val="{00000001-07D9-4177-B2B0-2500D5162F5B}"/>
            </c:ext>
          </c:extLst>
        </c:ser>
        <c:dLbls>
          <c:dLblPos val="t"/>
          <c:showLegendKey val="0"/>
          <c:showVal val="1"/>
          <c:showCatName val="0"/>
          <c:showSerName val="0"/>
          <c:showPercent val="0"/>
          <c:showBubbleSize val="0"/>
        </c:dLbls>
        <c:marker val="1"/>
        <c:smooth val="0"/>
        <c:axId val="650415440"/>
        <c:axId val="650416096"/>
      </c:lineChart>
      <c:catAx>
        <c:axId val="65041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50416096"/>
        <c:crosses val="autoZero"/>
        <c:auto val="1"/>
        <c:lblAlgn val="ctr"/>
        <c:lblOffset val="100"/>
        <c:noMultiLvlLbl val="0"/>
      </c:catAx>
      <c:valAx>
        <c:axId val="6504160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504154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ru-RU"/>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Прогноз добычи газа</a:t>
            </a:r>
            <a:r>
              <a:rPr lang="ru-RU" baseline="0"/>
              <a:t> компанией, млн.т.</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lineChart>
        <c:grouping val="standard"/>
        <c:varyColors val="0"/>
        <c:ser>
          <c:idx val="0"/>
          <c:order val="0"/>
          <c:tx>
            <c:strRef>
              <c:f>'Доходный подход'!$AC$59</c:f>
              <c:strCache>
                <c:ptCount val="1"/>
                <c:pt idx="0">
                  <c:v>Добыча газа РФ, млрд.м3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подход'!$AD$58:$AL$58</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подход'!$AD$59:$AL$59</c:f>
              <c:numCache>
                <c:formatCode>0.0</c:formatCode>
                <c:ptCount val="9"/>
                <c:pt idx="0">
                  <c:v>689.63666999999998</c:v>
                </c:pt>
                <c:pt idx="1">
                  <c:v>725.17</c:v>
                </c:pt>
                <c:pt idx="2">
                  <c:v>737.59</c:v>
                </c:pt>
                <c:pt idx="3">
                  <c:v>694.3</c:v>
                </c:pt>
                <c:pt idx="4">
                  <c:v>698.3</c:v>
                </c:pt>
                <c:pt idx="5">
                  <c:v>770.1</c:v>
                </c:pt>
                <c:pt idx="6">
                  <c:v>801.7</c:v>
                </c:pt>
                <c:pt idx="7">
                  <c:v>826.2</c:v>
                </c:pt>
                <c:pt idx="8">
                  <c:v>870.53896854294192</c:v>
                </c:pt>
              </c:numCache>
            </c:numRef>
          </c:val>
          <c:smooth val="0"/>
          <c:extLst>
            <c:ext xmlns:c16="http://schemas.microsoft.com/office/drawing/2014/chart" uri="{C3380CC4-5D6E-409C-BE32-E72D297353CC}">
              <c16:uniqueId val="{00000000-AC81-42F4-9702-8FA991916898}"/>
            </c:ext>
          </c:extLst>
        </c:ser>
        <c:ser>
          <c:idx val="1"/>
          <c:order val="1"/>
          <c:tx>
            <c:strRef>
              <c:f>'Доходный подход'!$AC$60</c:f>
              <c:strCache>
                <c:ptCount val="1"/>
                <c:pt idx="0">
                  <c:v>Добыча газа Роснефть, млрд.м3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подход'!$AD$58:$AL$58</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подход'!$AD$60:$AL$60</c:f>
              <c:numCache>
                <c:formatCode>0.0</c:formatCode>
                <c:ptCount val="9"/>
                <c:pt idx="0">
                  <c:v>68.41</c:v>
                </c:pt>
                <c:pt idx="1">
                  <c:v>67.3</c:v>
                </c:pt>
                <c:pt idx="2">
                  <c:v>67</c:v>
                </c:pt>
                <c:pt idx="3">
                  <c:v>62.8</c:v>
                </c:pt>
                <c:pt idx="4">
                  <c:v>65.167131852290424</c:v>
                </c:pt>
                <c:pt idx="5">
                  <c:v>71.867690447442158</c:v>
                </c:pt>
                <c:pt idx="6">
                  <c:v>74.816682809653798</c:v>
                </c:pt>
                <c:pt idx="7">
                  <c:v>77.103085115798876</c:v>
                </c:pt>
                <c:pt idx="8">
                  <c:v>81.240910419010177</c:v>
                </c:pt>
              </c:numCache>
            </c:numRef>
          </c:val>
          <c:smooth val="0"/>
          <c:extLst>
            <c:ext xmlns:c16="http://schemas.microsoft.com/office/drawing/2014/chart" uri="{C3380CC4-5D6E-409C-BE32-E72D297353CC}">
              <c16:uniqueId val="{00000001-AC81-42F4-9702-8FA991916898}"/>
            </c:ext>
          </c:extLst>
        </c:ser>
        <c:dLbls>
          <c:dLblPos val="t"/>
          <c:showLegendKey val="0"/>
          <c:showVal val="1"/>
          <c:showCatName val="0"/>
          <c:showSerName val="0"/>
          <c:showPercent val="0"/>
          <c:showBubbleSize val="0"/>
        </c:dLbls>
        <c:marker val="1"/>
        <c:smooth val="0"/>
        <c:axId val="650415440"/>
        <c:axId val="650416096"/>
      </c:lineChart>
      <c:catAx>
        <c:axId val="65041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50416096"/>
        <c:crosses val="autoZero"/>
        <c:auto val="1"/>
        <c:lblAlgn val="ctr"/>
        <c:lblOffset val="100"/>
        <c:noMultiLvlLbl val="0"/>
      </c:catAx>
      <c:valAx>
        <c:axId val="6504160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504154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ru-RU"/>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Прогноз переработки нефти</a:t>
            </a:r>
            <a:r>
              <a:rPr lang="ru-RU" baseline="0"/>
              <a:t> компанией, млн.т.</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lineChart>
        <c:grouping val="standard"/>
        <c:varyColors val="0"/>
        <c:ser>
          <c:idx val="0"/>
          <c:order val="0"/>
          <c:tx>
            <c:strRef>
              <c:f>'Доходный подход'!$AC$113</c:f>
              <c:strCache>
                <c:ptCount val="1"/>
                <c:pt idx="0">
                  <c:v>Добыча нефти Роснефть, млн.т</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подход'!$AD$112:$AL$112</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подход'!$AD$113:$AL$113</c:f>
              <c:numCache>
                <c:formatCode>0.0</c:formatCode>
                <c:ptCount val="9"/>
                <c:pt idx="0">
                  <c:v>225.5</c:v>
                </c:pt>
                <c:pt idx="1">
                  <c:v>230.2</c:v>
                </c:pt>
                <c:pt idx="2">
                  <c:v>230.2</c:v>
                </c:pt>
                <c:pt idx="3">
                  <c:v>204.5</c:v>
                </c:pt>
                <c:pt idx="4">
                  <c:v>209.65874448609381</c:v>
                </c:pt>
                <c:pt idx="5">
                  <c:v>225.00002745824889</c:v>
                </c:pt>
                <c:pt idx="6">
                  <c:v>229.15760107780332</c:v>
                </c:pt>
                <c:pt idx="7">
                  <c:v>231.20365108742658</c:v>
                </c:pt>
                <c:pt idx="8">
                  <c:v>240.10976372305782</c:v>
                </c:pt>
              </c:numCache>
            </c:numRef>
          </c:val>
          <c:smooth val="0"/>
          <c:extLst>
            <c:ext xmlns:c16="http://schemas.microsoft.com/office/drawing/2014/chart" uri="{C3380CC4-5D6E-409C-BE32-E72D297353CC}">
              <c16:uniqueId val="{00000000-159A-45C0-ADDC-483FE930F585}"/>
            </c:ext>
          </c:extLst>
        </c:ser>
        <c:ser>
          <c:idx val="1"/>
          <c:order val="1"/>
          <c:tx>
            <c:strRef>
              <c:f>'Доходный подход'!$AC$114</c:f>
              <c:strCache>
                <c:ptCount val="1"/>
                <c:pt idx="0">
                  <c:v>Переработка нефти Роснефть, млн.т</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подход'!$AD$112:$AL$112</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подход'!$AD$114:$AL$114</c:f>
              <c:numCache>
                <c:formatCode>0.0</c:formatCode>
                <c:ptCount val="9"/>
                <c:pt idx="0">
                  <c:v>112.8</c:v>
                </c:pt>
                <c:pt idx="1">
                  <c:v>115</c:v>
                </c:pt>
                <c:pt idx="2">
                  <c:v>110.2</c:v>
                </c:pt>
                <c:pt idx="3">
                  <c:v>103.98</c:v>
                </c:pt>
                <c:pt idx="4">
                  <c:v>104.14594469449254</c:v>
                </c:pt>
                <c:pt idx="5">
                  <c:v>111.76657798540018</c:v>
                </c:pt>
                <c:pt idx="6">
                  <c:v>113.83181229416576</c:v>
                </c:pt>
                <c:pt idx="7">
                  <c:v>114.84816776107796</c:v>
                </c:pt>
                <c:pt idx="8">
                  <c:v>119.27219269868266</c:v>
                </c:pt>
              </c:numCache>
            </c:numRef>
          </c:val>
          <c:smooth val="0"/>
          <c:extLst>
            <c:ext xmlns:c16="http://schemas.microsoft.com/office/drawing/2014/chart" uri="{C3380CC4-5D6E-409C-BE32-E72D297353CC}">
              <c16:uniqueId val="{00000001-159A-45C0-ADDC-483FE930F585}"/>
            </c:ext>
          </c:extLst>
        </c:ser>
        <c:dLbls>
          <c:dLblPos val="t"/>
          <c:showLegendKey val="0"/>
          <c:showVal val="1"/>
          <c:showCatName val="0"/>
          <c:showSerName val="0"/>
          <c:showPercent val="0"/>
          <c:showBubbleSize val="0"/>
        </c:dLbls>
        <c:marker val="1"/>
        <c:smooth val="0"/>
        <c:axId val="650415440"/>
        <c:axId val="650416096"/>
      </c:lineChart>
      <c:catAx>
        <c:axId val="65041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50416096"/>
        <c:crosses val="autoZero"/>
        <c:auto val="1"/>
        <c:lblAlgn val="ctr"/>
        <c:lblOffset val="100"/>
        <c:noMultiLvlLbl val="0"/>
      </c:catAx>
      <c:valAx>
        <c:axId val="6504160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504154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ru-RU"/>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Прогноз объемов реализации газа </a:t>
            </a:r>
            <a:r>
              <a:rPr lang="ru-RU" baseline="0"/>
              <a:t>компанией, млрд.м3</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lineChart>
        <c:grouping val="standard"/>
        <c:varyColors val="0"/>
        <c:ser>
          <c:idx val="0"/>
          <c:order val="0"/>
          <c:tx>
            <c:strRef>
              <c:f>'Доходный подход'!$AC$118</c:f>
              <c:strCache>
                <c:ptCount val="1"/>
                <c:pt idx="0">
                  <c:v>Добыча газа, млрд.м3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подход'!$AD$112:$AL$112</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подход'!$AD$118:$AL$118</c:f>
              <c:numCache>
                <c:formatCode>0.0</c:formatCode>
                <c:ptCount val="9"/>
                <c:pt idx="0">
                  <c:v>68.41</c:v>
                </c:pt>
                <c:pt idx="1">
                  <c:v>67.3</c:v>
                </c:pt>
                <c:pt idx="2">
                  <c:v>67</c:v>
                </c:pt>
                <c:pt idx="3">
                  <c:v>62.8</c:v>
                </c:pt>
                <c:pt idx="4">
                  <c:v>65.167131852290424</c:v>
                </c:pt>
                <c:pt idx="5">
                  <c:v>71.867690447442158</c:v>
                </c:pt>
                <c:pt idx="6">
                  <c:v>74.816682809653798</c:v>
                </c:pt>
                <c:pt idx="7">
                  <c:v>77.103085115798876</c:v>
                </c:pt>
                <c:pt idx="8">
                  <c:v>81.240910419010177</c:v>
                </c:pt>
              </c:numCache>
            </c:numRef>
          </c:val>
          <c:smooth val="0"/>
          <c:extLst>
            <c:ext xmlns:c16="http://schemas.microsoft.com/office/drawing/2014/chart" uri="{C3380CC4-5D6E-409C-BE32-E72D297353CC}">
              <c16:uniqueId val="{00000000-33C1-4929-B430-DDE1BF63981A}"/>
            </c:ext>
          </c:extLst>
        </c:ser>
        <c:ser>
          <c:idx val="1"/>
          <c:order val="1"/>
          <c:tx>
            <c:strRef>
              <c:f>'Доходный подход'!$AC$119</c:f>
              <c:strCache>
                <c:ptCount val="1"/>
                <c:pt idx="0">
                  <c:v>Реализация газа, млрд. м3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подход'!$AD$112:$AL$112</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подход'!$AD$119:$AL$119</c:f>
              <c:numCache>
                <c:formatCode>0.0</c:formatCode>
                <c:ptCount val="9"/>
                <c:pt idx="0">
                  <c:v>63.91</c:v>
                </c:pt>
                <c:pt idx="1">
                  <c:v>62.03</c:v>
                </c:pt>
                <c:pt idx="2">
                  <c:v>61.77</c:v>
                </c:pt>
                <c:pt idx="3">
                  <c:v>56.43</c:v>
                </c:pt>
                <c:pt idx="4">
                  <c:v>59.895456737468237</c:v>
                </c:pt>
                <c:pt idx="5">
                  <c:v>66.053975703170977</c:v>
                </c:pt>
                <c:pt idx="6">
                  <c:v>68.764410234037371</c:v>
                </c:pt>
                <c:pt idx="7">
                  <c:v>70.865854727905287</c:v>
                </c:pt>
                <c:pt idx="8">
                  <c:v>74.668951924164404</c:v>
                </c:pt>
              </c:numCache>
            </c:numRef>
          </c:val>
          <c:smooth val="0"/>
          <c:extLst>
            <c:ext xmlns:c16="http://schemas.microsoft.com/office/drawing/2014/chart" uri="{C3380CC4-5D6E-409C-BE32-E72D297353CC}">
              <c16:uniqueId val="{00000001-33C1-4929-B430-DDE1BF63981A}"/>
            </c:ext>
          </c:extLst>
        </c:ser>
        <c:dLbls>
          <c:dLblPos val="t"/>
          <c:showLegendKey val="0"/>
          <c:showVal val="1"/>
          <c:showCatName val="0"/>
          <c:showSerName val="0"/>
          <c:showPercent val="0"/>
          <c:showBubbleSize val="0"/>
        </c:dLbls>
        <c:marker val="1"/>
        <c:smooth val="0"/>
        <c:axId val="650415440"/>
        <c:axId val="650416096"/>
      </c:lineChart>
      <c:catAx>
        <c:axId val="65041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50416096"/>
        <c:crosses val="autoZero"/>
        <c:auto val="1"/>
        <c:lblAlgn val="ctr"/>
        <c:lblOffset val="100"/>
        <c:noMultiLvlLbl val="0"/>
      </c:catAx>
      <c:valAx>
        <c:axId val="6504160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504154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ru-RU"/>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Объемы реализации</a:t>
            </a:r>
            <a:r>
              <a:rPr lang="ru-RU" baseline="0"/>
              <a:t> нефти по направлениям, млн.т.</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stacked"/>
        <c:varyColors val="0"/>
        <c:ser>
          <c:idx val="0"/>
          <c:order val="0"/>
          <c:tx>
            <c:strRef>
              <c:f>'Доходный подход'!$AQ$196</c:f>
              <c:strCache>
                <c:ptCount val="1"/>
                <c:pt idx="0">
                  <c:v>Реализация в Европе</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подход'!$AR$195:$AZ$195</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подход'!$AR$196:$AZ$196</c:f>
              <c:numCache>
                <c:formatCode>0.0</c:formatCode>
                <c:ptCount val="9"/>
                <c:pt idx="0">
                  <c:v>65.7</c:v>
                </c:pt>
                <c:pt idx="1">
                  <c:v>55.8</c:v>
                </c:pt>
                <c:pt idx="2">
                  <c:v>61</c:v>
                </c:pt>
                <c:pt idx="3">
                  <c:v>47.2</c:v>
                </c:pt>
                <c:pt idx="4">
                  <c:v>54.248463879935024</c:v>
                </c:pt>
                <c:pt idx="5">
                  <c:v>58.217966975199523</c:v>
                </c:pt>
                <c:pt idx="6">
                  <c:v>59.293724549162896</c:v>
                </c:pt>
                <c:pt idx="7">
                  <c:v>59.823132804066148</c:v>
                </c:pt>
                <c:pt idx="8">
                  <c:v>62.127558173057707</c:v>
                </c:pt>
              </c:numCache>
            </c:numRef>
          </c:val>
          <c:extLst>
            <c:ext xmlns:c16="http://schemas.microsoft.com/office/drawing/2014/chart" uri="{C3380CC4-5D6E-409C-BE32-E72D297353CC}">
              <c16:uniqueId val="{00000000-3639-4880-B343-476F1521072E}"/>
            </c:ext>
          </c:extLst>
        </c:ser>
        <c:ser>
          <c:idx val="1"/>
          <c:order val="1"/>
          <c:tx>
            <c:strRef>
              <c:f>'Доходный подход'!$AQ$197</c:f>
              <c:strCache>
                <c:ptCount val="1"/>
                <c:pt idx="0">
                  <c:v>Реализация в Азии</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подход'!$AR$195:$AZ$195</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подход'!$AR$197:$AZ$197</c:f>
              <c:numCache>
                <c:formatCode>0.0</c:formatCode>
                <c:ptCount val="9"/>
                <c:pt idx="0">
                  <c:v>47.7</c:v>
                </c:pt>
                <c:pt idx="1">
                  <c:v>59.2</c:v>
                </c:pt>
                <c:pt idx="2">
                  <c:v>79.7</c:v>
                </c:pt>
                <c:pt idx="3">
                  <c:v>61.9</c:v>
                </c:pt>
                <c:pt idx="4">
                  <c:v>58.217083794198814</c:v>
                </c:pt>
                <c:pt idx="5">
                  <c:v>62.476981269449162</c:v>
                </c:pt>
                <c:pt idx="6">
                  <c:v>63.631437347030996</c:v>
                </c:pt>
                <c:pt idx="7">
                  <c:v>64.199575180486647</c:v>
                </c:pt>
                <c:pt idx="8">
                  <c:v>66.672583911221963</c:v>
                </c:pt>
              </c:numCache>
            </c:numRef>
          </c:val>
          <c:extLst>
            <c:ext xmlns:c16="http://schemas.microsoft.com/office/drawing/2014/chart" uri="{C3380CC4-5D6E-409C-BE32-E72D297353CC}">
              <c16:uniqueId val="{00000001-3639-4880-B343-476F1521072E}"/>
            </c:ext>
          </c:extLst>
        </c:ser>
        <c:ser>
          <c:idx val="2"/>
          <c:order val="2"/>
          <c:tx>
            <c:strRef>
              <c:f>'Доходный подход'!$AQ$198</c:f>
              <c:strCache>
                <c:ptCount val="1"/>
                <c:pt idx="0">
                  <c:v>Реализация в странах СНГ</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подход'!$AR$195:$AZ$195</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подход'!$AR$198:$AZ$198</c:f>
              <c:numCache>
                <c:formatCode>0.0</c:formatCode>
                <c:ptCount val="9"/>
                <c:pt idx="0">
                  <c:v>8.4</c:v>
                </c:pt>
                <c:pt idx="1">
                  <c:v>8.6999999999999993</c:v>
                </c:pt>
                <c:pt idx="2">
                  <c:v>8.6999999999999993</c:v>
                </c:pt>
                <c:pt idx="3">
                  <c:v>6.3</c:v>
                </c:pt>
                <c:pt idx="4">
                  <c:v>7.565644577683603</c:v>
                </c:pt>
                <c:pt idx="5">
                  <c:v>8.1192427336655655</c:v>
                </c:pt>
                <c:pt idx="6">
                  <c:v>8.2692709349132762</c:v>
                </c:pt>
                <c:pt idx="7">
                  <c:v>8.3431037111178608</c:v>
                </c:pt>
                <c:pt idx="8">
                  <c:v>8.6644854065733163</c:v>
                </c:pt>
              </c:numCache>
            </c:numRef>
          </c:val>
          <c:extLst>
            <c:ext xmlns:c16="http://schemas.microsoft.com/office/drawing/2014/chart" uri="{C3380CC4-5D6E-409C-BE32-E72D297353CC}">
              <c16:uniqueId val="{00000002-3639-4880-B343-476F1521072E}"/>
            </c:ext>
          </c:extLst>
        </c:ser>
        <c:ser>
          <c:idx val="3"/>
          <c:order val="3"/>
          <c:tx>
            <c:strRef>
              <c:f>'Доходный подход'!$AQ$199</c:f>
              <c:strCache>
                <c:ptCount val="1"/>
                <c:pt idx="0">
                  <c:v>Реализация на внутреннем рынке</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подход'!$AR$195:$AZ$195</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подход'!$AR$199:$AZ$199</c:f>
              <c:numCache>
                <c:formatCode>0.0</c:formatCode>
                <c:ptCount val="9"/>
                <c:pt idx="0">
                  <c:v>6.9</c:v>
                </c:pt>
                <c:pt idx="1">
                  <c:v>5.4</c:v>
                </c:pt>
                <c:pt idx="2">
                  <c:v>5.6</c:v>
                </c:pt>
                <c:pt idx="3">
                  <c:v>5.2</c:v>
                </c:pt>
                <c:pt idx="4">
                  <c:v>5.4813810457479937</c:v>
                </c:pt>
                <c:pt idx="5">
                  <c:v>5.8824681452016732</c:v>
                </c:pt>
                <c:pt idx="6">
                  <c:v>5.9911649958404931</c:v>
                </c:pt>
                <c:pt idx="7">
                  <c:v>6.0446575404462131</c:v>
                </c:pt>
                <c:pt idx="8">
                  <c:v>6.2775016181492704</c:v>
                </c:pt>
              </c:numCache>
            </c:numRef>
          </c:val>
          <c:extLst>
            <c:ext xmlns:c16="http://schemas.microsoft.com/office/drawing/2014/chart" uri="{C3380CC4-5D6E-409C-BE32-E72D297353CC}">
              <c16:uniqueId val="{00000003-3639-4880-B343-476F1521072E}"/>
            </c:ext>
          </c:extLst>
        </c:ser>
        <c:dLbls>
          <c:dLblPos val="ctr"/>
          <c:showLegendKey val="0"/>
          <c:showVal val="1"/>
          <c:showCatName val="0"/>
          <c:showSerName val="0"/>
          <c:showPercent val="0"/>
          <c:showBubbleSize val="0"/>
        </c:dLbls>
        <c:gapWidth val="150"/>
        <c:overlap val="100"/>
        <c:axId val="258826488"/>
        <c:axId val="258822880"/>
      </c:barChart>
      <c:catAx>
        <c:axId val="258826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58822880"/>
        <c:crosses val="autoZero"/>
        <c:auto val="1"/>
        <c:lblAlgn val="ctr"/>
        <c:lblOffset val="100"/>
        <c:noMultiLvlLbl val="0"/>
      </c:catAx>
      <c:valAx>
        <c:axId val="2588228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58826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Объемы реализации нефтепродуктов</a:t>
            </a:r>
            <a:r>
              <a:rPr lang="ru-RU" baseline="0"/>
              <a:t>, млн.т.</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stacked"/>
        <c:varyColors val="0"/>
        <c:ser>
          <c:idx val="0"/>
          <c:order val="0"/>
          <c:tx>
            <c:strRef>
              <c:f>'Доходный подход'!$AQ$233</c:f>
              <c:strCache>
                <c:ptCount val="1"/>
                <c:pt idx="0">
                  <c:v>Реализация в Европе</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подход'!$AR$195:$AZ$195</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подход'!$AR$233:$AZ$233</c:f>
              <c:numCache>
                <c:formatCode>0.0</c:formatCode>
                <c:ptCount val="9"/>
                <c:pt idx="0">
                  <c:v>46</c:v>
                </c:pt>
                <c:pt idx="1">
                  <c:v>49</c:v>
                </c:pt>
                <c:pt idx="2">
                  <c:v>47.5</c:v>
                </c:pt>
                <c:pt idx="3">
                  <c:v>43.8</c:v>
                </c:pt>
                <c:pt idx="4">
                  <c:v>43.90084875957465</c:v>
                </c:pt>
                <c:pt idx="5">
                  <c:v>47.113189581271648</c:v>
                </c:pt>
                <c:pt idx="6">
                  <c:v>47.983751937858507</c:v>
                </c:pt>
                <c:pt idx="7">
                  <c:v>48.412178294446534</c:v>
                </c:pt>
                <c:pt idx="8">
                  <c:v>50.277046391462711</c:v>
                </c:pt>
              </c:numCache>
            </c:numRef>
          </c:val>
          <c:extLst>
            <c:ext xmlns:c16="http://schemas.microsoft.com/office/drawing/2014/chart" uri="{C3380CC4-5D6E-409C-BE32-E72D297353CC}">
              <c16:uniqueId val="{00000000-B870-4A8E-9CC6-674034EF0B5B}"/>
            </c:ext>
          </c:extLst>
        </c:ser>
        <c:ser>
          <c:idx val="1"/>
          <c:order val="1"/>
          <c:tx>
            <c:strRef>
              <c:f>'Доходный подход'!$AQ$234</c:f>
              <c:strCache>
                <c:ptCount val="1"/>
                <c:pt idx="0">
                  <c:v>Реализация в Азии</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подход'!$AR$195:$AZ$195</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подход'!$AR$234:$AZ$234</c:f>
              <c:numCache>
                <c:formatCode>0.0</c:formatCode>
                <c:ptCount val="9"/>
                <c:pt idx="0">
                  <c:v>17.7</c:v>
                </c:pt>
                <c:pt idx="1">
                  <c:v>17</c:v>
                </c:pt>
                <c:pt idx="2">
                  <c:v>16.600000000000001</c:v>
                </c:pt>
                <c:pt idx="3">
                  <c:v>14.9</c:v>
                </c:pt>
                <c:pt idx="4">
                  <c:v>15.587595641124253</c:v>
                </c:pt>
                <c:pt idx="5">
                  <c:v>16.728181101426291</c:v>
                </c:pt>
                <c:pt idx="6">
                  <c:v>17.03728615015045</c:v>
                </c:pt>
                <c:pt idx="7">
                  <c:v>17.189404776491081</c:v>
                </c:pt>
                <c:pt idx="8">
                  <c:v>17.851551651589507</c:v>
                </c:pt>
              </c:numCache>
            </c:numRef>
          </c:val>
          <c:extLst>
            <c:ext xmlns:c16="http://schemas.microsoft.com/office/drawing/2014/chart" uri="{C3380CC4-5D6E-409C-BE32-E72D297353CC}">
              <c16:uniqueId val="{00000001-B870-4A8E-9CC6-674034EF0B5B}"/>
            </c:ext>
          </c:extLst>
        </c:ser>
        <c:ser>
          <c:idx val="2"/>
          <c:order val="2"/>
          <c:tx>
            <c:strRef>
              <c:f>'Доходный подход'!$AQ$235</c:f>
              <c:strCache>
                <c:ptCount val="1"/>
                <c:pt idx="0">
                  <c:v>Реализация в странах СНГ</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подход'!$AR$195:$AZ$195</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подход'!$AR$235:$AZ$235</c:f>
              <c:numCache>
                <c:formatCode>0.0</c:formatCode>
                <c:ptCount val="9"/>
                <c:pt idx="0">
                  <c:v>4.4000000000000004</c:v>
                </c:pt>
                <c:pt idx="1">
                  <c:v>4.0999999999999996</c:v>
                </c:pt>
                <c:pt idx="2">
                  <c:v>3.7</c:v>
                </c:pt>
                <c:pt idx="3">
                  <c:v>3.5</c:v>
                </c:pt>
                <c:pt idx="4">
                  <c:v>3.6953199721056635</c:v>
                </c:pt>
                <c:pt idx="5">
                  <c:v>3.9657162749342798</c:v>
                </c:pt>
                <c:pt idx="6">
                  <c:v>4.03899518762403</c:v>
                </c:pt>
                <c:pt idx="7">
                  <c:v>4.075057644656388</c:v>
                </c:pt>
                <c:pt idx="8">
                  <c:v>4.23203147361325</c:v>
                </c:pt>
              </c:numCache>
            </c:numRef>
          </c:val>
          <c:extLst>
            <c:ext xmlns:c16="http://schemas.microsoft.com/office/drawing/2014/chart" uri="{C3380CC4-5D6E-409C-BE32-E72D297353CC}">
              <c16:uniqueId val="{00000002-B870-4A8E-9CC6-674034EF0B5B}"/>
            </c:ext>
          </c:extLst>
        </c:ser>
        <c:ser>
          <c:idx val="3"/>
          <c:order val="3"/>
          <c:tx>
            <c:strRef>
              <c:f>'Доходный подход'!$AQ$236</c:f>
              <c:strCache>
                <c:ptCount val="1"/>
                <c:pt idx="0">
                  <c:v>Реализация на внутреннем рынке</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подход'!$AR$195:$AZ$195</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подход'!$AR$236:$AZ$236</c:f>
              <c:numCache>
                <c:formatCode>0.0</c:formatCode>
                <c:ptCount val="9"/>
                <c:pt idx="0">
                  <c:v>38.700000000000003</c:v>
                </c:pt>
                <c:pt idx="1">
                  <c:v>39.9</c:v>
                </c:pt>
                <c:pt idx="2">
                  <c:v>41.4</c:v>
                </c:pt>
                <c:pt idx="3">
                  <c:v>37.200000000000003</c:v>
                </c:pt>
                <c:pt idx="4">
                  <c:v>37.059120364407192</c:v>
                </c:pt>
                <c:pt idx="5">
                  <c:v>39.770833885362848</c:v>
                </c:pt>
                <c:pt idx="6">
                  <c:v>40.505723439188117</c:v>
                </c:pt>
                <c:pt idx="7">
                  <c:v>40.86738168418087</c:v>
                </c:pt>
                <c:pt idx="8">
                  <c:v>42.441619386270688</c:v>
                </c:pt>
              </c:numCache>
            </c:numRef>
          </c:val>
          <c:extLst>
            <c:ext xmlns:c16="http://schemas.microsoft.com/office/drawing/2014/chart" uri="{C3380CC4-5D6E-409C-BE32-E72D297353CC}">
              <c16:uniqueId val="{00000003-B870-4A8E-9CC6-674034EF0B5B}"/>
            </c:ext>
          </c:extLst>
        </c:ser>
        <c:dLbls>
          <c:dLblPos val="ctr"/>
          <c:showLegendKey val="0"/>
          <c:showVal val="1"/>
          <c:showCatName val="0"/>
          <c:showSerName val="0"/>
          <c:showPercent val="0"/>
          <c:showBubbleSize val="0"/>
        </c:dLbls>
        <c:gapWidth val="150"/>
        <c:overlap val="100"/>
        <c:axId val="269849304"/>
        <c:axId val="269849632"/>
      </c:barChart>
      <c:catAx>
        <c:axId val="269849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69849632"/>
        <c:crosses val="autoZero"/>
        <c:auto val="1"/>
        <c:lblAlgn val="ctr"/>
        <c:lblOffset val="100"/>
        <c:noMultiLvlLbl val="0"/>
      </c:catAx>
      <c:valAx>
        <c:axId val="2698496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69849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Объем реализации</a:t>
            </a:r>
            <a:r>
              <a:rPr lang="ru-RU" baseline="0"/>
              <a:t> нефтепродуктов на внешнем рынке по видам, млн.т.</a:t>
            </a:r>
            <a:endParaRPr lang="ru-RU"/>
          </a:p>
        </c:rich>
      </c:tx>
      <c:overlay val="0"/>
      <c:spPr>
        <a:noFill/>
        <a:ln>
          <a:noFill/>
        </a:ln>
        <a:effectLst/>
      </c:spPr>
    </c:title>
    <c:autoTitleDeleted val="0"/>
    <c:plotArea>
      <c:layout/>
      <c:barChart>
        <c:barDir val="col"/>
        <c:grouping val="stacked"/>
        <c:varyColors val="0"/>
        <c:ser>
          <c:idx val="0"/>
          <c:order val="0"/>
          <c:tx>
            <c:strRef>
              <c:f>'Доходный подход'!$A$123</c:f>
              <c:strCache>
                <c:ptCount val="1"/>
                <c:pt idx="0">
                  <c:v>Автомобильный бензин</c:v>
                </c:pt>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'Доходный подход'!$B$132:$J$132</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подход'!$B$123:$J$123</c:f>
              <c:numCache>
                <c:formatCode>0.0</c:formatCode>
                <c:ptCount val="9"/>
                <c:pt idx="0">
                  <c:v>0.65027416556106665</c:v>
                </c:pt>
                <c:pt idx="1">
                  <c:v>0.7468463815455394</c:v>
                </c:pt>
                <c:pt idx="2">
                  <c:v>1.1422760028581698</c:v>
                </c:pt>
                <c:pt idx="3">
                  <c:v>0.53999081351448486</c:v>
                </c:pt>
                <c:pt idx="4">
                  <c:v>0.72193432519313727</c:v>
                </c:pt>
                <c:pt idx="5">
                  <c:v>0.77476016270946557</c:v>
                </c:pt>
                <c:pt idx="6">
                  <c:v>0.78907626057998814</c:v>
                </c:pt>
                <c:pt idx="7">
                  <c:v>0.79612158433516655</c:v>
                </c:pt>
                <c:pt idx="8">
                  <c:v>0.82678869736905669</c:v>
                </c:pt>
              </c:numCache>
            </c:numRef>
          </c:val>
          <c:extLst>
            <c:ext xmlns:c16="http://schemas.microsoft.com/office/drawing/2014/chart" uri="{C3380CC4-5D6E-409C-BE32-E72D297353CC}">
              <c16:uniqueId val="{00000000-221D-48C6-9047-8671290DEE18}"/>
            </c:ext>
          </c:extLst>
        </c:ser>
        <c:ser>
          <c:idx val="1"/>
          <c:order val="1"/>
          <c:tx>
            <c:strRef>
              <c:f>'Доходный подход'!$A$124</c:f>
              <c:strCache>
                <c:ptCount val="1"/>
                <c:pt idx="0">
                  <c:v>Нафта</c:v>
                </c:pt>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'Доходный подход'!$B$132:$J$132</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подход'!$B$124:$J$124</c:f>
              <c:numCache>
                <c:formatCode>0.0</c:formatCode>
                <c:ptCount val="9"/>
                <c:pt idx="0">
                  <c:v>6.4989410600169792</c:v>
                </c:pt>
                <c:pt idx="1">
                  <c:v>6.57174053319764</c:v>
                </c:pt>
                <c:pt idx="2">
                  <c:v>5.6354731641051865</c:v>
                </c:pt>
                <c:pt idx="3">
                  <c:v>5.6173394795589608</c:v>
                </c:pt>
                <c:pt idx="4">
                  <c:v>5.7287722578976581</c:v>
                </c:pt>
                <c:pt idx="5">
                  <c:v>6.1479616244411996</c:v>
                </c:pt>
                <c:pt idx="6">
                  <c:v>6.2615642908611084</c:v>
                </c:pt>
                <c:pt idx="7">
                  <c:v>6.3174711148866542</c:v>
                </c:pt>
                <c:pt idx="8">
                  <c:v>6.5608241461078256</c:v>
                </c:pt>
              </c:numCache>
            </c:numRef>
          </c:val>
          <c:extLst>
            <c:ext xmlns:c16="http://schemas.microsoft.com/office/drawing/2014/chart" uri="{C3380CC4-5D6E-409C-BE32-E72D297353CC}">
              <c16:uniqueId val="{00000001-221D-48C6-9047-8671290DEE18}"/>
            </c:ext>
          </c:extLst>
        </c:ser>
        <c:ser>
          <c:idx val="2"/>
          <c:order val="2"/>
          <c:tx>
            <c:strRef>
              <c:f>'Доходный подход'!$A$125</c:f>
              <c:strCache>
                <c:ptCount val="1"/>
                <c:pt idx="0">
                  <c:v>Дизильное топливо</c:v>
                </c:pt>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'Доходный подход'!$B$132:$J$132</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подход'!$B$125:$J$125</c:f>
              <c:numCache>
                <c:formatCode>0.0</c:formatCode>
                <c:ptCount val="9"/>
                <c:pt idx="0">
                  <c:v>16.818793503136018</c:v>
                </c:pt>
                <c:pt idx="1">
                  <c:v>16.74933030974038</c:v>
                </c:pt>
                <c:pt idx="2">
                  <c:v>14.456712718546195</c:v>
                </c:pt>
                <c:pt idx="3">
                  <c:v>14.110403922949104</c:v>
                </c:pt>
                <c:pt idx="4">
                  <c:v>14.629820146975039</c:v>
                </c:pt>
                <c:pt idx="5">
                  <c:v>15.700322649776044</c:v>
                </c:pt>
                <c:pt idx="6">
                  <c:v>15.990434824448176</c:v>
                </c:pt>
                <c:pt idx="7">
                  <c:v>16.133206563952179</c:v>
                </c:pt>
                <c:pt idx="8">
                  <c:v>16.754668007820687</c:v>
                </c:pt>
              </c:numCache>
            </c:numRef>
          </c:val>
          <c:extLst>
            <c:ext xmlns:c16="http://schemas.microsoft.com/office/drawing/2014/chart" uri="{C3380CC4-5D6E-409C-BE32-E72D297353CC}">
              <c16:uniqueId val="{00000002-221D-48C6-9047-8671290DEE18}"/>
            </c:ext>
          </c:extLst>
        </c:ser>
        <c:ser>
          <c:idx val="3"/>
          <c:order val="3"/>
          <c:tx>
            <c:strRef>
              <c:f>'Доходный подход'!$A$126</c:f>
              <c:strCache>
                <c:ptCount val="1"/>
                <c:pt idx="0">
                  <c:v>Мазут</c:v>
                </c:pt>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'Доходный подход'!$B$132:$J$132</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подход'!$B$126:$J$126</c:f>
              <c:numCache>
                <c:formatCode>0.0</c:formatCode>
                <c:ptCount val="9"/>
                <c:pt idx="0">
                  <c:v>26.788129761855636</c:v>
                </c:pt>
                <c:pt idx="1">
                  <c:v>27.066211823547295</c:v>
                </c:pt>
                <c:pt idx="2">
                  <c:v>27.70365457246951</c:v>
                </c:pt>
                <c:pt idx="3">
                  <c:v>27.222375946930619</c:v>
                </c:pt>
                <c:pt idx="4">
                  <c:v>25.677447622973986</c:v>
                </c:pt>
                <c:pt idx="5">
                  <c:v>27.556334148562541</c:v>
                </c:pt>
                <c:pt idx="6">
                  <c:v>28.065522921568139</c:v>
                </c:pt>
                <c:pt idx="7">
                  <c:v>28.316107947653567</c:v>
                </c:pt>
                <c:pt idx="8">
                  <c:v>29.406862551217912</c:v>
                </c:pt>
              </c:numCache>
            </c:numRef>
          </c:val>
          <c:extLst>
            <c:ext xmlns:c16="http://schemas.microsoft.com/office/drawing/2014/chart" uri="{C3380CC4-5D6E-409C-BE32-E72D297353CC}">
              <c16:uniqueId val="{00000003-221D-48C6-9047-8671290DEE18}"/>
            </c:ext>
          </c:extLst>
        </c:ser>
        <c:ser>
          <c:idx val="4"/>
          <c:order val="4"/>
          <c:tx>
            <c:strRef>
              <c:f>'Доходный подход'!$A$127</c:f>
              <c:strCache>
                <c:ptCount val="1"/>
                <c:pt idx="0">
                  <c:v>Прочее</c:v>
                </c:pt>
              </c:strCache>
            </c:strRef>
          </c:tx>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'Доходный подход'!$B$132:$J$132</c:f>
              <c:numCache>
                <c:formatCode>General</c:formatCode>
                <c:ptCount val="9"/>
                <c:pt idx="0">
                  <c:v>2017</c:v>
                </c:pt>
                <c:pt idx="1">
                  <c:v>2018</c:v>
                </c:pt>
                <c:pt idx="2">
                  <c:v>2019</c:v>
                </c:pt>
                <c:pt idx="3">
                  <c:v>2020</c:v>
                </c:pt>
                <c:pt idx="4">
                  <c:v>2021</c:v>
                </c:pt>
                <c:pt idx="5">
                  <c:v>2022</c:v>
                </c:pt>
                <c:pt idx="6">
                  <c:v>2023</c:v>
                </c:pt>
                <c:pt idx="7">
                  <c:v>2024</c:v>
                </c:pt>
                <c:pt idx="8">
                  <c:v>2025</c:v>
                </c:pt>
              </c:numCache>
            </c:numRef>
          </c:cat>
          <c:val>
            <c:numRef>
              <c:f>'Доходный подход'!$B$127:$J$127</c:f>
              <c:numCache>
                <c:formatCode>0.0</c:formatCode>
                <c:ptCount val="9"/>
                <c:pt idx="0">
                  <c:v>1.0632275475770274</c:v>
                </c:pt>
                <c:pt idx="1">
                  <c:v>0.85891657842404823</c:v>
                </c:pt>
                <c:pt idx="2">
                  <c:v>0.7531686195534093</c:v>
                </c:pt>
                <c:pt idx="3">
                  <c:v>1.15029464011809</c:v>
                </c:pt>
                <c:pt idx="4">
                  <c:v>0.90794419726754283</c:v>
                </c:pt>
                <c:pt idx="5">
                  <c:v>0.97438086742575547</c:v>
                </c:pt>
                <c:pt idx="6">
                  <c:v>0.99238557718322251</c:v>
                </c:pt>
                <c:pt idx="7">
                  <c:v>1.001246162693787</c:v>
                </c:pt>
                <c:pt idx="8">
                  <c:v>1.0398148057883223</c:v>
                </c:pt>
              </c:numCache>
            </c:numRef>
          </c:val>
          <c:extLst>
            <c:ext xmlns:c16="http://schemas.microsoft.com/office/drawing/2014/chart" uri="{C3380CC4-5D6E-409C-BE32-E72D297353CC}">
              <c16:uniqueId val="{00000004-221D-48C6-9047-8671290DEE18}"/>
            </c:ext>
          </c:extLst>
        </c:ser>
        <c:dLbls>
          <c:dLblPos val="ctr"/>
          <c:showLegendKey val="0"/>
          <c:showVal val="1"/>
          <c:showCatName val="0"/>
          <c:showSerName val="0"/>
          <c:showPercent val="0"/>
          <c:showBubbleSize val="0"/>
        </c:dLbls>
        <c:gapWidth val="219"/>
        <c:overlap val="100"/>
        <c:axId val="650439712"/>
        <c:axId val="650432168"/>
      </c:barChart>
      <c:catAx>
        <c:axId val="65043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50432168"/>
        <c:crosses val="autoZero"/>
        <c:auto val="1"/>
        <c:lblAlgn val="ctr"/>
        <c:lblOffset val="100"/>
        <c:noMultiLvlLbl val="0"/>
      </c:catAx>
      <c:valAx>
        <c:axId val="6504321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5043971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chart>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Прогнозная</a:t>
            </a:r>
            <a:r>
              <a:rPr lang="ru-RU" baseline="0"/>
              <a:t> выручка, млрд.руб.</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stacked"/>
        <c:varyColors val="0"/>
        <c:ser>
          <c:idx val="0"/>
          <c:order val="0"/>
          <c:tx>
            <c:strRef>
              <c:f>'Доходный подход'!$A$203</c:f>
              <c:strCache>
                <c:ptCount val="1"/>
                <c:pt idx="0">
                  <c:v>Реализация нефти</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подход'!$B$202:$F$202</c:f>
              <c:numCache>
                <c:formatCode>General</c:formatCode>
                <c:ptCount val="5"/>
                <c:pt idx="0">
                  <c:v>2021</c:v>
                </c:pt>
                <c:pt idx="1">
                  <c:v>2022</c:v>
                </c:pt>
                <c:pt idx="2">
                  <c:v>2023</c:v>
                </c:pt>
                <c:pt idx="3">
                  <c:v>2024</c:v>
                </c:pt>
                <c:pt idx="4">
                  <c:v>2025</c:v>
                </c:pt>
              </c:numCache>
            </c:numRef>
          </c:cat>
          <c:val>
            <c:numRef>
              <c:f>'Доходный подход'!$B$203:$F$203</c:f>
              <c:numCache>
                <c:formatCode>0.0</c:formatCode>
                <c:ptCount val="5"/>
                <c:pt idx="0">
                  <c:v>4083.5256021236059</c:v>
                </c:pt>
                <c:pt idx="1">
                  <c:v>4006.1008583402954</c:v>
                </c:pt>
                <c:pt idx="2">
                  <c:v>4024.8230826404574</c:v>
                </c:pt>
                <c:pt idx="3">
                  <c:v>4072.522064334803</c:v>
                </c:pt>
                <c:pt idx="4">
                  <c:v>4910.5850629288734</c:v>
                </c:pt>
              </c:numCache>
            </c:numRef>
          </c:val>
          <c:extLst>
            <c:ext xmlns:c16="http://schemas.microsoft.com/office/drawing/2014/chart" uri="{C3380CC4-5D6E-409C-BE32-E72D297353CC}">
              <c16:uniqueId val="{00000000-824B-4514-8D40-A2D6D36BDF47}"/>
            </c:ext>
          </c:extLst>
        </c:ser>
        <c:ser>
          <c:idx val="1"/>
          <c:order val="1"/>
          <c:tx>
            <c:strRef>
              <c:f>'Доходный подход'!$A$208</c:f>
              <c:strCache>
                <c:ptCount val="1"/>
                <c:pt idx="0">
                  <c:v>Реализация нефтепродуктов на внешнем рынке</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подход'!$B$202:$F$202</c:f>
              <c:numCache>
                <c:formatCode>General</c:formatCode>
                <c:ptCount val="5"/>
                <c:pt idx="0">
                  <c:v>2021</c:v>
                </c:pt>
                <c:pt idx="1">
                  <c:v>2022</c:v>
                </c:pt>
                <c:pt idx="2">
                  <c:v>2023</c:v>
                </c:pt>
                <c:pt idx="3">
                  <c:v>2024</c:v>
                </c:pt>
                <c:pt idx="4">
                  <c:v>2025</c:v>
                </c:pt>
              </c:numCache>
            </c:numRef>
          </c:cat>
          <c:val>
            <c:numRef>
              <c:f>'Доходный подход'!$B$208:$F$208</c:f>
              <c:numCache>
                <c:formatCode>0.0</c:formatCode>
                <c:ptCount val="5"/>
                <c:pt idx="0">
                  <c:v>1482.1150541964253</c:v>
                </c:pt>
                <c:pt idx="1">
                  <c:v>1451.9457561594663</c:v>
                </c:pt>
                <c:pt idx="2">
                  <c:v>1457.9810019131394</c:v>
                </c:pt>
                <c:pt idx="3">
                  <c:v>1474.9369944617263</c:v>
                </c:pt>
                <c:pt idx="4">
                  <c:v>1782.8580685182842</c:v>
                </c:pt>
              </c:numCache>
            </c:numRef>
          </c:val>
          <c:extLst>
            <c:ext xmlns:c16="http://schemas.microsoft.com/office/drawing/2014/chart" uri="{C3380CC4-5D6E-409C-BE32-E72D297353CC}">
              <c16:uniqueId val="{00000001-824B-4514-8D40-A2D6D36BDF47}"/>
            </c:ext>
          </c:extLst>
        </c:ser>
        <c:ser>
          <c:idx val="2"/>
          <c:order val="2"/>
          <c:tx>
            <c:strRef>
              <c:f>'Доходный подход'!$A$214</c:f>
              <c:strCache>
                <c:ptCount val="1"/>
                <c:pt idx="0">
                  <c:v>Реализация нефтепродуктов на внутреннем рынке</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подход'!$B$202:$F$202</c:f>
              <c:numCache>
                <c:formatCode>General</c:formatCode>
                <c:ptCount val="5"/>
                <c:pt idx="0">
                  <c:v>2021</c:v>
                </c:pt>
                <c:pt idx="1">
                  <c:v>2022</c:v>
                </c:pt>
                <c:pt idx="2">
                  <c:v>2023</c:v>
                </c:pt>
                <c:pt idx="3">
                  <c:v>2024</c:v>
                </c:pt>
                <c:pt idx="4">
                  <c:v>2025</c:v>
                </c:pt>
              </c:numCache>
            </c:numRef>
          </c:cat>
          <c:val>
            <c:numRef>
              <c:f>'Доходный подход'!$B$214:$F$214</c:f>
              <c:numCache>
                <c:formatCode>0.0</c:formatCode>
                <c:ptCount val="5"/>
                <c:pt idx="0">
                  <c:v>1532.5124848300864</c:v>
                </c:pt>
                <c:pt idx="1">
                  <c:v>1710.4364814000855</c:v>
                </c:pt>
                <c:pt idx="2">
                  <c:v>1811.723786496817</c:v>
                </c:pt>
                <c:pt idx="3">
                  <c:v>1884.1927379566898</c:v>
                </c:pt>
                <c:pt idx="4">
                  <c:v>2003.6136720504978</c:v>
                </c:pt>
              </c:numCache>
            </c:numRef>
          </c:val>
          <c:extLst>
            <c:ext xmlns:c16="http://schemas.microsoft.com/office/drawing/2014/chart" uri="{C3380CC4-5D6E-409C-BE32-E72D297353CC}">
              <c16:uniqueId val="{00000002-824B-4514-8D40-A2D6D36BDF47}"/>
            </c:ext>
          </c:extLst>
        </c:ser>
        <c:ser>
          <c:idx val="3"/>
          <c:order val="3"/>
          <c:tx>
            <c:strRef>
              <c:f>'Доходный подход'!$A$215</c:f>
              <c:strCache>
                <c:ptCount val="1"/>
                <c:pt idx="0">
                  <c:v>Реализация газа</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подход'!$B$202:$F$202</c:f>
              <c:numCache>
                <c:formatCode>General</c:formatCode>
                <c:ptCount val="5"/>
                <c:pt idx="0">
                  <c:v>2021</c:v>
                </c:pt>
                <c:pt idx="1">
                  <c:v>2022</c:v>
                </c:pt>
                <c:pt idx="2">
                  <c:v>2023</c:v>
                </c:pt>
                <c:pt idx="3">
                  <c:v>2024</c:v>
                </c:pt>
                <c:pt idx="4">
                  <c:v>2025</c:v>
                </c:pt>
              </c:numCache>
            </c:numRef>
          </c:cat>
          <c:val>
            <c:numRef>
              <c:f>'Доходный подход'!$B$215:$F$215</c:f>
              <c:numCache>
                <c:formatCode>0.0</c:formatCode>
                <c:ptCount val="5"/>
                <c:pt idx="0">
                  <c:v>262.19236186826726</c:v>
                </c:pt>
                <c:pt idx="1">
                  <c:v>297.82581699984991</c:v>
                </c:pt>
                <c:pt idx="2">
                  <c:v>319.34809273268814</c:v>
                </c:pt>
                <c:pt idx="3">
                  <c:v>338.98061125385971</c:v>
                </c:pt>
                <c:pt idx="4">
                  <c:v>367.88756551355692</c:v>
                </c:pt>
              </c:numCache>
            </c:numRef>
          </c:val>
          <c:extLst>
            <c:ext xmlns:c16="http://schemas.microsoft.com/office/drawing/2014/chart" uri="{C3380CC4-5D6E-409C-BE32-E72D297353CC}">
              <c16:uniqueId val="{00000003-824B-4514-8D40-A2D6D36BDF47}"/>
            </c:ext>
          </c:extLst>
        </c:ser>
        <c:dLbls>
          <c:dLblPos val="ctr"/>
          <c:showLegendKey val="0"/>
          <c:showVal val="1"/>
          <c:showCatName val="0"/>
          <c:showSerName val="0"/>
          <c:showPercent val="0"/>
          <c:showBubbleSize val="0"/>
        </c:dLbls>
        <c:gapWidth val="150"/>
        <c:overlap val="100"/>
        <c:axId val="650386576"/>
        <c:axId val="650382640"/>
      </c:barChart>
      <c:catAx>
        <c:axId val="65038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50382640"/>
        <c:crosses val="autoZero"/>
        <c:auto val="1"/>
        <c:lblAlgn val="ctr"/>
        <c:lblOffset val="100"/>
        <c:noMultiLvlLbl val="0"/>
      </c:catAx>
      <c:valAx>
        <c:axId val="6503826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5038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Прогноз операционных показателей и денежного потока</a:t>
            </a:r>
            <a:r>
              <a:rPr lang="ru-RU" baseline="0"/>
              <a:t>, млрд.руб.</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manualLayout>
          <c:layoutTarget val="inner"/>
          <c:xMode val="edge"/>
          <c:yMode val="edge"/>
          <c:x val="5.1699402687658685E-2"/>
          <c:y val="8.5202429149797573E-2"/>
          <c:w val="0.94830059731234129"/>
          <c:h val="0.83165306512799264"/>
        </c:manualLayout>
      </c:layout>
      <c:lineChart>
        <c:grouping val="standard"/>
        <c:varyColors val="0"/>
        <c:ser>
          <c:idx val="0"/>
          <c:order val="0"/>
          <c:tx>
            <c:strRef>
              <c:f>'Доходный подход'!$A$297</c:f>
              <c:strCache>
                <c:ptCount val="1"/>
                <c:pt idx="0">
                  <c:v>Выручка</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подход'!$B$296:$F$296</c:f>
              <c:numCache>
                <c:formatCode>General</c:formatCode>
                <c:ptCount val="5"/>
                <c:pt idx="0">
                  <c:v>2021</c:v>
                </c:pt>
                <c:pt idx="1">
                  <c:v>2022</c:v>
                </c:pt>
                <c:pt idx="2">
                  <c:v>2023</c:v>
                </c:pt>
                <c:pt idx="3">
                  <c:v>2024</c:v>
                </c:pt>
                <c:pt idx="4">
                  <c:v>2025</c:v>
                </c:pt>
              </c:numCache>
            </c:numRef>
          </c:cat>
          <c:val>
            <c:numRef>
              <c:f>'Доходный подход'!$B$297:$F$297</c:f>
              <c:numCache>
                <c:formatCode>#\ ##0.0\ ;\(#\ ##0.0\)\ </c:formatCode>
                <c:ptCount val="5"/>
                <c:pt idx="0">
                  <c:v>7360.345503018385</c:v>
                </c:pt>
                <c:pt idx="1">
                  <c:v>7466.3089128996971</c:v>
                </c:pt>
                <c:pt idx="2">
                  <c:v>7613.8759637831017</c:v>
                </c:pt>
                <c:pt idx="3">
                  <c:v>7770.632408007079</c:v>
                </c:pt>
                <c:pt idx="4">
                  <c:v>9064.9443690112112</c:v>
                </c:pt>
              </c:numCache>
            </c:numRef>
          </c:val>
          <c:smooth val="0"/>
          <c:extLst>
            <c:ext xmlns:c16="http://schemas.microsoft.com/office/drawing/2014/chart" uri="{C3380CC4-5D6E-409C-BE32-E72D297353CC}">
              <c16:uniqueId val="{00000000-3E26-4073-94D9-8360336D1214}"/>
            </c:ext>
          </c:extLst>
        </c:ser>
        <c:ser>
          <c:idx val="1"/>
          <c:order val="1"/>
          <c:tx>
            <c:strRef>
              <c:f>'Доходный подход'!$A$298</c:f>
              <c:strCache>
                <c:ptCount val="1"/>
                <c:pt idx="0">
                  <c:v>Затраты и расходы по операционной деятельности</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подход'!$B$296:$F$296</c:f>
              <c:numCache>
                <c:formatCode>General</c:formatCode>
                <c:ptCount val="5"/>
                <c:pt idx="0">
                  <c:v>2021</c:v>
                </c:pt>
                <c:pt idx="1">
                  <c:v>2022</c:v>
                </c:pt>
                <c:pt idx="2">
                  <c:v>2023</c:v>
                </c:pt>
                <c:pt idx="3">
                  <c:v>2024</c:v>
                </c:pt>
                <c:pt idx="4">
                  <c:v>2025</c:v>
                </c:pt>
              </c:numCache>
            </c:numRef>
          </c:cat>
          <c:val>
            <c:numRef>
              <c:f>'Доходный подход'!$B$293:$G$293</c:f>
              <c:numCache>
                <c:formatCode>#\ ##0.0\ ;\(#\ ##0.0\)\ </c:formatCode>
                <c:ptCount val="6"/>
                <c:pt idx="0">
                  <c:v>6510.6145384464971</c:v>
                </c:pt>
                <c:pt idx="1">
                  <c:v>6600.8327882912381</c:v>
                </c:pt>
                <c:pt idx="2">
                  <c:v>6734.8756282441036</c:v>
                </c:pt>
                <c:pt idx="3">
                  <c:v>6873.5349866045599</c:v>
                </c:pt>
                <c:pt idx="4">
                  <c:v>8006.9322816252516</c:v>
                </c:pt>
              </c:numCache>
            </c:numRef>
          </c:val>
          <c:smooth val="0"/>
          <c:extLst>
            <c:ext xmlns:c16="http://schemas.microsoft.com/office/drawing/2014/chart" uri="{C3380CC4-5D6E-409C-BE32-E72D297353CC}">
              <c16:uniqueId val="{00000001-3E26-4073-94D9-8360336D1214}"/>
            </c:ext>
          </c:extLst>
        </c:ser>
        <c:ser>
          <c:idx val="2"/>
          <c:order val="2"/>
          <c:tx>
            <c:strRef>
              <c:f>'Доходный подход'!$A$299</c:f>
              <c:strCache>
                <c:ptCount val="1"/>
                <c:pt idx="0">
                  <c:v>Операционная прибыль (EBIT)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подход'!$B$296:$F$296</c:f>
              <c:numCache>
                <c:formatCode>General</c:formatCode>
                <c:ptCount val="5"/>
                <c:pt idx="0">
                  <c:v>2021</c:v>
                </c:pt>
                <c:pt idx="1">
                  <c:v>2022</c:v>
                </c:pt>
                <c:pt idx="2">
                  <c:v>2023</c:v>
                </c:pt>
                <c:pt idx="3">
                  <c:v>2024</c:v>
                </c:pt>
                <c:pt idx="4">
                  <c:v>2025</c:v>
                </c:pt>
              </c:numCache>
            </c:numRef>
          </c:cat>
          <c:val>
            <c:numRef>
              <c:f>'Доходный подход'!$B$299:$F$299</c:f>
              <c:numCache>
                <c:formatCode>#\ ##0.0\ ;\(#\ ##0.0\)\ </c:formatCode>
                <c:ptCount val="5"/>
                <c:pt idx="0">
                  <c:v>849.73096457188797</c:v>
                </c:pt>
                <c:pt idx="1">
                  <c:v>865.47612460845949</c:v>
                </c:pt>
                <c:pt idx="2">
                  <c:v>879.00033553899857</c:v>
                </c:pt>
                <c:pt idx="3">
                  <c:v>897.09742140251922</c:v>
                </c:pt>
                <c:pt idx="4">
                  <c:v>1058.0120873859596</c:v>
                </c:pt>
              </c:numCache>
            </c:numRef>
          </c:val>
          <c:smooth val="0"/>
          <c:extLst>
            <c:ext xmlns:c16="http://schemas.microsoft.com/office/drawing/2014/chart" uri="{C3380CC4-5D6E-409C-BE32-E72D297353CC}">
              <c16:uniqueId val="{00000002-3E26-4073-94D9-8360336D1214}"/>
            </c:ext>
          </c:extLst>
        </c:ser>
        <c:ser>
          <c:idx val="3"/>
          <c:order val="3"/>
          <c:tx>
            <c:strRef>
              <c:f>'Доходный подход'!$A$305</c:f>
              <c:strCache>
                <c:ptCount val="1"/>
                <c:pt idx="0">
                  <c:v>Денежный поток (FCFF)</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1"/>
              <c:layout>
                <c:manualLayout>
                  <c:x val="-1.8873540367806141E-2"/>
                  <c:y val="2.73430775606490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26-4073-94D9-8360336D1214}"/>
                </c:ext>
              </c:extLst>
            </c:dLbl>
            <c:dLbl>
              <c:idx val="2"/>
              <c:layout>
                <c:manualLayout>
                  <c:x val="-1.8873540367806099E-2"/>
                  <c:y val="1.92459115687462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E26-4073-94D9-8360336D1214}"/>
                </c:ext>
              </c:extLst>
            </c:dLbl>
            <c:dLbl>
              <c:idx val="3"/>
              <c:layout>
                <c:manualLayout>
                  <c:x val="-1.7810841022772052E-2"/>
                  <c:y val="1.92459115687460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26-4073-94D9-8360336D1214}"/>
                </c:ext>
              </c:extLst>
            </c:dLbl>
            <c:dLbl>
              <c:idx val="4"/>
              <c:layout>
                <c:manualLayout>
                  <c:x val="-1.7810841022771973E-2"/>
                  <c:y val="3.1391660556600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E26-4073-94D9-8360336D12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'Доходный подход'!$B$296:$F$296</c:f>
              <c:numCache>
                <c:formatCode>General</c:formatCode>
                <c:ptCount val="5"/>
                <c:pt idx="0">
                  <c:v>2021</c:v>
                </c:pt>
                <c:pt idx="1">
                  <c:v>2022</c:v>
                </c:pt>
                <c:pt idx="2">
                  <c:v>2023</c:v>
                </c:pt>
                <c:pt idx="3">
                  <c:v>2024</c:v>
                </c:pt>
                <c:pt idx="4">
                  <c:v>2025</c:v>
                </c:pt>
              </c:numCache>
            </c:numRef>
          </c:cat>
          <c:val>
            <c:numRef>
              <c:f>'Доходный подход'!$B$305:$F$305</c:f>
              <c:numCache>
                <c:formatCode>#\ ##0.0\ ;\(#\ ##0.0\)\ </c:formatCode>
                <c:ptCount val="5"/>
                <c:pt idx="0">
                  <c:v>209.19455111103798</c:v>
                </c:pt>
                <c:pt idx="1">
                  <c:v>586.10791080721287</c:v>
                </c:pt>
                <c:pt idx="2">
                  <c:v>612.69418626915717</c:v>
                </c:pt>
                <c:pt idx="3">
                  <c:v>639.65363802039167</c:v>
                </c:pt>
                <c:pt idx="4">
                  <c:v>933.67582779103088</c:v>
                </c:pt>
              </c:numCache>
            </c:numRef>
          </c:val>
          <c:smooth val="0"/>
          <c:extLst>
            <c:ext xmlns:c16="http://schemas.microsoft.com/office/drawing/2014/chart" uri="{C3380CC4-5D6E-409C-BE32-E72D297353CC}">
              <c16:uniqueId val="{00000007-3E26-4073-94D9-8360336D1214}"/>
            </c:ext>
          </c:extLst>
        </c:ser>
        <c:dLbls>
          <c:dLblPos val="t"/>
          <c:showLegendKey val="0"/>
          <c:showVal val="1"/>
          <c:showCatName val="0"/>
          <c:showSerName val="0"/>
          <c:showPercent val="0"/>
          <c:showBubbleSize val="0"/>
        </c:dLbls>
        <c:marker val="1"/>
        <c:smooth val="0"/>
        <c:axId val="388657720"/>
        <c:axId val="388659360"/>
      </c:lineChart>
      <c:catAx>
        <c:axId val="388657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88659360"/>
        <c:crosses val="autoZero"/>
        <c:auto val="1"/>
        <c:lblAlgn val="ctr"/>
        <c:lblOffset val="100"/>
        <c:noMultiLvlLbl val="0"/>
      </c:catAx>
      <c:valAx>
        <c:axId val="388659360"/>
        <c:scaling>
          <c:orientation val="minMax"/>
        </c:scaling>
        <c:delete val="0"/>
        <c:axPos val="l"/>
        <c:majorGridlines>
          <c:spPr>
            <a:ln w="9525" cap="flat" cmpd="sng" algn="ctr">
              <a:solidFill>
                <a:schemeClr val="tx1">
                  <a:lumMod val="15000"/>
                  <a:lumOff val="85000"/>
                </a:schemeClr>
              </a:solidFill>
              <a:round/>
            </a:ln>
            <a:effectLst/>
          </c:spPr>
        </c:majorGridlines>
        <c:numFmt formatCode="#\ ##0.0\ ;\(#\ ##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88657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13</xdr:col>
      <xdr:colOff>339724</xdr:colOff>
      <xdr:row>215</xdr:row>
      <xdr:rowOff>63500</xdr:rowOff>
    </xdr:from>
    <xdr:to>
      <xdr:col>17</xdr:col>
      <xdr:colOff>577850</xdr:colOff>
      <xdr:row>233</xdr:row>
      <xdr:rowOff>114300</xdr:rowOff>
    </xdr:to>
    <xdr:graphicFrame macro="">
      <xdr:nvGraphicFramePr>
        <xdr:cNvPr id="2" name="Диаграмма 1">
          <a:extLst>
            <a:ext uri="{FF2B5EF4-FFF2-40B4-BE49-F238E27FC236}">
              <a16:creationId xmlns:a16="http://schemas.microsoft.com/office/drawing/2014/main" id="{A6F9496D-FB4B-477B-AF7D-96FE34316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19050</xdr:colOff>
      <xdr:row>63</xdr:row>
      <xdr:rowOff>152400</xdr:rowOff>
    </xdr:from>
    <xdr:to>
      <xdr:col>37</xdr:col>
      <xdr:colOff>244475</xdr:colOff>
      <xdr:row>83</xdr:row>
      <xdr:rowOff>69850</xdr:rowOff>
    </xdr:to>
    <xdr:graphicFrame macro="">
      <xdr:nvGraphicFramePr>
        <xdr:cNvPr id="3" name="Диаграмма 2">
          <a:extLst>
            <a:ext uri="{FF2B5EF4-FFF2-40B4-BE49-F238E27FC236}">
              <a16:creationId xmlns:a16="http://schemas.microsoft.com/office/drawing/2014/main" id="{9095D7C1-BA61-4361-A00B-C99C78453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0</xdr:colOff>
      <xdr:row>87</xdr:row>
      <xdr:rowOff>0</xdr:rowOff>
    </xdr:from>
    <xdr:to>
      <xdr:col>37</xdr:col>
      <xdr:colOff>225425</xdr:colOff>
      <xdr:row>106</xdr:row>
      <xdr:rowOff>101600</xdr:rowOff>
    </xdr:to>
    <xdr:graphicFrame macro="">
      <xdr:nvGraphicFramePr>
        <xdr:cNvPr id="4" name="Диаграмма 3">
          <a:extLst>
            <a:ext uri="{FF2B5EF4-FFF2-40B4-BE49-F238E27FC236}">
              <a16:creationId xmlns:a16="http://schemas.microsoft.com/office/drawing/2014/main" id="{AB3690A6-D86F-4763-9BD3-972DB0373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41</xdr:col>
      <xdr:colOff>0</xdr:colOff>
      <xdr:row>109</xdr:row>
      <xdr:rowOff>0</xdr:rowOff>
    </xdr:from>
    <xdr:to>
      <xdr:col>52</xdr:col>
      <xdr:colOff>473075</xdr:colOff>
      <xdr:row>128</xdr:row>
      <xdr:rowOff>101600</xdr:rowOff>
    </xdr:to>
    <xdr:graphicFrame macro="">
      <xdr:nvGraphicFramePr>
        <xdr:cNvPr id="5" name="Диаграмма 4">
          <a:extLst>
            <a:ext uri="{FF2B5EF4-FFF2-40B4-BE49-F238E27FC236}">
              <a16:creationId xmlns:a16="http://schemas.microsoft.com/office/drawing/2014/main" id="{7FEB4426-5BA0-4357-89EC-C6338F613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41</xdr:col>
      <xdr:colOff>209550</xdr:colOff>
      <xdr:row>131</xdr:row>
      <xdr:rowOff>44450</xdr:rowOff>
    </xdr:from>
    <xdr:to>
      <xdr:col>53</xdr:col>
      <xdr:colOff>73025</xdr:colOff>
      <xdr:row>150</xdr:row>
      <xdr:rowOff>146050</xdr:rowOff>
    </xdr:to>
    <xdr:graphicFrame macro="">
      <xdr:nvGraphicFramePr>
        <xdr:cNvPr id="6" name="Диаграмма 5">
          <a:extLst>
            <a:ext uri="{FF2B5EF4-FFF2-40B4-BE49-F238E27FC236}">
              <a16:creationId xmlns:a16="http://schemas.microsoft.com/office/drawing/2014/main" id="{6247F0E1-F961-4A92-A20E-BD0A8391A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41</xdr:col>
      <xdr:colOff>47624</xdr:colOff>
      <xdr:row>165</xdr:row>
      <xdr:rowOff>31750</xdr:rowOff>
    </xdr:from>
    <xdr:to>
      <xdr:col>51</xdr:col>
      <xdr:colOff>539749</xdr:colOff>
      <xdr:row>191</xdr:row>
      <xdr:rowOff>25400</xdr:rowOff>
    </xdr:to>
    <xdr:graphicFrame macro="">
      <xdr:nvGraphicFramePr>
        <xdr:cNvPr id="7" name="Диаграмма 6">
          <a:extLst>
            <a:ext uri="{FF2B5EF4-FFF2-40B4-BE49-F238E27FC236}">
              <a16:creationId xmlns:a16="http://schemas.microsoft.com/office/drawing/2014/main" id="{7485B44E-D83D-42B1-9658-4B6F738C4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1123950</xdr:colOff>
      <xdr:row>240</xdr:row>
      <xdr:rowOff>107950</xdr:rowOff>
    </xdr:from>
    <xdr:to>
      <xdr:col>47</xdr:col>
      <xdr:colOff>809625</xdr:colOff>
      <xdr:row>264</xdr:row>
      <xdr:rowOff>177800</xdr:rowOff>
    </xdr:to>
    <xdr:graphicFrame macro="">
      <xdr:nvGraphicFramePr>
        <xdr:cNvPr id="8" name="Диаграмма 7">
          <a:extLst>
            <a:ext uri="{FF2B5EF4-FFF2-40B4-BE49-F238E27FC236}">
              <a16:creationId xmlns:a16="http://schemas.microsoft.com/office/drawing/2014/main" id="{DD649420-9BCF-4034-8E7B-8CB029A7A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1927224</xdr:colOff>
      <xdr:row>93</xdr:row>
      <xdr:rowOff>95250</xdr:rowOff>
    </xdr:from>
    <xdr:to>
      <xdr:col>17</xdr:col>
      <xdr:colOff>6349</xdr:colOff>
      <xdr:row>118</xdr:row>
      <xdr:rowOff>57150</xdr:rowOff>
    </xdr:to>
    <xdr:graphicFrame macro="">
      <xdr:nvGraphicFramePr>
        <xdr:cNvPr id="9" name="Диаграмма 8">
          <a:extLst>
            <a:ext uri="{FF2B5EF4-FFF2-40B4-BE49-F238E27FC236}">
              <a16:creationId xmlns:a16="http://schemas.microsoft.com/office/drawing/2014/main" id="{0929EAE0-9287-44D4-BFBC-2FD6AC33A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746125</xdr:colOff>
      <xdr:row>198</xdr:row>
      <xdr:rowOff>44450</xdr:rowOff>
    </xdr:from>
    <xdr:to>
      <xdr:col>11</xdr:col>
      <xdr:colOff>1089025</xdr:colOff>
      <xdr:row>212</xdr:row>
      <xdr:rowOff>177800</xdr:rowOff>
    </xdr:to>
    <xdr:graphicFrame macro="">
      <xdr:nvGraphicFramePr>
        <xdr:cNvPr id="10" name="Диаграмма 9">
          <a:extLst>
            <a:ext uri="{FF2B5EF4-FFF2-40B4-BE49-F238E27FC236}">
              <a16:creationId xmlns:a16="http://schemas.microsoft.com/office/drawing/2014/main" id="{3F86C642-259B-4A29-BAFF-9E66E45B8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406400</xdr:colOff>
      <xdr:row>270</xdr:row>
      <xdr:rowOff>158750</xdr:rowOff>
    </xdr:from>
    <xdr:to>
      <xdr:col>21</xdr:col>
      <xdr:colOff>82549</xdr:colOff>
      <xdr:row>304</xdr:row>
      <xdr:rowOff>139700</xdr:rowOff>
    </xdr:to>
    <xdr:graphicFrame macro="">
      <xdr:nvGraphicFramePr>
        <xdr:cNvPr id="11" name="Диаграмма 10">
          <a:extLst>
            <a:ext uri="{FF2B5EF4-FFF2-40B4-BE49-F238E27FC236}">
              <a16:creationId xmlns:a16="http://schemas.microsoft.com/office/drawing/2014/main" id="{3C6031CF-5E31-4F2D-8CC3-520742747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69;&#1082;&#1086;&#1085;&#1086;&#1084;\&#1069;&#1082;&#1086;&#1085;&#1086;&#1084;&#1080;&#1082;&#1072;%20&#1073;&#1072;&#1082;&#1072;&#1083;&#1072;&#1074;&#1088;&#1080;&#1072;&#1090;\&#1042;&#1050;&#1056;%20&#1043;&#1054;&#1058;&#1054;&#1042;&#1040;&#1071;\&#1042;&#1050;&#1056;%20&#1053;&#1045;%20&#1043;&#1054;&#1058;&#1054;&#1042;&#1040;&#1071;\&#1056;&#1086;&#1089;&#1085;&#1077;&#1092;&#1090;&#110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1069;&#1082;&#1086;&#1085;&#1086;&#1084;\&#1069;&#1082;&#1086;&#1085;&#1086;&#1084;&#1080;&#1082;&#1072;%20&#1073;&#1072;&#1082;&#1072;&#1083;&#1072;&#1074;&#1088;&#1080;&#1072;&#1090;\&#1042;&#1050;&#1056;%20&#1043;&#1054;&#1058;&#1054;&#1042;&#1040;&#1071;\&#1042;&#1050;&#1056;%20&#1053;&#1045;%20&#1043;&#1054;&#1058;&#1054;&#1042;&#1040;&#1071;\&#1048;&#1089;&#1087;&#1088;&#1072;&#1074;&#1083;&#1103;&#1102;.xlsx" TargetMode="External"/><Relationship Id="rId1" Type="http://schemas.openxmlformats.org/officeDocument/2006/relationships/externalLinkPath" Target="file:///D:\&#1069;&#1082;&#1086;&#1085;&#1086;&#1084;\&#1069;&#1082;&#1086;&#1085;&#1086;&#1084;&#1080;&#1082;&#1072;%20&#1073;&#1072;&#1082;&#1072;&#1083;&#1072;&#1074;&#1088;&#1080;&#1072;&#1090;\&#1042;&#1050;&#1056;%20&#1043;&#1054;&#1058;&#1054;&#1042;&#1040;&#1071;\&#1042;&#1050;&#1056;%20&#1053;&#1045;%20&#1043;&#1054;&#1058;&#1054;&#1042;&#1040;&#1071;\&#1048;&#1089;&#1087;&#1088;&#1072;&#1074;&#1083;&#1103;&#11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IS"/>
      <sheetName val="сок+фин устойч"/>
      <sheetName val="коэф"/>
      <sheetName val="ликв баланса"/>
      <sheetName val="ликвид"/>
      <sheetName val="оборач"/>
      <sheetName val="рент"/>
      <sheetName val="банкрот"/>
      <sheetName val="Добыча 2020"/>
      <sheetName val="WACC"/>
      <sheetName val="Доходный подход"/>
      <sheetName val="Сравнительный подход"/>
      <sheetName val="Затратный подход"/>
      <sheetName val="Согласование"/>
      <sheetName val="Доходный подход (2)"/>
      <sheetName val="Доходный подход (3)"/>
      <sheetName val="BS (2)"/>
      <sheetName val="Прогноз с сайта"/>
      <sheetName val="этот же сайт"/>
    </sheetNames>
    <sheetDataSet>
      <sheetData sheetId="0">
        <row r="5">
          <cell r="J5">
            <v>806000000</v>
          </cell>
        </row>
        <row r="25">
          <cell r="J25">
            <v>15350000000</v>
          </cell>
        </row>
        <row r="35">
          <cell r="J35">
            <v>3092000000</v>
          </cell>
        </row>
        <row r="42">
          <cell r="J42">
            <v>6771000000</v>
          </cell>
        </row>
        <row r="52">
          <cell r="J52">
            <v>5487000000</v>
          </cell>
        </row>
      </sheetData>
      <sheetData sheetId="1">
        <row r="6">
          <cell r="J6">
            <v>5757000000</v>
          </cell>
        </row>
        <row r="13">
          <cell r="J13">
            <v>-663000000</v>
          </cell>
        </row>
        <row r="17">
          <cell r="J17">
            <v>378000000</v>
          </cell>
        </row>
        <row r="26">
          <cell r="J26">
            <v>181000000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S"/>
      <sheetName val="IS"/>
      <sheetName val="сок+фин устойч"/>
      <sheetName val="коэф"/>
      <sheetName val="ликв баланса"/>
      <sheetName val="ликвид"/>
      <sheetName val="оборач"/>
      <sheetName val="рент"/>
      <sheetName val="банкрот"/>
      <sheetName val="Добыча 2020"/>
      <sheetName val="WACC"/>
      <sheetName val="Доходный подход"/>
      <sheetName val="этот же сайт"/>
      <sheetName val="Сравнительный подход"/>
      <sheetName val="Затратный подход"/>
      <sheetName val="Согласование"/>
      <sheetName val="Сравнительный подход (3)"/>
      <sheetName val="Доходный подход (2)"/>
      <sheetName val="Доходный подход (3)"/>
      <sheetName val="BS (2)"/>
      <sheetName val="Доходный подход (4)"/>
      <sheetName val="Прогноз с сайта"/>
      <sheetName val="Доходный подход (5)"/>
    </sheetNames>
    <sheetDataSet>
      <sheetData sheetId="0">
        <row r="5">
          <cell r="J5">
            <v>806000000</v>
          </cell>
        </row>
        <row r="8">
          <cell r="J8">
            <v>468000000</v>
          </cell>
        </row>
        <row r="10">
          <cell r="J10">
            <v>361000000</v>
          </cell>
        </row>
        <row r="28">
          <cell r="J28">
            <v>1546000000</v>
          </cell>
        </row>
      </sheetData>
      <sheetData sheetId="1">
        <row r="10">
          <cell r="G10">
            <v>-172000000</v>
          </cell>
          <cell r="H10">
            <v>-167000000</v>
          </cell>
          <cell r="I10">
            <v>-200000000</v>
          </cell>
          <cell r="J10">
            <v>-127000000</v>
          </cell>
        </row>
        <row r="14">
          <cell r="G14">
            <v>-1919000000</v>
          </cell>
          <cell r="H14">
            <v>-2701000000</v>
          </cell>
          <cell r="I14">
            <v>-2666000000</v>
          </cell>
          <cell r="J14">
            <v>-2121000000</v>
          </cell>
        </row>
        <row r="15">
          <cell r="G15">
            <v>-658000000</v>
          </cell>
          <cell r="H15">
            <v>-1061000000</v>
          </cell>
          <cell r="I15">
            <v>-793000000</v>
          </cell>
          <cell r="J15">
            <v>-334000000</v>
          </cell>
        </row>
      </sheetData>
      <sheetData sheetId="2" refreshError="1"/>
      <sheetData sheetId="3" refreshError="1"/>
      <sheetData sheetId="4" refreshError="1"/>
      <sheetData sheetId="5" refreshError="1"/>
      <sheetData sheetId="6">
        <row r="37">
          <cell r="B37">
            <v>19.575694417909421</v>
          </cell>
        </row>
        <row r="43">
          <cell r="B43">
            <v>28.066721177103446</v>
          </cell>
        </row>
        <row r="49">
          <cell r="B49">
            <v>65.656753272078291</v>
          </cell>
        </row>
      </sheetData>
      <sheetData sheetId="7" refreshError="1"/>
      <sheetData sheetId="8" refreshError="1"/>
      <sheetData sheetId="9" refreshError="1"/>
      <sheetData sheetId="10">
        <row r="32">
          <cell r="R32">
            <v>4608000000</v>
          </cell>
        </row>
        <row r="39">
          <cell r="R39">
            <v>0.119120430616453</v>
          </cell>
        </row>
      </sheetData>
      <sheetData sheetId="11" refreshError="1"/>
      <sheetData sheetId="12">
        <row r="321">
          <cell r="T321">
            <v>-15879730.432364225</v>
          </cell>
        </row>
        <row r="322">
          <cell r="T322">
            <v>1.4123804418361876</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53">
          <cell r="AD53">
            <v>2017</v>
          </cell>
          <cell r="AE53">
            <v>2018</v>
          </cell>
          <cell r="AF53">
            <v>2019</v>
          </cell>
          <cell r="AG53">
            <v>2020</v>
          </cell>
          <cell r="AH53">
            <v>2021</v>
          </cell>
          <cell r="AI53">
            <v>2022</v>
          </cell>
          <cell r="AJ53">
            <v>2023</v>
          </cell>
          <cell r="AK53">
            <v>2024</v>
          </cell>
          <cell r="AL53">
            <v>2025</v>
          </cell>
        </row>
        <row r="54">
          <cell r="AC54" t="str">
            <v>Добыча нефти РФ, млн.т</v>
          </cell>
          <cell r="AD54">
            <v>546.70000000000005</v>
          </cell>
          <cell r="AE54">
            <v>555.79999999999995</v>
          </cell>
          <cell r="AF54">
            <v>560.29999999999995</v>
          </cell>
          <cell r="AG54">
            <v>512.1</v>
          </cell>
          <cell r="AH54">
            <v>512.35</v>
          </cell>
          <cell r="AI54">
            <v>549.84</v>
          </cell>
          <cell r="AJ54">
            <v>560</v>
          </cell>
          <cell r="AK54">
            <v>565</v>
          </cell>
          <cell r="AL54">
            <v>586.76416166208764</v>
          </cell>
        </row>
        <row r="55">
          <cell r="AC55" t="str">
            <v>Добыча нефти Роснефть, млн.т</v>
          </cell>
          <cell r="AD55">
            <v>225.5</v>
          </cell>
          <cell r="AE55">
            <v>230.2</v>
          </cell>
          <cell r="AF55">
            <v>230.2</v>
          </cell>
          <cell r="AG55">
            <v>204.5</v>
          </cell>
          <cell r="AH55">
            <v>209.65874448609381</v>
          </cell>
          <cell r="AI55">
            <v>225.00002745824889</v>
          </cell>
          <cell r="AJ55">
            <v>229.15760107780332</v>
          </cell>
          <cell r="AK55">
            <v>231.20365108742658</v>
          </cell>
          <cell r="AL55">
            <v>240.10976372305782</v>
          </cell>
        </row>
        <row r="58">
          <cell r="AD58">
            <v>2017</v>
          </cell>
          <cell r="AE58">
            <v>2018</v>
          </cell>
          <cell r="AF58">
            <v>2019</v>
          </cell>
          <cell r="AG58">
            <v>2020</v>
          </cell>
          <cell r="AH58">
            <v>2021</v>
          </cell>
          <cell r="AI58">
            <v>2022</v>
          </cell>
          <cell r="AJ58">
            <v>2023</v>
          </cell>
          <cell r="AK58">
            <v>2024</v>
          </cell>
          <cell r="AL58">
            <v>2025</v>
          </cell>
        </row>
        <row r="59">
          <cell r="AC59" t="str">
            <v>Добыча газа РФ, млрд.м3</v>
          </cell>
          <cell r="AD59">
            <v>689.63666999999998</v>
          </cell>
          <cell r="AE59">
            <v>725.17</v>
          </cell>
          <cell r="AF59">
            <v>737.59</v>
          </cell>
          <cell r="AG59">
            <v>694.3</v>
          </cell>
          <cell r="AH59">
            <v>698.3</v>
          </cell>
          <cell r="AI59">
            <v>770.1</v>
          </cell>
          <cell r="AJ59">
            <v>801.7</v>
          </cell>
          <cell r="AK59">
            <v>826.2</v>
          </cell>
          <cell r="AL59">
            <v>870.53896854294192</v>
          </cell>
        </row>
        <row r="60">
          <cell r="AC60" t="str">
            <v>Добыча газа Роснефть, млрд.м3</v>
          </cell>
          <cell r="AD60">
            <v>68.41</v>
          </cell>
          <cell r="AE60">
            <v>67.3</v>
          </cell>
          <cell r="AF60">
            <v>67</v>
          </cell>
          <cell r="AG60">
            <v>62.8</v>
          </cell>
          <cell r="AH60">
            <v>65.167131852290424</v>
          </cell>
          <cell r="AI60">
            <v>71.867690447442158</v>
          </cell>
          <cell r="AJ60">
            <v>74.816682809653798</v>
          </cell>
          <cell r="AK60">
            <v>77.103085115798876</v>
          </cell>
          <cell r="AL60">
            <v>81.240910419010177</v>
          </cell>
        </row>
        <row r="112">
          <cell r="AD112">
            <v>2017</v>
          </cell>
          <cell r="AE112">
            <v>2018</v>
          </cell>
          <cell r="AF112">
            <v>2019</v>
          </cell>
          <cell r="AG112">
            <v>2020</v>
          </cell>
          <cell r="AH112">
            <v>2021</v>
          </cell>
          <cell r="AI112">
            <v>2022</v>
          </cell>
          <cell r="AJ112">
            <v>2023</v>
          </cell>
          <cell r="AK112">
            <v>2024</v>
          </cell>
          <cell r="AL112">
            <v>2025</v>
          </cell>
        </row>
        <row r="113">
          <cell r="AC113" t="str">
            <v>Добыча нефти Роснефть, млн.т</v>
          </cell>
          <cell r="AD113">
            <v>225.5</v>
          </cell>
          <cell r="AE113">
            <v>230.2</v>
          </cell>
          <cell r="AF113">
            <v>230.2</v>
          </cell>
          <cell r="AG113">
            <v>204.5</v>
          </cell>
          <cell r="AH113">
            <v>209.65874448609381</v>
          </cell>
          <cell r="AI113">
            <v>225.00002745824889</v>
          </cell>
          <cell r="AJ113">
            <v>229.15760107780332</v>
          </cell>
          <cell r="AK113">
            <v>231.20365108742658</v>
          </cell>
          <cell r="AL113">
            <v>240.10976372305782</v>
          </cell>
        </row>
        <row r="114">
          <cell r="AC114" t="str">
            <v>Переработка нефти Роснефть, млн.т</v>
          </cell>
          <cell r="AD114">
            <v>112.8</v>
          </cell>
          <cell r="AE114">
            <v>115</v>
          </cell>
          <cell r="AF114">
            <v>110.2</v>
          </cell>
          <cell r="AG114">
            <v>103.98</v>
          </cell>
          <cell r="AH114">
            <v>104.14594469449254</v>
          </cell>
          <cell r="AI114">
            <v>111.76657798540018</v>
          </cell>
          <cell r="AJ114">
            <v>113.83181229416576</v>
          </cell>
          <cell r="AK114">
            <v>114.84816776107796</v>
          </cell>
          <cell r="AL114">
            <v>119.27219269868266</v>
          </cell>
        </row>
        <row r="118">
          <cell r="AC118" t="str">
            <v>Добыча газа, млрд.м3</v>
          </cell>
          <cell r="AD118">
            <v>68.41</v>
          </cell>
          <cell r="AE118">
            <v>67.3</v>
          </cell>
          <cell r="AF118">
            <v>67</v>
          </cell>
          <cell r="AG118">
            <v>62.8</v>
          </cell>
          <cell r="AH118">
            <v>65.167131852290424</v>
          </cell>
          <cell r="AI118">
            <v>71.867690447442158</v>
          </cell>
          <cell r="AJ118">
            <v>74.816682809653798</v>
          </cell>
          <cell r="AK118">
            <v>77.103085115798876</v>
          </cell>
          <cell r="AL118">
            <v>81.240910419010177</v>
          </cell>
        </row>
        <row r="119">
          <cell r="AC119" t="str">
            <v>Реализация газа, млрд. м3</v>
          </cell>
          <cell r="AD119">
            <v>63.91</v>
          </cell>
          <cell r="AE119">
            <v>62.03</v>
          </cell>
          <cell r="AF119">
            <v>61.77</v>
          </cell>
          <cell r="AG119">
            <v>56.43</v>
          </cell>
          <cell r="AH119">
            <v>59.895456737468237</v>
          </cell>
          <cell r="AI119">
            <v>66.053975703170977</v>
          </cell>
          <cell r="AJ119">
            <v>68.764410234037371</v>
          </cell>
          <cell r="AK119">
            <v>70.865854727905287</v>
          </cell>
          <cell r="AL119">
            <v>74.668951924164404</v>
          </cell>
        </row>
        <row r="123">
          <cell r="A123" t="str">
            <v>Автомобильный бензин</v>
          </cell>
          <cell r="B123">
            <v>0.65027416556106665</v>
          </cell>
          <cell r="C123">
            <v>0.7468463815455394</v>
          </cell>
          <cell r="D123">
            <v>1.1422760028581698</v>
          </cell>
          <cell r="E123">
            <v>0.53999081351448486</v>
          </cell>
          <cell r="F123">
            <v>0.72193432519313727</v>
          </cell>
          <cell r="G123">
            <v>0.77476016270946557</v>
          </cell>
          <cell r="H123">
            <v>0.78907626057998814</v>
          </cell>
          <cell r="I123">
            <v>0.79612158433516655</v>
          </cell>
          <cell r="J123">
            <v>0.82678869736905669</v>
          </cell>
        </row>
        <row r="124">
          <cell r="A124" t="str">
            <v>Нафта</v>
          </cell>
          <cell r="B124">
            <v>6.4989410600169792</v>
          </cell>
          <cell r="C124">
            <v>6.57174053319764</v>
          </cell>
          <cell r="D124">
            <v>5.6354731641051865</v>
          </cell>
          <cell r="E124">
            <v>5.6173394795589608</v>
          </cell>
          <cell r="F124">
            <v>5.7287722578976581</v>
          </cell>
          <cell r="G124">
            <v>6.1479616244411996</v>
          </cell>
          <cell r="H124">
            <v>6.2615642908611084</v>
          </cell>
          <cell r="I124">
            <v>6.3174711148866542</v>
          </cell>
          <cell r="J124">
            <v>6.5608241461078256</v>
          </cell>
        </row>
        <row r="125">
          <cell r="A125" t="str">
            <v>Дизильное топливо</v>
          </cell>
          <cell r="B125">
            <v>16.818793503136018</v>
          </cell>
          <cell r="C125">
            <v>16.74933030974038</v>
          </cell>
          <cell r="D125">
            <v>14.456712718546195</v>
          </cell>
          <cell r="E125">
            <v>14.110403922949104</v>
          </cell>
          <cell r="F125">
            <v>14.629820146975039</v>
          </cell>
          <cell r="G125">
            <v>15.700322649776044</v>
          </cell>
          <cell r="H125">
            <v>15.990434824448176</v>
          </cell>
          <cell r="I125">
            <v>16.133206563952179</v>
          </cell>
          <cell r="J125">
            <v>16.754668007820687</v>
          </cell>
        </row>
        <row r="126">
          <cell r="A126" t="str">
            <v>Мазут</v>
          </cell>
          <cell r="B126">
            <v>26.788129761855636</v>
          </cell>
          <cell r="C126">
            <v>27.066211823547295</v>
          </cell>
          <cell r="D126">
            <v>27.70365457246951</v>
          </cell>
          <cell r="E126">
            <v>27.222375946930619</v>
          </cell>
          <cell r="F126">
            <v>25.677447622973986</v>
          </cell>
          <cell r="G126">
            <v>27.556334148562541</v>
          </cell>
          <cell r="H126">
            <v>28.065522921568139</v>
          </cell>
          <cell r="I126">
            <v>28.316107947653567</v>
          </cell>
          <cell r="J126">
            <v>29.406862551217912</v>
          </cell>
        </row>
        <row r="127">
          <cell r="A127" t="str">
            <v>Прочее</v>
          </cell>
          <cell r="B127">
            <v>1.0632275475770274</v>
          </cell>
          <cell r="C127">
            <v>0.85891657842404823</v>
          </cell>
          <cell r="D127">
            <v>0.7531686195534093</v>
          </cell>
          <cell r="E127">
            <v>1.15029464011809</v>
          </cell>
          <cell r="F127">
            <v>0.90794419726754283</v>
          </cell>
          <cell r="G127">
            <v>0.97438086742575547</v>
          </cell>
          <cell r="H127">
            <v>0.99238557718322251</v>
          </cell>
          <cell r="I127">
            <v>1.001246162693787</v>
          </cell>
          <cell r="J127">
            <v>1.0398148057883223</v>
          </cell>
        </row>
        <row r="132">
          <cell r="B132">
            <v>2017</v>
          </cell>
          <cell r="C132">
            <v>2018</v>
          </cell>
          <cell r="D132">
            <v>2019</v>
          </cell>
          <cell r="E132">
            <v>2020</v>
          </cell>
          <cell r="F132">
            <v>2021</v>
          </cell>
          <cell r="G132">
            <v>2022</v>
          </cell>
          <cell r="H132">
            <v>2023</v>
          </cell>
          <cell r="I132">
            <v>2024</v>
          </cell>
          <cell r="J132">
            <v>2025</v>
          </cell>
        </row>
        <row r="195">
          <cell r="AR195">
            <v>2017</v>
          </cell>
          <cell r="AS195">
            <v>2018</v>
          </cell>
          <cell r="AT195">
            <v>2019</v>
          </cell>
          <cell r="AU195">
            <v>2020</v>
          </cell>
          <cell r="AV195">
            <v>2021</v>
          </cell>
          <cell r="AW195">
            <v>2022</v>
          </cell>
          <cell r="AX195">
            <v>2023</v>
          </cell>
          <cell r="AY195">
            <v>2024</v>
          </cell>
          <cell r="AZ195">
            <v>2025</v>
          </cell>
        </row>
        <row r="196">
          <cell r="AQ196" t="str">
            <v>Реализация в Европе</v>
          </cell>
          <cell r="AR196">
            <v>65.7</v>
          </cell>
          <cell r="AS196">
            <v>55.8</v>
          </cell>
          <cell r="AT196">
            <v>61</v>
          </cell>
          <cell r="AU196">
            <v>47.2</v>
          </cell>
          <cell r="AV196">
            <v>54.248463879935024</v>
          </cell>
          <cell r="AW196">
            <v>58.217966975199523</v>
          </cell>
          <cell r="AX196">
            <v>59.293724549162896</v>
          </cell>
          <cell r="AY196">
            <v>59.823132804066148</v>
          </cell>
          <cell r="AZ196">
            <v>62.127558173057707</v>
          </cell>
        </row>
        <row r="197">
          <cell r="AQ197" t="str">
            <v>Реализация в Азии</v>
          </cell>
          <cell r="AR197">
            <v>47.7</v>
          </cell>
          <cell r="AS197">
            <v>59.2</v>
          </cell>
          <cell r="AT197">
            <v>79.7</v>
          </cell>
          <cell r="AU197">
            <v>61.9</v>
          </cell>
          <cell r="AV197">
            <v>58.217083794198814</v>
          </cell>
          <cell r="AW197">
            <v>62.476981269449162</v>
          </cell>
          <cell r="AX197">
            <v>63.631437347030996</v>
          </cell>
          <cell r="AY197">
            <v>64.199575180486647</v>
          </cell>
          <cell r="AZ197">
            <v>66.672583911221963</v>
          </cell>
        </row>
        <row r="198">
          <cell r="AQ198" t="str">
            <v>Реализация в странах СНГ</v>
          </cell>
          <cell r="AR198">
            <v>8.4</v>
          </cell>
          <cell r="AS198">
            <v>8.6999999999999993</v>
          </cell>
          <cell r="AT198">
            <v>8.6999999999999993</v>
          </cell>
          <cell r="AU198">
            <v>6.3</v>
          </cell>
          <cell r="AV198">
            <v>7.565644577683603</v>
          </cell>
          <cell r="AW198">
            <v>8.1192427336655655</v>
          </cell>
          <cell r="AX198">
            <v>8.2692709349132762</v>
          </cell>
          <cell r="AY198">
            <v>8.3431037111178608</v>
          </cell>
          <cell r="AZ198">
            <v>8.6644854065733163</v>
          </cell>
        </row>
        <row r="199">
          <cell r="AQ199" t="str">
            <v>Реализация на внутреннем рынке</v>
          </cell>
          <cell r="AR199">
            <v>6.9</v>
          </cell>
          <cell r="AS199">
            <v>5.4</v>
          </cell>
          <cell r="AT199">
            <v>5.6</v>
          </cell>
          <cell r="AU199">
            <v>5.2</v>
          </cell>
          <cell r="AV199">
            <v>5.4813810457479937</v>
          </cell>
          <cell r="AW199">
            <v>5.8824681452016732</v>
          </cell>
          <cell r="AX199">
            <v>5.9911649958404931</v>
          </cell>
          <cell r="AY199">
            <v>6.0446575404462131</v>
          </cell>
          <cell r="AZ199">
            <v>6.2775016181492704</v>
          </cell>
        </row>
        <row r="202">
          <cell r="B202">
            <v>2021</v>
          </cell>
          <cell r="C202">
            <v>2022</v>
          </cell>
          <cell r="D202">
            <v>2023</v>
          </cell>
          <cell r="E202">
            <v>2024</v>
          </cell>
          <cell r="F202">
            <v>2025</v>
          </cell>
        </row>
        <row r="203">
          <cell r="A203" t="str">
            <v>Реализация нефти</v>
          </cell>
          <cell r="B203">
            <v>4083.5256021236059</v>
          </cell>
          <cell r="C203">
            <v>4006.1008583402954</v>
          </cell>
          <cell r="D203">
            <v>4024.8230826404574</v>
          </cell>
          <cell r="E203">
            <v>4072.522064334803</v>
          </cell>
          <cell r="F203">
            <v>4910.5850629288734</v>
          </cell>
        </row>
        <row r="207">
          <cell r="O207" t="str">
            <v>Производственные и операционные расходы</v>
          </cell>
          <cell r="P207">
            <v>9.862576480365004E-2</v>
          </cell>
        </row>
        <row r="208">
          <cell r="A208" t="str">
            <v>Реализация нефтепродуктов на внешнем рынке</v>
          </cell>
          <cell r="B208">
            <v>1482.1150541964253</v>
          </cell>
          <cell r="C208">
            <v>1451.9457561594663</v>
          </cell>
          <cell r="D208">
            <v>1457.9810019131394</v>
          </cell>
          <cell r="E208">
            <v>1474.9369944617263</v>
          </cell>
          <cell r="F208">
            <v>1782.8580685182842</v>
          </cell>
          <cell r="O208" t="str">
            <v>Стоимость приобретенной нефти, газа, нефтепродуктов и услуг по переработке нефти</v>
          </cell>
          <cell r="P208">
            <v>0.1432767854603374</v>
          </cell>
        </row>
        <row r="209">
          <cell r="O209" t="str">
            <v>Общехозяйственные и административные расходы</v>
          </cell>
          <cell r="P209">
            <v>2.3496010658566172E-2</v>
          </cell>
        </row>
        <row r="210">
          <cell r="O210" t="str">
            <v>Тарифы за пользование нефтепроводом и расходы на транспортировку</v>
          </cell>
          <cell r="P210">
            <v>9.3962690049659278E-2</v>
          </cell>
        </row>
        <row r="211">
          <cell r="O211" t="str">
            <v>Затраты, связанные с разведкой запасов нефти и газа</v>
          </cell>
          <cell r="P211">
            <v>1.925711221106483E-3</v>
          </cell>
        </row>
        <row r="212">
          <cell r="O212" t="str">
            <v>Износ, истощение и амортизация</v>
          </cell>
          <cell r="P212">
            <v>9.2217306997287168E-2</v>
          </cell>
        </row>
        <row r="213">
          <cell r="O213" t="str">
            <v>Налоги, кроме налога на прибыль и экспортная пошлина</v>
          </cell>
          <cell r="P213">
            <v>0.4275719540451377</v>
          </cell>
        </row>
        <row r="214">
          <cell r="A214" t="str">
            <v>Реализация нефтепродуктов на внутреннем рынке</v>
          </cell>
          <cell r="B214">
            <v>1532.5124848300864</v>
          </cell>
          <cell r="C214">
            <v>1710.4364814000855</v>
          </cell>
          <cell r="D214">
            <v>1811.723786496817</v>
          </cell>
          <cell r="E214">
            <v>1884.1927379566898</v>
          </cell>
          <cell r="F214">
            <v>2003.6136720504978</v>
          </cell>
          <cell r="O214" t="str">
            <v>Операционная прибыль (EBIT)</v>
          </cell>
          <cell r="P214">
            <v>0.1189237767642557</v>
          </cell>
        </row>
        <row r="215">
          <cell r="A215" t="str">
            <v>Реализация газа</v>
          </cell>
          <cell r="B215">
            <v>262.19236186826726</v>
          </cell>
          <cell r="C215">
            <v>297.82581699984991</v>
          </cell>
          <cell r="D215">
            <v>319.34809273268814</v>
          </cell>
          <cell r="E215">
            <v>338.98061125385971</v>
          </cell>
          <cell r="F215">
            <v>367.88756551355692</v>
          </cell>
        </row>
        <row r="233">
          <cell r="AQ233" t="str">
            <v>Реализация в Европе</v>
          </cell>
          <cell r="AR233">
            <v>46</v>
          </cell>
          <cell r="AS233">
            <v>49</v>
          </cell>
          <cell r="AT233">
            <v>47.5</v>
          </cell>
          <cell r="AU233">
            <v>43.8</v>
          </cell>
          <cell r="AV233">
            <v>43.90084875957465</v>
          </cell>
          <cell r="AW233">
            <v>47.113189581271648</v>
          </cell>
          <cell r="AX233">
            <v>47.983751937858507</v>
          </cell>
          <cell r="AY233">
            <v>48.412178294446534</v>
          </cell>
          <cell r="AZ233">
            <v>50.277046391462711</v>
          </cell>
        </row>
        <row r="234">
          <cell r="AQ234" t="str">
            <v>Реализация в Азии</v>
          </cell>
          <cell r="AR234">
            <v>17.7</v>
          </cell>
          <cell r="AS234">
            <v>17</v>
          </cell>
          <cell r="AT234">
            <v>16.600000000000001</v>
          </cell>
          <cell r="AU234">
            <v>14.9</v>
          </cell>
          <cell r="AV234">
            <v>15.587595641124253</v>
          </cell>
          <cell r="AW234">
            <v>16.728181101426291</v>
          </cell>
          <cell r="AX234">
            <v>17.03728615015045</v>
          </cell>
          <cell r="AY234">
            <v>17.189404776491081</v>
          </cell>
          <cell r="AZ234">
            <v>17.851551651589507</v>
          </cell>
        </row>
        <row r="235">
          <cell r="AQ235" t="str">
            <v>Реализация в странах СНГ</v>
          </cell>
          <cell r="AR235">
            <v>4.4000000000000004</v>
          </cell>
          <cell r="AS235">
            <v>4.0999999999999996</v>
          </cell>
          <cell r="AT235">
            <v>3.7</v>
          </cell>
          <cell r="AU235">
            <v>3.5</v>
          </cell>
          <cell r="AV235">
            <v>3.6953199721056635</v>
          </cell>
          <cell r="AW235">
            <v>3.9657162749342798</v>
          </cell>
          <cell r="AX235">
            <v>4.03899518762403</v>
          </cell>
          <cell r="AY235">
            <v>4.075057644656388</v>
          </cell>
          <cell r="AZ235">
            <v>4.23203147361325</v>
          </cell>
        </row>
        <row r="236">
          <cell r="AQ236" t="str">
            <v>Реализация на внутреннем рынке</v>
          </cell>
          <cell r="AR236">
            <v>38.700000000000003</v>
          </cell>
          <cell r="AS236">
            <v>39.9</v>
          </cell>
          <cell r="AT236">
            <v>41.4</v>
          </cell>
          <cell r="AU236">
            <v>37.200000000000003</v>
          </cell>
          <cell r="AV236">
            <v>37.059120364407192</v>
          </cell>
          <cell r="AW236">
            <v>39.770833885362848</v>
          </cell>
          <cell r="AX236">
            <v>40.505723439188117</v>
          </cell>
          <cell r="AY236">
            <v>40.86738168418087</v>
          </cell>
          <cell r="AZ236">
            <v>42.441619386270688</v>
          </cell>
        </row>
        <row r="293">
          <cell r="B293">
            <v>6510.6145384464971</v>
          </cell>
          <cell r="C293">
            <v>6600.8327882912381</v>
          </cell>
          <cell r="D293">
            <v>6734.8756282441036</v>
          </cell>
          <cell r="E293">
            <v>6873.5349866045599</v>
          </cell>
          <cell r="F293">
            <v>8006.9322816252516</v>
          </cell>
        </row>
        <row r="296">
          <cell r="B296">
            <v>2021</v>
          </cell>
          <cell r="C296">
            <v>2022</v>
          </cell>
          <cell r="D296">
            <v>2023</v>
          </cell>
          <cell r="E296">
            <v>2024</v>
          </cell>
          <cell r="F296">
            <v>2025</v>
          </cell>
        </row>
        <row r="297">
          <cell r="A297" t="str">
            <v>Выручка</v>
          </cell>
          <cell r="B297">
            <v>7360.345503018385</v>
          </cell>
          <cell r="C297">
            <v>7466.3089128996971</v>
          </cell>
          <cell r="D297">
            <v>7613.8759637831017</v>
          </cell>
          <cell r="E297">
            <v>7770.632408007079</v>
          </cell>
          <cell r="F297">
            <v>9064.9443690112112</v>
          </cell>
        </row>
        <row r="298">
          <cell r="A298" t="str">
            <v>Затраты и расходы по операционной деятельности</v>
          </cell>
        </row>
        <row r="299">
          <cell r="A299" t="str">
            <v>Операционная прибыль (EBIT)</v>
          </cell>
          <cell r="B299">
            <v>849.73096457188797</v>
          </cell>
          <cell r="C299">
            <v>865.47612460845949</v>
          </cell>
          <cell r="D299">
            <v>879.00033553899857</v>
          </cell>
          <cell r="E299">
            <v>897.09742140251922</v>
          </cell>
          <cell r="F299">
            <v>1058.0120873859596</v>
          </cell>
        </row>
        <row r="305">
          <cell r="A305" t="str">
            <v>Денежный поток (FCFF)</v>
          </cell>
          <cell r="B305">
            <v>209.19455111103798</v>
          </cell>
          <cell r="C305">
            <v>586.10791080721287</v>
          </cell>
          <cell r="D305">
            <v>612.69418626915717</v>
          </cell>
          <cell r="E305">
            <v>639.65363802039167</v>
          </cell>
          <cell r="F305">
            <v>933.67582779103088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hyperlink" Target="https://www.cbr.ru/hd_base/zcyc_params/zcyc/"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rosneft.ru/upload/site1/document_cons_report/MDA_RUS_4Q2020.pdf" TargetMode="External"/><Relationship Id="rId2" Type="http://schemas.openxmlformats.org/officeDocument/2006/relationships/hyperlink" Target="https://www.economy.gov.ru/material/directions/makroec/prognozy_socialno_ekonomicheskogo_razvitiya/scenarnye_usloviya_osnovnye_parametry_prognoza_socialno_ekonomicheskogo_razvitiya_rf_na_2022_god_i_na_planovyy_period_2023_i_2024_godov.html" TargetMode="External"/><Relationship Id="rId1" Type="http://schemas.openxmlformats.org/officeDocument/2006/relationships/hyperlink" Target="https://www.economy.gov.ru/material/directions/makroec/prognozy_socialno_ekonomicheskogo_razvitiya/scenarnye_usloviya_osnovnye_parametry_prognoza_socialno_ekonomicheskogo_razvitiya_rf_na_2022_god_i_na_planovyy_period_2023_i_2024_godov.html" TargetMode="External"/><Relationship Id="rId6" Type="http://schemas.openxmlformats.org/officeDocument/2006/relationships/drawing" Target="../drawings/drawing1.xml"/><Relationship Id="rId5" Type="http://schemas.openxmlformats.org/officeDocument/2006/relationships/hyperlink" Target="https://www.invest-rating.ru/financial-encyclopedia/?id=10199" TargetMode="External"/><Relationship Id="rId4" Type="http://schemas.openxmlformats.org/officeDocument/2006/relationships/hyperlink" Target="https://www.rosneft.ru/upload/site1/document_cons_report/MDA_RUS_4Q2018.pdf"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finance.yaho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0"/>
  <sheetViews>
    <sheetView topLeftCell="A7" zoomScaleNormal="100" workbookViewId="0">
      <selection activeCell="K26" sqref="K26"/>
    </sheetView>
  </sheetViews>
  <sheetFormatPr defaultColWidth="11.453125" defaultRowHeight="15" customHeight="1" x14ac:dyDescent="0.35"/>
  <cols>
    <col min="1" max="1" width="45" bestFit="1" customWidth="1"/>
    <col min="2" max="8" width="11.54296875" bestFit="1" customWidth="1"/>
    <col min="9" max="9" width="12.54296875" bestFit="1" customWidth="1"/>
    <col min="10" max="10" width="12.1796875" bestFit="1" customWidth="1"/>
    <col min="11" max="11" width="27" customWidth="1"/>
    <col min="12" max="12" width="13.7265625" bestFit="1" customWidth="1"/>
    <col min="13" max="13" width="14" bestFit="1" customWidth="1"/>
    <col min="14" max="14" width="18.1796875" bestFit="1" customWidth="1"/>
    <col min="15" max="15" width="11.54296875" bestFit="1" customWidth="1"/>
    <col min="16" max="16" width="12" bestFit="1" customWidth="1"/>
    <col min="17" max="17" width="28" customWidth="1"/>
    <col min="18" max="18" width="11.54296875" bestFit="1" customWidth="1"/>
    <col min="19" max="19" width="12" bestFit="1" customWidth="1"/>
    <col min="20" max="20" width="18.1796875" bestFit="1" customWidth="1"/>
  </cols>
  <sheetData>
    <row r="1" spans="1:14" ht="15" customHeight="1" x14ac:dyDescent="0.35">
      <c r="A1" s="2" t="s">
        <v>44</v>
      </c>
      <c r="B1" s="2"/>
      <c r="C1" s="2"/>
      <c r="D1" s="2"/>
      <c r="E1" s="2"/>
      <c r="F1" s="2"/>
      <c r="G1" s="2"/>
      <c r="H1" s="2"/>
      <c r="I1" s="2"/>
      <c r="J1" s="2"/>
    </row>
    <row r="2" spans="1:14" ht="15" customHeight="1" x14ac:dyDescent="0.35">
      <c r="A2" s="3" t="s">
        <v>0</v>
      </c>
      <c r="B2" s="4">
        <v>41274</v>
      </c>
      <c r="C2" s="4">
        <v>41639</v>
      </c>
      <c r="D2" s="4">
        <v>42004</v>
      </c>
      <c r="E2" s="4">
        <v>42369</v>
      </c>
      <c r="F2" s="4">
        <v>42735</v>
      </c>
      <c r="G2" s="4">
        <v>43100</v>
      </c>
      <c r="H2" s="4">
        <v>43465</v>
      </c>
      <c r="I2" s="4">
        <v>43830</v>
      </c>
      <c r="J2" s="4">
        <v>44196</v>
      </c>
    </row>
    <row r="3" spans="1:14" ht="15" customHeight="1" x14ac:dyDescent="0.35">
      <c r="A3" s="152" t="s">
        <v>1</v>
      </c>
      <c r="B3" s="152"/>
      <c r="C3" s="152"/>
      <c r="D3" s="152"/>
      <c r="E3" s="152"/>
      <c r="F3" s="152"/>
      <c r="G3" s="152"/>
      <c r="H3" s="152"/>
      <c r="I3" s="152"/>
      <c r="J3" s="152"/>
    </row>
    <row r="4" spans="1:14" ht="15" customHeight="1" x14ac:dyDescent="0.35">
      <c r="A4" s="152" t="s">
        <v>2</v>
      </c>
      <c r="B4" s="152"/>
      <c r="C4" s="152"/>
      <c r="D4" s="152"/>
      <c r="E4" s="152"/>
      <c r="F4" s="152"/>
      <c r="G4" s="152"/>
      <c r="H4" s="152"/>
      <c r="I4" s="152"/>
      <c r="J4" s="152"/>
    </row>
    <row r="5" spans="1:14" ht="15" customHeight="1" x14ac:dyDescent="0.35">
      <c r="A5" s="6" t="s">
        <v>3</v>
      </c>
      <c r="B5" s="7">
        <v>299000000</v>
      </c>
      <c r="C5" s="7">
        <v>275000000</v>
      </c>
      <c r="D5" s="7">
        <v>216000000</v>
      </c>
      <c r="E5" s="7">
        <v>559000000</v>
      </c>
      <c r="F5" s="7">
        <v>790000000</v>
      </c>
      <c r="G5" s="7">
        <v>322000000</v>
      </c>
      <c r="H5" s="7">
        <v>832000000</v>
      </c>
      <c r="I5" s="7">
        <v>228000000</v>
      </c>
      <c r="J5" s="7">
        <v>806000000</v>
      </c>
      <c r="K5" s="37"/>
    </row>
    <row r="6" spans="1:14" ht="15" customHeight="1" x14ac:dyDescent="0.35">
      <c r="A6" s="6" t="s">
        <v>4</v>
      </c>
      <c r="B6" s="7">
        <v>4000000</v>
      </c>
      <c r="C6" s="7">
        <v>1000000</v>
      </c>
      <c r="D6" s="7">
        <v>1000000</v>
      </c>
      <c r="E6" s="7">
        <v>2000000</v>
      </c>
      <c r="F6" s="7">
        <v>2000000</v>
      </c>
      <c r="G6" s="7">
        <v>13000000</v>
      </c>
      <c r="H6" s="7">
        <v>12000000</v>
      </c>
      <c r="I6" s="7">
        <v>10000000</v>
      </c>
      <c r="J6" s="7">
        <v>17000000</v>
      </c>
      <c r="L6" s="37"/>
      <c r="M6" s="37"/>
    </row>
    <row r="7" spans="1:14" ht="15" customHeight="1" x14ac:dyDescent="0.35">
      <c r="A7" s="6" t="s">
        <v>45</v>
      </c>
      <c r="B7" s="7">
        <v>90000000</v>
      </c>
      <c r="C7" s="7">
        <v>232000000</v>
      </c>
      <c r="D7" s="7">
        <v>723000000</v>
      </c>
      <c r="E7" s="7">
        <v>986000000</v>
      </c>
      <c r="F7" s="7">
        <v>447000000</v>
      </c>
      <c r="G7" s="7">
        <v>336000000</v>
      </c>
      <c r="H7" s="7">
        <v>633000000</v>
      </c>
      <c r="I7" s="7">
        <v>501000000</v>
      </c>
      <c r="J7" s="7">
        <v>817000000</v>
      </c>
    </row>
    <row r="8" spans="1:14" ht="15" customHeight="1" x14ac:dyDescent="0.35">
      <c r="A8" s="6" t="s">
        <v>5</v>
      </c>
      <c r="B8" s="7">
        <v>237000000</v>
      </c>
      <c r="C8" s="7">
        <v>415000000</v>
      </c>
      <c r="D8" s="7">
        <v>554000000</v>
      </c>
      <c r="E8" s="7">
        <v>367000000</v>
      </c>
      <c r="F8" s="7">
        <v>485000000</v>
      </c>
      <c r="G8" s="7">
        <v>843000000</v>
      </c>
      <c r="H8" s="7">
        <v>642000000</v>
      </c>
      <c r="I8" s="7">
        <v>620000000</v>
      </c>
      <c r="J8" s="7">
        <v>468000000</v>
      </c>
    </row>
    <row r="9" spans="1:14" ht="15" customHeight="1" x14ac:dyDescent="0.35">
      <c r="A9" s="6" t="s">
        <v>13</v>
      </c>
      <c r="B9" s="7" t="s">
        <v>46</v>
      </c>
      <c r="C9" s="7" t="s">
        <v>46</v>
      </c>
      <c r="D9" s="7" t="s">
        <v>46</v>
      </c>
      <c r="E9" s="7" t="s">
        <v>46</v>
      </c>
      <c r="F9" s="7" t="s">
        <v>46</v>
      </c>
      <c r="G9" s="7" t="s">
        <v>46</v>
      </c>
      <c r="H9" s="7" t="s">
        <v>46</v>
      </c>
      <c r="I9" s="7">
        <v>130000000</v>
      </c>
      <c r="J9" s="7">
        <v>131000000</v>
      </c>
    </row>
    <row r="10" spans="1:14" ht="15" customHeight="1" x14ac:dyDescent="0.35">
      <c r="A10" s="6" t="s">
        <v>6</v>
      </c>
      <c r="B10" s="7">
        <v>134000000</v>
      </c>
      <c r="C10" s="7">
        <v>202000000</v>
      </c>
      <c r="D10" s="7">
        <v>233000000</v>
      </c>
      <c r="E10" s="7">
        <v>219000000</v>
      </c>
      <c r="F10" s="7">
        <v>283000000</v>
      </c>
      <c r="G10" s="7">
        <v>324000000</v>
      </c>
      <c r="H10" s="7">
        <v>393000000</v>
      </c>
      <c r="I10" s="7">
        <v>438000000</v>
      </c>
      <c r="J10" s="7">
        <v>361000000</v>
      </c>
    </row>
    <row r="11" spans="1:14" ht="15" customHeight="1" x14ac:dyDescent="0.35">
      <c r="A11" s="6" t="s">
        <v>7</v>
      </c>
      <c r="B11" s="7">
        <v>185000000</v>
      </c>
      <c r="C11" s="7">
        <v>330000000</v>
      </c>
      <c r="D11" s="7">
        <v>404000000</v>
      </c>
      <c r="E11" s="7">
        <v>271000000</v>
      </c>
      <c r="F11" s="7">
        <v>293000000</v>
      </c>
      <c r="G11" s="7">
        <v>454000000</v>
      </c>
      <c r="H11" s="7">
        <v>510000000</v>
      </c>
      <c r="I11" s="7">
        <v>469000000</v>
      </c>
      <c r="J11" s="7">
        <v>322000000</v>
      </c>
    </row>
    <row r="12" spans="1:14" ht="15" customHeight="1" x14ac:dyDescent="0.35">
      <c r="A12" s="8" t="s">
        <v>8</v>
      </c>
      <c r="B12" s="9">
        <v>949000000</v>
      </c>
      <c r="C12" s="9">
        <v>1455000000</v>
      </c>
      <c r="D12" s="9">
        <v>2131000000</v>
      </c>
      <c r="E12" s="9">
        <v>2404000000</v>
      </c>
      <c r="F12" s="9">
        <v>2300000000</v>
      </c>
      <c r="G12" s="9">
        <v>2292000000</v>
      </c>
      <c r="H12" s="9">
        <v>3022000000</v>
      </c>
      <c r="I12" s="9">
        <v>2396000000</v>
      </c>
      <c r="J12" s="9">
        <f>SUM(J5:J11)</f>
        <v>2922000000</v>
      </c>
      <c r="L12" s="37"/>
    </row>
    <row r="13" spans="1:14" ht="15" customHeight="1" x14ac:dyDescent="0.35">
      <c r="A13" s="151" t="s">
        <v>9</v>
      </c>
      <c r="B13" s="151"/>
      <c r="C13" s="151"/>
      <c r="D13" s="151"/>
      <c r="E13" s="151"/>
      <c r="F13" s="151"/>
      <c r="G13" s="151"/>
      <c r="H13" s="151"/>
      <c r="I13" s="151"/>
      <c r="J13" s="151"/>
      <c r="L13" s="37"/>
      <c r="M13" s="37"/>
      <c r="N13" s="37"/>
    </row>
    <row r="14" spans="1:14" ht="15" customHeight="1" x14ac:dyDescent="0.35">
      <c r="A14" s="6" t="s">
        <v>10</v>
      </c>
      <c r="B14" s="7">
        <v>2629000000</v>
      </c>
      <c r="C14" s="7">
        <v>5330000000</v>
      </c>
      <c r="D14" s="7">
        <v>5666000000</v>
      </c>
      <c r="E14" s="7">
        <v>5891000000</v>
      </c>
      <c r="F14" s="7">
        <v>7090000000</v>
      </c>
      <c r="G14" s="7">
        <v>7923000000</v>
      </c>
      <c r="H14" s="7">
        <v>8445000000</v>
      </c>
      <c r="I14" s="7">
        <v>8706000000</v>
      </c>
      <c r="J14" s="7">
        <v>10401000000</v>
      </c>
    </row>
    <row r="15" spans="1:14" ht="15" customHeight="1" x14ac:dyDescent="0.35">
      <c r="A15" s="6" t="s">
        <v>47</v>
      </c>
      <c r="B15" s="7" t="s">
        <v>46</v>
      </c>
      <c r="C15" s="7" t="s">
        <v>46</v>
      </c>
      <c r="D15" s="7" t="s">
        <v>46</v>
      </c>
      <c r="E15" s="7" t="s">
        <v>46</v>
      </c>
      <c r="F15" s="11" t="s">
        <v>46</v>
      </c>
      <c r="G15" s="7" t="s">
        <v>46</v>
      </c>
      <c r="H15" s="7" t="s">
        <v>46</v>
      </c>
      <c r="I15" s="7">
        <v>160000000</v>
      </c>
      <c r="J15" s="7">
        <v>155000000</v>
      </c>
    </row>
    <row r="16" spans="1:14" ht="15" customHeight="1" x14ac:dyDescent="0.35">
      <c r="A16" s="6" t="s">
        <v>11</v>
      </c>
      <c r="B16" s="7">
        <v>19000000</v>
      </c>
      <c r="C16" s="7">
        <v>37000000</v>
      </c>
      <c r="D16" s="7">
        <v>49000000</v>
      </c>
      <c r="E16" s="7">
        <v>48000000</v>
      </c>
      <c r="F16" s="7">
        <v>59000000</v>
      </c>
      <c r="G16" s="7">
        <v>75000000</v>
      </c>
      <c r="H16" s="7">
        <v>75000000</v>
      </c>
      <c r="I16" s="7">
        <v>66000000</v>
      </c>
      <c r="J16" s="7">
        <v>80000000</v>
      </c>
      <c r="L16" s="37"/>
    </row>
    <row r="17" spans="1:11" ht="15" customHeight="1" x14ac:dyDescent="0.35">
      <c r="A17" s="6" t="s">
        <v>48</v>
      </c>
      <c r="B17" s="7">
        <v>24000000</v>
      </c>
      <c r="C17" s="7">
        <v>40000000</v>
      </c>
      <c r="D17" s="7">
        <v>281000000</v>
      </c>
      <c r="E17" s="7">
        <v>510000000</v>
      </c>
      <c r="F17" s="7">
        <v>808000000</v>
      </c>
      <c r="G17" s="7">
        <v>606000000</v>
      </c>
      <c r="H17" s="7">
        <v>239000000</v>
      </c>
      <c r="I17" s="7">
        <v>229000000</v>
      </c>
      <c r="J17" s="7">
        <v>275000000</v>
      </c>
    </row>
    <row r="18" spans="1:11" ht="15" customHeight="1" x14ac:dyDescent="0.35">
      <c r="A18" s="6" t="s">
        <v>12</v>
      </c>
      <c r="B18" s="7">
        <v>186000000</v>
      </c>
      <c r="C18" s="7">
        <v>327000000</v>
      </c>
      <c r="D18" s="7">
        <v>347000000</v>
      </c>
      <c r="E18" s="7">
        <v>353000000</v>
      </c>
      <c r="F18" s="7">
        <v>411000000</v>
      </c>
      <c r="G18" s="7">
        <v>635000000</v>
      </c>
      <c r="H18" s="7">
        <v>735000000</v>
      </c>
      <c r="I18" s="7">
        <v>801000000</v>
      </c>
      <c r="J18" s="7">
        <v>846000000</v>
      </c>
      <c r="K18" s="37"/>
    </row>
    <row r="19" spans="1:11" ht="15" customHeight="1" x14ac:dyDescent="0.35">
      <c r="A19" s="6" t="s">
        <v>13</v>
      </c>
      <c r="B19" s="7">
        <v>13000000</v>
      </c>
      <c r="C19" s="7">
        <v>12000000</v>
      </c>
      <c r="D19" s="7">
        <v>14000000</v>
      </c>
      <c r="E19" s="7">
        <v>18000000</v>
      </c>
      <c r="F19" s="7">
        <v>26000000</v>
      </c>
      <c r="G19" s="7">
        <v>121000000</v>
      </c>
      <c r="H19" s="7">
        <v>239000000</v>
      </c>
      <c r="I19" s="7">
        <v>291000000</v>
      </c>
      <c r="J19" s="7">
        <v>363000000</v>
      </c>
      <c r="K19" s="37"/>
    </row>
    <row r="20" spans="1:11" ht="15" customHeight="1" x14ac:dyDescent="0.35">
      <c r="A20" s="6" t="s">
        <v>14</v>
      </c>
      <c r="B20" s="7">
        <v>4000000</v>
      </c>
      <c r="C20" s="7">
        <v>14000000</v>
      </c>
      <c r="D20" s="7">
        <v>24000000</v>
      </c>
      <c r="E20" s="7">
        <v>25000000</v>
      </c>
      <c r="F20" s="7">
        <v>22000000</v>
      </c>
      <c r="G20" s="7">
        <v>26000000</v>
      </c>
      <c r="H20" s="7">
        <v>28000000</v>
      </c>
      <c r="I20" s="7">
        <v>33000000</v>
      </c>
      <c r="J20" s="7">
        <v>54000000</v>
      </c>
    </row>
    <row r="21" spans="1:11" ht="15" customHeight="1" x14ac:dyDescent="0.35">
      <c r="A21" s="6" t="s">
        <v>15</v>
      </c>
      <c r="B21" s="7">
        <v>144000000</v>
      </c>
      <c r="C21" s="7">
        <v>164000000</v>
      </c>
      <c r="D21" s="7">
        <v>215000000</v>
      </c>
      <c r="E21" s="7">
        <v>230000000</v>
      </c>
      <c r="F21" s="7">
        <v>230000000</v>
      </c>
      <c r="G21" s="7">
        <v>265000000</v>
      </c>
      <c r="H21" s="7">
        <v>85000000</v>
      </c>
      <c r="I21" s="7">
        <v>93000000</v>
      </c>
      <c r="J21" s="7">
        <v>82000000</v>
      </c>
    </row>
    <row r="22" spans="1:11" ht="15" customHeight="1" x14ac:dyDescent="0.35">
      <c r="A22" s="6" t="s">
        <v>16</v>
      </c>
      <c r="B22" s="7">
        <v>3000000</v>
      </c>
      <c r="C22" s="7">
        <v>12000000</v>
      </c>
      <c r="D22" s="7">
        <v>9000000</v>
      </c>
      <c r="E22" s="7">
        <v>8000000</v>
      </c>
      <c r="F22" s="7">
        <v>84000000</v>
      </c>
      <c r="G22" s="7">
        <v>285000000</v>
      </c>
      <c r="H22" s="7">
        <v>295000000</v>
      </c>
      <c r="I22" s="7">
        <v>171000000</v>
      </c>
      <c r="J22" s="7">
        <v>172000000</v>
      </c>
    </row>
    <row r="23" spans="1:11" ht="15" customHeight="1" x14ac:dyDescent="0.35">
      <c r="A23" s="8" t="s">
        <v>17</v>
      </c>
      <c r="B23" s="9">
        <v>3022000000</v>
      </c>
      <c r="C23" s="9">
        <v>5936000000</v>
      </c>
      <c r="D23" s="9">
        <v>6605000000</v>
      </c>
      <c r="E23" s="9">
        <v>7083000000</v>
      </c>
      <c r="F23" s="9">
        <v>8730000000</v>
      </c>
      <c r="G23" s="9">
        <v>9936000000</v>
      </c>
      <c r="H23" s="9">
        <v>10141000000</v>
      </c>
      <c r="I23" s="9">
        <v>10550000000</v>
      </c>
      <c r="J23" s="9">
        <f>SUM(J14:J22)</f>
        <v>12428000000</v>
      </c>
    </row>
    <row r="24" spans="1:11" ht="15" customHeight="1" x14ac:dyDescent="0.35">
      <c r="A24" s="6" t="s">
        <v>18</v>
      </c>
      <c r="B24" s="7">
        <v>0</v>
      </c>
      <c r="C24" s="7">
        <v>147000000</v>
      </c>
      <c r="D24" s="7">
        <v>0</v>
      </c>
      <c r="E24" s="7">
        <v>150000000</v>
      </c>
      <c r="F24" s="7">
        <v>0</v>
      </c>
      <c r="G24" s="7">
        <v>0</v>
      </c>
      <c r="H24" s="7">
        <v>0</v>
      </c>
      <c r="I24" s="7">
        <v>0</v>
      </c>
      <c r="J24" s="7">
        <v>0</v>
      </c>
    </row>
    <row r="25" spans="1:11" ht="15" customHeight="1" x14ac:dyDescent="0.35">
      <c r="A25" s="8" t="s">
        <v>19</v>
      </c>
      <c r="B25" s="9">
        <v>3971000000</v>
      </c>
      <c r="C25" s="9">
        <v>7538000000</v>
      </c>
      <c r="D25" s="9">
        <v>8736000000</v>
      </c>
      <c r="E25" s="9">
        <v>9637000000</v>
      </c>
      <c r="F25" s="9">
        <v>11030000000</v>
      </c>
      <c r="G25" s="9">
        <v>12228000000</v>
      </c>
      <c r="H25" s="9">
        <v>13163000000</v>
      </c>
      <c r="I25" s="9">
        <v>12946000000</v>
      </c>
      <c r="J25" s="9">
        <f>J23+J12</f>
        <v>15350000000</v>
      </c>
    </row>
    <row r="26" spans="1:11" ht="15" customHeight="1" x14ac:dyDescent="0.35">
      <c r="A26" s="151" t="s">
        <v>20</v>
      </c>
      <c r="B26" s="151"/>
      <c r="C26" s="151"/>
      <c r="D26" s="151"/>
      <c r="E26" s="151"/>
      <c r="F26" s="151"/>
      <c r="G26" s="151"/>
      <c r="H26" s="151"/>
      <c r="I26" s="151"/>
      <c r="J26" s="151"/>
    </row>
    <row r="27" spans="1:11" ht="15" customHeight="1" x14ac:dyDescent="0.35">
      <c r="A27" s="151" t="s">
        <v>21</v>
      </c>
      <c r="B27" s="151"/>
      <c r="C27" s="151"/>
      <c r="D27" s="151"/>
      <c r="E27" s="151"/>
      <c r="F27" s="151"/>
      <c r="G27" s="151"/>
      <c r="H27" s="151"/>
      <c r="I27" s="151"/>
      <c r="J27" s="151"/>
    </row>
    <row r="28" spans="1:11" ht="15" customHeight="1" x14ac:dyDescent="0.35">
      <c r="A28" s="6" t="s">
        <v>22</v>
      </c>
      <c r="B28" s="7">
        <v>211000000</v>
      </c>
      <c r="C28" s="7">
        <v>488000000</v>
      </c>
      <c r="D28" s="7">
        <v>494000000</v>
      </c>
      <c r="E28" s="7">
        <v>476000000</v>
      </c>
      <c r="F28" s="7">
        <v>583000000</v>
      </c>
      <c r="G28" s="7">
        <v>971000000</v>
      </c>
      <c r="H28" s="7">
        <v>1130000000</v>
      </c>
      <c r="I28" s="7">
        <v>1162000000</v>
      </c>
      <c r="J28" s="7">
        <v>1546000000</v>
      </c>
    </row>
    <row r="29" spans="1:11" ht="15" customHeight="1" x14ac:dyDescent="0.35">
      <c r="A29" s="6" t="s">
        <v>23</v>
      </c>
      <c r="B29" s="7">
        <v>143000000</v>
      </c>
      <c r="C29" s="7">
        <v>684000000</v>
      </c>
      <c r="D29" s="7">
        <v>1216000000</v>
      </c>
      <c r="E29" s="7">
        <v>1040000000</v>
      </c>
      <c r="F29" s="7">
        <v>1671000000</v>
      </c>
      <c r="G29" s="7">
        <v>2229000000</v>
      </c>
      <c r="H29" s="7">
        <v>978000000</v>
      </c>
      <c r="I29" s="7">
        <v>795000000</v>
      </c>
      <c r="J29" s="7">
        <v>798000000</v>
      </c>
      <c r="K29" s="37"/>
    </row>
    <row r="30" spans="1:11" ht="15" customHeight="1" x14ac:dyDescent="0.35">
      <c r="A30" s="6" t="s">
        <v>24</v>
      </c>
      <c r="B30" s="7">
        <v>7000000</v>
      </c>
      <c r="C30" s="7">
        <v>11000000</v>
      </c>
      <c r="D30" s="7">
        <v>39000000</v>
      </c>
      <c r="E30" s="7">
        <v>8000000</v>
      </c>
      <c r="F30" s="7">
        <v>6000000</v>
      </c>
      <c r="G30" s="7">
        <v>39000000</v>
      </c>
      <c r="H30" s="7">
        <v>23000000</v>
      </c>
      <c r="I30" s="7">
        <v>23000000</v>
      </c>
      <c r="J30" s="7">
        <v>14000000</v>
      </c>
    </row>
    <row r="31" spans="1:11" ht="15" customHeight="1" x14ac:dyDescent="0.35">
      <c r="A31" s="6" t="s">
        <v>25</v>
      </c>
      <c r="B31" s="7">
        <v>83000000</v>
      </c>
      <c r="C31" s="7">
        <v>161000000</v>
      </c>
      <c r="D31" s="7">
        <v>162000000</v>
      </c>
      <c r="E31" s="7">
        <v>138000000</v>
      </c>
      <c r="F31" s="7">
        <v>222000000</v>
      </c>
      <c r="G31" s="7">
        <v>278000000</v>
      </c>
      <c r="H31" s="7">
        <v>327000000</v>
      </c>
      <c r="I31" s="7">
        <v>379000000</v>
      </c>
      <c r="J31" s="7">
        <v>301000000</v>
      </c>
    </row>
    <row r="32" spans="1:11" ht="15" customHeight="1" x14ac:dyDescent="0.35">
      <c r="A32" s="6" t="s">
        <v>26</v>
      </c>
      <c r="B32" s="7">
        <v>5000000</v>
      </c>
      <c r="C32" s="7">
        <v>22000000</v>
      </c>
      <c r="D32" s="7">
        <v>36000000</v>
      </c>
      <c r="E32" s="7">
        <v>28000000</v>
      </c>
      <c r="F32" s="7">
        <v>29000000</v>
      </c>
      <c r="G32" s="7">
        <v>29000000</v>
      </c>
      <c r="H32" s="7">
        <v>43000000</v>
      </c>
      <c r="I32" s="7">
        <v>55000000</v>
      </c>
      <c r="J32" s="7">
        <v>68000000</v>
      </c>
    </row>
    <row r="33" spans="1:14" ht="15" customHeight="1" x14ac:dyDescent="0.35">
      <c r="A33" s="6" t="s">
        <v>31</v>
      </c>
      <c r="B33" s="7" t="s">
        <v>46</v>
      </c>
      <c r="C33" s="7" t="s">
        <v>46</v>
      </c>
      <c r="D33" s="7" t="s">
        <v>46</v>
      </c>
      <c r="E33" s="7" t="s">
        <v>46</v>
      </c>
      <c r="F33" s="7" t="s">
        <v>46</v>
      </c>
      <c r="G33" s="7">
        <v>264000000</v>
      </c>
      <c r="H33" s="7">
        <v>354000000</v>
      </c>
      <c r="I33" s="7">
        <v>332000000</v>
      </c>
      <c r="J33" s="7">
        <v>357000000</v>
      </c>
    </row>
    <row r="34" spans="1:14" ht="15" customHeight="1" x14ac:dyDescent="0.35">
      <c r="A34" s="6" t="s">
        <v>27</v>
      </c>
      <c r="B34" s="7">
        <v>1000000</v>
      </c>
      <c r="C34" s="7">
        <v>11000000</v>
      </c>
      <c r="D34" s="7">
        <v>123000000</v>
      </c>
      <c r="E34" s="7">
        <v>127000000</v>
      </c>
      <c r="F34" s="7">
        <v>262000000</v>
      </c>
      <c r="G34" s="7">
        <v>26000000</v>
      </c>
      <c r="H34" s="7">
        <v>19000000</v>
      </c>
      <c r="I34" s="7">
        <v>9000000</v>
      </c>
      <c r="J34" s="7">
        <v>8000000</v>
      </c>
    </row>
    <row r="35" spans="1:14" ht="15" customHeight="1" x14ac:dyDescent="0.35">
      <c r="A35" s="8" t="s">
        <v>28</v>
      </c>
      <c r="B35" s="9">
        <v>453000000</v>
      </c>
      <c r="C35" s="9">
        <v>1387000000</v>
      </c>
      <c r="D35" s="9">
        <v>2031000000</v>
      </c>
      <c r="E35" s="9">
        <v>1817000000</v>
      </c>
      <c r="F35" s="9">
        <v>2773000000</v>
      </c>
      <c r="G35" s="9">
        <v>3836000000</v>
      </c>
      <c r="H35" s="9">
        <v>2874000000</v>
      </c>
      <c r="I35" s="9">
        <v>2755000000</v>
      </c>
      <c r="J35" s="9">
        <f>SUM(J28:J34)</f>
        <v>3092000000</v>
      </c>
      <c r="K35" s="37"/>
    </row>
    <row r="36" spans="1:14" ht="15" customHeight="1" x14ac:dyDescent="0.35">
      <c r="A36" s="151" t="s">
        <v>29</v>
      </c>
      <c r="B36" s="151"/>
      <c r="C36" s="151"/>
      <c r="D36" s="151"/>
      <c r="E36" s="151"/>
      <c r="F36" s="151"/>
      <c r="G36" s="151"/>
      <c r="H36" s="151"/>
      <c r="I36" s="151"/>
      <c r="J36" s="151"/>
    </row>
    <row r="37" spans="1:14" ht="15" customHeight="1" x14ac:dyDescent="0.35">
      <c r="A37" s="6" t="s">
        <v>23</v>
      </c>
      <c r="B37" s="7">
        <v>837000000</v>
      </c>
      <c r="C37" s="7">
        <v>1676000000</v>
      </c>
      <c r="D37" s="7">
        <v>2190000000</v>
      </c>
      <c r="E37" s="7">
        <v>2283000000</v>
      </c>
      <c r="F37" s="7">
        <v>1914000000</v>
      </c>
      <c r="G37" s="7">
        <v>1783000000</v>
      </c>
      <c r="H37" s="7">
        <v>3413000000</v>
      </c>
      <c r="I37" s="7">
        <v>3033000000</v>
      </c>
      <c r="J37" s="7">
        <v>3810000000</v>
      </c>
    </row>
    <row r="38" spans="1:14" ht="15" customHeight="1" x14ac:dyDescent="0.35">
      <c r="A38" s="6" t="s">
        <v>30</v>
      </c>
      <c r="B38" s="7">
        <v>264000000</v>
      </c>
      <c r="C38" s="7">
        <v>660000000</v>
      </c>
      <c r="D38" s="7">
        <v>594000000</v>
      </c>
      <c r="E38" s="7">
        <v>578000000</v>
      </c>
      <c r="F38" s="7">
        <v>785000000</v>
      </c>
      <c r="G38" s="7">
        <v>814000000</v>
      </c>
      <c r="H38" s="7">
        <v>837000000</v>
      </c>
      <c r="I38" s="7">
        <v>844000000</v>
      </c>
      <c r="J38" s="7">
        <v>1072000000</v>
      </c>
    </row>
    <row r="39" spans="1:14" ht="15" customHeight="1" x14ac:dyDescent="0.35">
      <c r="A39" s="6" t="s">
        <v>26</v>
      </c>
      <c r="B39" s="7">
        <v>71000000</v>
      </c>
      <c r="C39" s="7">
        <v>116000000</v>
      </c>
      <c r="D39" s="7">
        <v>107000000</v>
      </c>
      <c r="E39" s="7">
        <v>143000000</v>
      </c>
      <c r="F39" s="7">
        <v>203000000</v>
      </c>
      <c r="G39" s="7">
        <v>245000000</v>
      </c>
      <c r="H39" s="7">
        <v>244000000</v>
      </c>
      <c r="I39" s="7">
        <v>343000000</v>
      </c>
      <c r="J39" s="7">
        <v>437000000</v>
      </c>
      <c r="M39" s="94"/>
      <c r="N39" s="93"/>
    </row>
    <row r="40" spans="1:14" ht="15" customHeight="1" x14ac:dyDescent="0.35">
      <c r="A40" s="6" t="s">
        <v>31</v>
      </c>
      <c r="B40" s="7">
        <v>0</v>
      </c>
      <c r="C40" s="7">
        <v>470000000</v>
      </c>
      <c r="D40" s="7">
        <v>887000000</v>
      </c>
      <c r="E40" s="7">
        <v>1785000000</v>
      </c>
      <c r="F40" s="7">
        <v>1586000000</v>
      </c>
      <c r="G40" s="7">
        <v>1322000000</v>
      </c>
      <c r="H40" s="7">
        <v>1072000000</v>
      </c>
      <c r="I40" s="7">
        <v>750000000</v>
      </c>
      <c r="J40" s="7">
        <v>1401000000</v>
      </c>
      <c r="M40" s="94"/>
    </row>
    <row r="41" spans="1:14" ht="15" customHeight="1" x14ac:dyDescent="0.35">
      <c r="A41" s="6" t="s">
        <v>32</v>
      </c>
      <c r="B41" s="7">
        <v>16000000</v>
      </c>
      <c r="C41" s="7">
        <v>28000000</v>
      </c>
      <c r="D41" s="7">
        <v>46000000</v>
      </c>
      <c r="E41" s="7">
        <v>39000000</v>
      </c>
      <c r="F41" s="7">
        <v>43000000</v>
      </c>
      <c r="G41" s="7">
        <v>45000000</v>
      </c>
      <c r="H41" s="7">
        <v>46000000</v>
      </c>
      <c r="I41" s="7">
        <v>73000000</v>
      </c>
      <c r="J41" s="7">
        <v>51000000</v>
      </c>
      <c r="K41" s="37"/>
    </row>
    <row r="42" spans="1:14" ht="15" customHeight="1" x14ac:dyDescent="0.35">
      <c r="A42" s="8" t="s">
        <v>33</v>
      </c>
      <c r="B42" s="9">
        <v>1196000000</v>
      </c>
      <c r="C42" s="9">
        <v>2958000000</v>
      </c>
      <c r="D42" s="9">
        <v>3824000000</v>
      </c>
      <c r="E42" s="9">
        <v>4828000000</v>
      </c>
      <c r="F42" s="9">
        <v>4531000000</v>
      </c>
      <c r="G42" s="9">
        <v>4209000000</v>
      </c>
      <c r="H42" s="9">
        <v>5612000000</v>
      </c>
      <c r="I42" s="9">
        <v>5042000000</v>
      </c>
      <c r="J42" s="9">
        <f>SUM(J37:J41)</f>
        <v>6771000000</v>
      </c>
    </row>
    <row r="43" spans="1:14" ht="15" customHeight="1" x14ac:dyDescent="0.35">
      <c r="A43" s="151" t="s">
        <v>34</v>
      </c>
      <c r="B43" s="151"/>
      <c r="C43" s="151"/>
      <c r="D43" s="151"/>
      <c r="E43" s="151"/>
      <c r="F43" s="151"/>
      <c r="G43" s="151"/>
      <c r="H43" s="151"/>
      <c r="I43" s="151"/>
      <c r="J43" s="151"/>
    </row>
    <row r="44" spans="1:14" ht="15" customHeight="1" x14ac:dyDescent="0.35">
      <c r="A44" s="6" t="s">
        <v>35</v>
      </c>
      <c r="B44" s="7">
        <v>1000000</v>
      </c>
      <c r="C44" s="7">
        <v>1000000</v>
      </c>
      <c r="D44" s="7">
        <v>1000000</v>
      </c>
      <c r="E44" s="7">
        <v>1000000</v>
      </c>
      <c r="F44" s="7">
        <v>1000000</v>
      </c>
      <c r="G44" s="7">
        <v>1000000</v>
      </c>
      <c r="H44" s="7">
        <v>1000000</v>
      </c>
      <c r="I44" s="7">
        <v>1000000</v>
      </c>
      <c r="J44" s="7">
        <v>1000000</v>
      </c>
    </row>
    <row r="45" spans="1:14" ht="15" customHeight="1" x14ac:dyDescent="0.35">
      <c r="A45" s="6" t="s">
        <v>36</v>
      </c>
      <c r="B45" s="7">
        <v>-299000000</v>
      </c>
      <c r="C45" s="7">
        <v>0</v>
      </c>
      <c r="D45" s="7">
        <v>0</v>
      </c>
      <c r="E45" s="7">
        <v>0</v>
      </c>
      <c r="F45" s="7">
        <v>0</v>
      </c>
      <c r="G45" s="7">
        <v>0</v>
      </c>
      <c r="H45" s="7">
        <v>0</v>
      </c>
      <c r="I45" s="7">
        <v>0</v>
      </c>
      <c r="J45" s="7">
        <v>-370000000</v>
      </c>
    </row>
    <row r="46" spans="1:14" ht="15" customHeight="1" x14ac:dyDescent="0.35">
      <c r="A46" s="6" t="s">
        <v>37</v>
      </c>
      <c r="B46" s="7">
        <v>385000000</v>
      </c>
      <c r="C46" s="7">
        <v>477000000</v>
      </c>
      <c r="D46" s="7">
        <v>493000000</v>
      </c>
      <c r="E46" s="7">
        <v>507000000</v>
      </c>
      <c r="F46" s="7">
        <v>603000000</v>
      </c>
      <c r="G46" s="7">
        <v>627000000</v>
      </c>
      <c r="H46" s="7">
        <v>633000000</v>
      </c>
      <c r="I46" s="7">
        <v>635000000</v>
      </c>
      <c r="J46" s="7">
        <v>1100000000</v>
      </c>
    </row>
    <row r="47" spans="1:14" ht="15" customHeight="1" x14ac:dyDescent="0.35">
      <c r="A47" s="6" t="s">
        <v>49</v>
      </c>
      <c r="B47" s="7" t="s">
        <v>46</v>
      </c>
      <c r="C47" s="7" t="s">
        <v>46</v>
      </c>
      <c r="D47" s="7" t="s">
        <v>46</v>
      </c>
      <c r="E47" s="7" t="s">
        <v>46</v>
      </c>
      <c r="F47" s="7" t="s">
        <v>46</v>
      </c>
      <c r="G47" s="7" t="s">
        <v>46</v>
      </c>
      <c r="H47" s="7" t="s">
        <v>46</v>
      </c>
      <c r="I47" s="7">
        <v>-185000000</v>
      </c>
      <c r="J47" s="7">
        <v>-66000000</v>
      </c>
    </row>
    <row r="48" spans="1:14" ht="15" customHeight="1" x14ac:dyDescent="0.35">
      <c r="A48" s="6" t="s">
        <v>38</v>
      </c>
      <c r="B48" s="7">
        <v>-6000000</v>
      </c>
      <c r="C48" s="7">
        <v>-14000000</v>
      </c>
      <c r="D48" s="7">
        <v>-500000000</v>
      </c>
      <c r="E48" s="7">
        <v>-768000000</v>
      </c>
      <c r="F48" s="7">
        <v>-497000000</v>
      </c>
      <c r="G48" s="7">
        <v>-322000000</v>
      </c>
      <c r="H48" s="7">
        <v>-191000000</v>
      </c>
      <c r="I48" s="7">
        <v>31000000</v>
      </c>
      <c r="J48" s="7">
        <v>34000000</v>
      </c>
    </row>
    <row r="49" spans="1:20" ht="15" customHeight="1" x14ac:dyDescent="0.35">
      <c r="A49" s="6" t="s">
        <v>39</v>
      </c>
      <c r="B49" s="7">
        <v>2202000000</v>
      </c>
      <c r="C49" s="7">
        <v>2662000000</v>
      </c>
      <c r="D49" s="7">
        <v>2878000000</v>
      </c>
      <c r="E49" s="7">
        <v>3146000000</v>
      </c>
      <c r="F49" s="7">
        <v>3202000000</v>
      </c>
      <c r="G49" s="7">
        <v>3313000000</v>
      </c>
      <c r="H49" s="7">
        <v>3610000000</v>
      </c>
      <c r="I49" s="7">
        <v>4032000000</v>
      </c>
      <c r="J49" s="7">
        <v>4007000000</v>
      </c>
      <c r="L49" s="37"/>
    </row>
    <row r="50" spans="1:20" ht="15" customHeight="1" x14ac:dyDescent="0.35">
      <c r="A50" s="8" t="s">
        <v>40</v>
      </c>
      <c r="B50" s="9">
        <v>2283000000</v>
      </c>
      <c r="C50" s="9">
        <v>3126000000</v>
      </c>
      <c r="D50" s="9">
        <v>2872000000</v>
      </c>
      <c r="E50" s="9">
        <v>2886000000</v>
      </c>
      <c r="F50" s="9">
        <v>3309000000</v>
      </c>
      <c r="G50" s="9">
        <v>3619000000</v>
      </c>
      <c r="H50" s="9">
        <v>4053000000</v>
      </c>
      <c r="I50" s="9">
        <v>4514000000</v>
      </c>
      <c r="J50" s="9">
        <f>SUM(J44:J49)</f>
        <v>4706000000</v>
      </c>
    </row>
    <row r="51" spans="1:20" ht="15" customHeight="1" x14ac:dyDescent="0.35">
      <c r="A51" s="6" t="s">
        <v>41</v>
      </c>
      <c r="B51" s="7">
        <v>39000000</v>
      </c>
      <c r="C51" s="7">
        <v>39000000</v>
      </c>
      <c r="D51" s="7">
        <v>9000000</v>
      </c>
      <c r="E51" s="7">
        <v>43000000</v>
      </c>
      <c r="F51" s="7">
        <v>417000000</v>
      </c>
      <c r="G51" s="7">
        <v>564000000</v>
      </c>
      <c r="H51" s="7">
        <v>624000000</v>
      </c>
      <c r="I51" s="7">
        <v>635000000</v>
      </c>
      <c r="J51" s="7">
        <v>781000000</v>
      </c>
    </row>
    <row r="52" spans="1:20" ht="15" customHeight="1" x14ac:dyDescent="0.35">
      <c r="A52" s="8" t="s">
        <v>42</v>
      </c>
      <c r="B52" s="9">
        <v>2322000000</v>
      </c>
      <c r="C52" s="9">
        <v>3165000000</v>
      </c>
      <c r="D52" s="9">
        <v>2881000000</v>
      </c>
      <c r="E52" s="9">
        <v>2929000000</v>
      </c>
      <c r="F52" s="9">
        <v>3726000000</v>
      </c>
      <c r="G52" s="9">
        <v>4183000000</v>
      </c>
      <c r="H52" s="9">
        <v>4677000000</v>
      </c>
      <c r="I52" s="9">
        <v>5149000000</v>
      </c>
      <c r="J52" s="9">
        <f>J50+J51</f>
        <v>5487000000</v>
      </c>
    </row>
    <row r="53" spans="1:20" ht="15" customHeight="1" x14ac:dyDescent="0.35">
      <c r="A53" s="8" t="s">
        <v>43</v>
      </c>
      <c r="B53" s="9">
        <v>3971000000</v>
      </c>
      <c r="C53" s="9">
        <v>7538000000</v>
      </c>
      <c r="D53" s="9">
        <v>8736000000</v>
      </c>
      <c r="E53" s="9">
        <v>9637000000</v>
      </c>
      <c r="F53" s="9">
        <v>11030000000</v>
      </c>
      <c r="G53" s="9">
        <v>12228000000</v>
      </c>
      <c r="H53" s="9">
        <v>13163000000</v>
      </c>
      <c r="I53" s="9">
        <v>12946000000</v>
      </c>
      <c r="J53" s="9">
        <v>15350000000</v>
      </c>
    </row>
    <row r="59" spans="1:20" ht="15" customHeight="1" x14ac:dyDescent="0.35">
      <c r="A59" s="13" t="s">
        <v>44</v>
      </c>
      <c r="B59" s="13"/>
      <c r="C59" s="13"/>
      <c r="D59" s="13"/>
      <c r="E59" s="13"/>
      <c r="F59" s="1"/>
      <c r="G59" s="1"/>
      <c r="H59" s="1"/>
    </row>
    <row r="60" spans="1:20" ht="18.649999999999999" customHeight="1" x14ac:dyDescent="0.35">
      <c r="A60" s="16" t="s">
        <v>0</v>
      </c>
      <c r="B60" s="17">
        <v>43100</v>
      </c>
      <c r="C60" s="17">
        <v>43465</v>
      </c>
      <c r="D60" s="17">
        <v>43830</v>
      </c>
      <c r="E60" s="17">
        <v>44196</v>
      </c>
      <c r="F60" s="15" t="s">
        <v>74</v>
      </c>
      <c r="G60" s="15" t="s">
        <v>75</v>
      </c>
      <c r="H60" s="15" t="s">
        <v>76</v>
      </c>
      <c r="K60" s="16" t="s">
        <v>0</v>
      </c>
      <c r="L60" s="17">
        <v>43465</v>
      </c>
      <c r="M60" s="17" t="s">
        <v>77</v>
      </c>
      <c r="N60" s="17" t="s">
        <v>78</v>
      </c>
      <c r="O60" s="17">
        <v>43830</v>
      </c>
      <c r="P60" s="17" t="s">
        <v>77</v>
      </c>
      <c r="Q60" s="17" t="s">
        <v>78</v>
      </c>
      <c r="R60" s="17">
        <v>44196</v>
      </c>
      <c r="S60" s="17" t="s">
        <v>77</v>
      </c>
      <c r="T60" s="17" t="s">
        <v>78</v>
      </c>
    </row>
    <row r="61" spans="1:20" ht="15" customHeight="1" x14ac:dyDescent="0.35">
      <c r="A61" s="147" t="str">
        <f>A3</f>
        <v>АКТИВЫ</v>
      </c>
      <c r="B61" s="148"/>
      <c r="C61" s="148"/>
      <c r="D61" s="148"/>
      <c r="E61" s="148"/>
      <c r="F61" s="148"/>
      <c r="G61" s="148"/>
      <c r="H61" s="150"/>
      <c r="K61" s="147" t="str">
        <f>A61</f>
        <v>АКТИВЫ</v>
      </c>
      <c r="L61" s="148"/>
      <c r="M61" s="148"/>
      <c r="N61" s="148"/>
      <c r="O61" s="148"/>
      <c r="P61" s="148"/>
      <c r="Q61" s="148"/>
      <c r="R61" s="148"/>
      <c r="S61" s="148"/>
      <c r="T61" s="148"/>
    </row>
    <row r="62" spans="1:20" ht="15" customHeight="1" x14ac:dyDescent="0.35">
      <c r="A62" s="147" t="str">
        <f>A4</f>
        <v>Оборотные активы</v>
      </c>
      <c r="B62" s="148"/>
      <c r="C62" s="148"/>
      <c r="D62" s="148"/>
      <c r="E62" s="148"/>
      <c r="F62" s="148"/>
      <c r="G62" s="148"/>
      <c r="H62" s="150"/>
      <c r="K62" s="147" t="str">
        <f>A62</f>
        <v>Оборотные активы</v>
      </c>
      <c r="L62" s="148"/>
      <c r="M62" s="148"/>
      <c r="N62" s="148"/>
      <c r="O62" s="148"/>
      <c r="P62" s="148"/>
      <c r="Q62" s="148"/>
      <c r="R62" s="148"/>
      <c r="S62" s="148"/>
      <c r="T62" s="148"/>
    </row>
    <row r="63" spans="1:20" ht="15" customHeight="1" x14ac:dyDescent="0.35">
      <c r="A63" s="6" t="s">
        <v>3</v>
      </c>
      <c r="B63" s="14">
        <v>322000000</v>
      </c>
      <c r="C63" s="14">
        <v>832000000</v>
      </c>
      <c r="D63" s="14">
        <v>228000000</v>
      </c>
      <c r="E63" s="14">
        <v>806000000</v>
      </c>
      <c r="F63" s="18">
        <f>C63/B63-1</f>
        <v>1.5838509316770186</v>
      </c>
      <c r="G63" s="18">
        <f>D63/C63-1</f>
        <v>-0.72596153846153844</v>
      </c>
      <c r="H63" s="18">
        <f>E63/D63-1</f>
        <v>2.5350877192982457</v>
      </c>
      <c r="K63" s="6" t="s">
        <v>3</v>
      </c>
      <c r="L63" s="14">
        <v>832000000</v>
      </c>
      <c r="M63" s="19">
        <f>L63/$L$70</f>
        <v>0.27531436135009929</v>
      </c>
      <c r="N63" s="19">
        <f>L63/$L$82</f>
        <v>6.3207475499506185E-2</v>
      </c>
      <c r="O63" s="14">
        <v>228000000</v>
      </c>
      <c r="P63" s="19">
        <f>O63/$O$70</f>
        <v>9.515859766277128E-2</v>
      </c>
      <c r="Q63" s="19">
        <f>O63/$O$82</f>
        <v>1.7611617488027191E-2</v>
      </c>
      <c r="R63" s="14">
        <v>806000000</v>
      </c>
      <c r="S63" s="19">
        <f>R63/$R$70</f>
        <v>0.27583846680355922</v>
      </c>
      <c r="T63" s="19">
        <f>R63/$R$82</f>
        <v>5.2508143322475567E-2</v>
      </c>
    </row>
    <row r="64" spans="1:20" ht="15" customHeight="1" x14ac:dyDescent="0.35">
      <c r="A64" s="6" t="s">
        <v>4</v>
      </c>
      <c r="B64" s="14">
        <v>13000000</v>
      </c>
      <c r="C64" s="14">
        <v>12000000</v>
      </c>
      <c r="D64" s="14">
        <v>10000000</v>
      </c>
      <c r="E64" s="14">
        <v>17000000</v>
      </c>
      <c r="F64" s="18">
        <f t="shared" ref="F64:G66" si="0">C64/B64-1</f>
        <v>-7.6923076923076872E-2</v>
      </c>
      <c r="G64" s="18">
        <f t="shared" si="0"/>
        <v>-0.16666666666666663</v>
      </c>
      <c r="H64" s="18">
        <f t="shared" ref="H64:H66" si="1">E64/D64-1</f>
        <v>0.7</v>
      </c>
      <c r="K64" s="6" t="s">
        <v>4</v>
      </c>
      <c r="L64" s="14">
        <v>12000000</v>
      </c>
      <c r="M64" s="19">
        <f t="shared" ref="M64:M69" si="2">L64/$L$70</f>
        <v>3.9708802117802778E-3</v>
      </c>
      <c r="N64" s="19">
        <f t="shared" ref="N64:N70" si="3">L64/$L$82</f>
        <v>9.1164628124287773E-4</v>
      </c>
      <c r="O64" s="14">
        <v>10000000</v>
      </c>
      <c r="P64" s="19">
        <f t="shared" ref="P64:P69" si="4">O64/$O$70</f>
        <v>4.1736227045075123E-3</v>
      </c>
      <c r="Q64" s="19">
        <f t="shared" ref="Q64:Q70" si="5">O64/$O$82</f>
        <v>7.7243936350996452E-4</v>
      </c>
      <c r="R64" s="14">
        <v>17000000</v>
      </c>
      <c r="S64" s="19">
        <f t="shared" ref="S64:S69" si="6">R64/$R$70</f>
        <v>5.8179329226557153E-3</v>
      </c>
      <c r="T64" s="19">
        <f t="shared" ref="T64:T70" si="7">R64/$R$82</f>
        <v>1.1074918566775244E-3</v>
      </c>
    </row>
    <row r="65" spans="1:20" ht="15" customHeight="1" x14ac:dyDescent="0.35">
      <c r="A65" s="6" t="s">
        <v>45</v>
      </c>
      <c r="B65" s="14">
        <v>336000000</v>
      </c>
      <c r="C65" s="14">
        <v>633000000</v>
      </c>
      <c r="D65" s="14">
        <v>501000000</v>
      </c>
      <c r="E65" s="14">
        <v>817000000</v>
      </c>
      <c r="F65" s="18">
        <f t="shared" si="0"/>
        <v>0.8839285714285714</v>
      </c>
      <c r="G65" s="18">
        <f t="shared" si="0"/>
        <v>-0.20853080568720384</v>
      </c>
      <c r="H65" s="18">
        <f t="shared" si="1"/>
        <v>0.63073852295409183</v>
      </c>
      <c r="K65" s="6" t="s">
        <v>45</v>
      </c>
      <c r="L65" s="14">
        <v>633000000</v>
      </c>
      <c r="M65" s="19">
        <f t="shared" si="2"/>
        <v>0.20946393117140966</v>
      </c>
      <c r="N65" s="19">
        <f t="shared" si="3"/>
        <v>4.8089341335561801E-2</v>
      </c>
      <c r="O65" s="14">
        <v>501000000</v>
      </c>
      <c r="P65" s="19">
        <f t="shared" si="4"/>
        <v>0.20909849749582637</v>
      </c>
      <c r="Q65" s="19">
        <f t="shared" si="5"/>
        <v>3.8699212111849221E-2</v>
      </c>
      <c r="R65" s="14">
        <v>817000000</v>
      </c>
      <c r="S65" s="19">
        <f t="shared" si="6"/>
        <v>0.27960301163586587</v>
      </c>
      <c r="T65" s="19">
        <f t="shared" si="7"/>
        <v>5.3224755700325733E-2</v>
      </c>
    </row>
    <row r="66" spans="1:20" ht="15" customHeight="1" x14ac:dyDescent="0.35">
      <c r="A66" s="6" t="s">
        <v>5</v>
      </c>
      <c r="B66" s="14">
        <v>843000000</v>
      </c>
      <c r="C66" s="14">
        <v>642000000</v>
      </c>
      <c r="D66" s="14">
        <v>620000000</v>
      </c>
      <c r="E66" s="14">
        <v>468000000</v>
      </c>
      <c r="F66" s="18">
        <f t="shared" si="0"/>
        <v>-0.23843416370106763</v>
      </c>
      <c r="G66" s="18">
        <f t="shared" si="0"/>
        <v>-3.4267912772585674E-2</v>
      </c>
      <c r="H66" s="18">
        <f t="shared" si="1"/>
        <v>-0.24516129032258061</v>
      </c>
      <c r="K66" s="6" t="s">
        <v>5</v>
      </c>
      <c r="L66" s="14">
        <v>642000000</v>
      </c>
      <c r="M66" s="19">
        <f t="shared" si="2"/>
        <v>0.21244209133024486</v>
      </c>
      <c r="N66" s="19">
        <f t="shared" si="3"/>
        <v>4.877307604649396E-2</v>
      </c>
      <c r="O66" s="14">
        <v>620000000</v>
      </c>
      <c r="P66" s="19">
        <f t="shared" si="4"/>
        <v>0.2587646076794658</v>
      </c>
      <c r="Q66" s="19">
        <f t="shared" si="5"/>
        <v>4.7891240537617799E-2</v>
      </c>
      <c r="R66" s="14">
        <v>468000000</v>
      </c>
      <c r="S66" s="19">
        <f t="shared" si="6"/>
        <v>0.16016427104722791</v>
      </c>
      <c r="T66" s="19">
        <f t="shared" si="7"/>
        <v>3.0488599348534203E-2</v>
      </c>
    </row>
    <row r="67" spans="1:20" ht="15" customHeight="1" x14ac:dyDescent="0.35">
      <c r="A67" s="6" t="s">
        <v>13</v>
      </c>
      <c r="B67" s="14" t="s">
        <v>46</v>
      </c>
      <c r="C67" s="14" t="s">
        <v>46</v>
      </c>
      <c r="D67" s="14">
        <v>130000000</v>
      </c>
      <c r="E67" s="14">
        <v>131000000</v>
      </c>
      <c r="F67" s="18" t="s">
        <v>46</v>
      </c>
      <c r="G67" s="18" t="s">
        <v>46</v>
      </c>
      <c r="H67" s="18" t="s">
        <v>46</v>
      </c>
      <c r="K67" s="6" t="s">
        <v>13</v>
      </c>
      <c r="L67" s="14" t="s">
        <v>46</v>
      </c>
      <c r="M67" s="19" t="s">
        <v>46</v>
      </c>
      <c r="N67" s="19" t="s">
        <v>46</v>
      </c>
      <c r="O67" s="14">
        <v>130000000</v>
      </c>
      <c r="P67" s="19">
        <f t="shared" si="4"/>
        <v>5.4257095158597661E-2</v>
      </c>
      <c r="Q67" s="19">
        <f t="shared" si="5"/>
        <v>1.0041711725629537E-2</v>
      </c>
      <c r="R67" s="14">
        <v>131000000</v>
      </c>
      <c r="S67" s="19">
        <f t="shared" si="6"/>
        <v>4.4832306639288159E-2</v>
      </c>
      <c r="T67" s="19">
        <f t="shared" si="7"/>
        <v>8.5342019543973944E-3</v>
      </c>
    </row>
    <row r="68" spans="1:20" ht="15" customHeight="1" x14ac:dyDescent="0.35">
      <c r="A68" s="6" t="s">
        <v>6</v>
      </c>
      <c r="B68" s="14">
        <v>324000000</v>
      </c>
      <c r="C68" s="14">
        <v>393000000</v>
      </c>
      <c r="D68" s="14">
        <v>438000000</v>
      </c>
      <c r="E68" s="14">
        <v>361000000</v>
      </c>
      <c r="F68" s="18">
        <f t="shared" ref="F68:G70" si="8">C68/B68-1</f>
        <v>0.21296296296296302</v>
      </c>
      <c r="G68" s="18">
        <f t="shared" si="8"/>
        <v>0.11450381679389321</v>
      </c>
      <c r="H68" s="18">
        <f t="shared" ref="H68:H70" si="9">E68/D68-1</f>
        <v>-0.17579908675799083</v>
      </c>
      <c r="K68" s="6" t="s">
        <v>6</v>
      </c>
      <c r="L68" s="14">
        <v>393000000</v>
      </c>
      <c r="M68" s="19">
        <f t="shared" si="2"/>
        <v>0.13004632693580409</v>
      </c>
      <c r="N68" s="19">
        <f t="shared" si="3"/>
        <v>2.9856415710704246E-2</v>
      </c>
      <c r="O68" s="14">
        <v>438000000</v>
      </c>
      <c r="P68" s="19">
        <f t="shared" si="4"/>
        <v>0.18280467445742904</v>
      </c>
      <c r="Q68" s="19">
        <f t="shared" si="5"/>
        <v>3.3832844121736441E-2</v>
      </c>
      <c r="R68" s="14">
        <v>361000000</v>
      </c>
      <c r="S68" s="19">
        <f t="shared" si="6"/>
        <v>0.12354551676933608</v>
      </c>
      <c r="T68" s="19">
        <f t="shared" si="7"/>
        <v>2.3517915309446254E-2</v>
      </c>
    </row>
    <row r="69" spans="1:20" ht="15" customHeight="1" x14ac:dyDescent="0.35">
      <c r="A69" s="6" t="s">
        <v>7</v>
      </c>
      <c r="B69" s="14">
        <v>454000000</v>
      </c>
      <c r="C69" s="14">
        <v>510000000</v>
      </c>
      <c r="D69" s="14">
        <v>469000000</v>
      </c>
      <c r="E69" s="14">
        <v>322000000</v>
      </c>
      <c r="F69" s="18">
        <f t="shared" si="8"/>
        <v>0.12334801762114544</v>
      </c>
      <c r="G69" s="18">
        <f t="shared" si="8"/>
        <v>-8.0392156862745145E-2</v>
      </c>
      <c r="H69" s="18">
        <f t="shared" si="9"/>
        <v>-0.31343283582089554</v>
      </c>
      <c r="K69" s="6" t="s">
        <v>7</v>
      </c>
      <c r="L69" s="14">
        <v>510000000</v>
      </c>
      <c r="M69" s="19">
        <f t="shared" si="2"/>
        <v>0.16876240900066181</v>
      </c>
      <c r="N69" s="19">
        <f t="shared" si="3"/>
        <v>3.8744966952822306E-2</v>
      </c>
      <c r="O69" s="14">
        <v>469000000</v>
      </c>
      <c r="P69" s="19">
        <f t="shared" si="4"/>
        <v>0.19574290484140233</v>
      </c>
      <c r="Q69" s="19">
        <f t="shared" si="5"/>
        <v>3.622740614861733E-2</v>
      </c>
      <c r="R69" s="14">
        <v>322000000</v>
      </c>
      <c r="S69" s="19">
        <f t="shared" si="6"/>
        <v>0.11019849418206708</v>
      </c>
      <c r="T69" s="19">
        <f t="shared" si="7"/>
        <v>2.0977198697068405E-2</v>
      </c>
    </row>
    <row r="70" spans="1:20" ht="15" customHeight="1" x14ac:dyDescent="0.35">
      <c r="A70" s="8" t="s">
        <v>8</v>
      </c>
      <c r="B70" s="12">
        <v>2292000000</v>
      </c>
      <c r="C70" s="12">
        <v>3022000000</v>
      </c>
      <c r="D70" s="12">
        <v>2396000000</v>
      </c>
      <c r="E70" s="12">
        <f>SUM(E63:E69)</f>
        <v>2922000000</v>
      </c>
      <c r="F70" s="18">
        <f t="shared" si="8"/>
        <v>0.31849912739965092</v>
      </c>
      <c r="G70" s="18">
        <f t="shared" si="8"/>
        <v>-0.20714758438120451</v>
      </c>
      <c r="H70" s="18">
        <f t="shared" si="9"/>
        <v>0.21953255425709517</v>
      </c>
      <c r="K70" s="8" t="s">
        <v>8</v>
      </c>
      <c r="L70" s="12">
        <v>3022000000</v>
      </c>
      <c r="M70" s="12"/>
      <c r="N70" s="19">
        <f t="shared" si="3"/>
        <v>0.22958292182633139</v>
      </c>
      <c r="O70" s="12">
        <v>2396000000</v>
      </c>
      <c r="P70" s="12"/>
      <c r="Q70" s="19">
        <f t="shared" si="5"/>
        <v>0.1850764714969875</v>
      </c>
      <c r="R70" s="12">
        <f>SUM(R63:R69)</f>
        <v>2922000000</v>
      </c>
      <c r="S70" s="18"/>
      <c r="T70" s="19">
        <f t="shared" si="7"/>
        <v>0.19035830618892507</v>
      </c>
    </row>
    <row r="71" spans="1:20" ht="15" customHeight="1" x14ac:dyDescent="0.35">
      <c r="A71" s="145" t="str">
        <f>A13</f>
        <v>Внеоборотные активы</v>
      </c>
      <c r="B71" s="146"/>
      <c r="C71" s="146"/>
      <c r="D71" s="146"/>
      <c r="E71" s="146"/>
      <c r="F71" s="146"/>
      <c r="G71" s="146"/>
      <c r="H71" s="149"/>
      <c r="I71" s="37"/>
      <c r="K71" s="145" t="str">
        <f>A71</f>
        <v>Внеоборотные активы</v>
      </c>
      <c r="L71" s="146"/>
      <c r="M71" s="146"/>
      <c r="N71" s="146"/>
      <c r="O71" s="146"/>
      <c r="P71" s="146"/>
      <c r="Q71" s="146"/>
      <c r="R71" s="146"/>
      <c r="S71" s="146"/>
      <c r="T71" s="146"/>
    </row>
    <row r="72" spans="1:20" ht="15" customHeight="1" x14ac:dyDescent="0.35">
      <c r="A72" s="6" t="s">
        <v>10</v>
      </c>
      <c r="B72" s="14">
        <v>7923000000</v>
      </c>
      <c r="C72" s="14">
        <v>8445000000</v>
      </c>
      <c r="D72" s="14">
        <v>8706000000</v>
      </c>
      <c r="E72" s="14">
        <v>10401000000</v>
      </c>
      <c r="F72" s="18">
        <f>C72/B72-1</f>
        <v>6.5884134797425276E-2</v>
      </c>
      <c r="G72" s="18">
        <f>D72/C72-1</f>
        <v>3.0905861456483219E-2</v>
      </c>
      <c r="H72" s="18">
        <f t="shared" ref="H72:H82" si="10">E72/D72-1</f>
        <v>0.19469331495520326</v>
      </c>
      <c r="I72" s="37"/>
      <c r="K72" s="6" t="s">
        <v>10</v>
      </c>
      <c r="L72" s="14">
        <v>8445000000</v>
      </c>
      <c r="M72" s="19">
        <f>L72/$L$81</f>
        <v>0.83275811063997629</v>
      </c>
      <c r="N72" s="19">
        <f>L72/$L$82</f>
        <v>0.6415710704246752</v>
      </c>
      <c r="O72" s="14">
        <v>8706000000</v>
      </c>
      <c r="P72" s="19">
        <f>O72/$O$81</f>
        <v>0.82521327014218004</v>
      </c>
      <c r="Q72" s="19">
        <f>O72/$O$82</f>
        <v>0.67248570987177503</v>
      </c>
      <c r="R72" s="14">
        <v>10401000000</v>
      </c>
      <c r="S72" s="19">
        <f>R72/$R$81</f>
        <v>0.83690054715159312</v>
      </c>
      <c r="T72" s="19">
        <f>R72/$R$82</f>
        <v>0.67758957654723129</v>
      </c>
    </row>
    <row r="73" spans="1:20" ht="15" customHeight="1" x14ac:dyDescent="0.35">
      <c r="A73" s="6" t="s">
        <v>47</v>
      </c>
      <c r="B73" s="14" t="s">
        <v>46</v>
      </c>
      <c r="C73" s="14" t="s">
        <v>46</v>
      </c>
      <c r="D73" s="14">
        <v>160000000</v>
      </c>
      <c r="E73" s="14">
        <v>155000000</v>
      </c>
      <c r="F73" s="18" t="s">
        <v>46</v>
      </c>
      <c r="G73" s="18" t="s">
        <v>46</v>
      </c>
      <c r="H73" s="18">
        <f t="shared" si="10"/>
        <v>-3.125E-2</v>
      </c>
      <c r="K73" s="6" t="s">
        <v>47</v>
      </c>
      <c r="L73" s="14" t="s">
        <v>46</v>
      </c>
      <c r="M73" s="19" t="s">
        <v>46</v>
      </c>
      <c r="N73" s="19" t="s">
        <v>46</v>
      </c>
      <c r="O73" s="14">
        <v>160000000</v>
      </c>
      <c r="P73" s="19">
        <f t="shared" ref="P73:P80" si="11">O73/$O$81</f>
        <v>1.5165876777251185E-2</v>
      </c>
      <c r="Q73" s="19">
        <f t="shared" ref="Q73:Q81" si="12">O73/$O$82</f>
        <v>1.2359029816159432E-2</v>
      </c>
      <c r="R73" s="14">
        <v>155000000</v>
      </c>
      <c r="S73" s="19">
        <f t="shared" ref="S73:S80" si="13">R73/$R$81</f>
        <v>1.2471837785645317E-2</v>
      </c>
      <c r="T73" s="19">
        <f t="shared" ref="T73:T81" si="14">R73/$R$82</f>
        <v>1.0097719869706841E-2</v>
      </c>
    </row>
    <row r="74" spans="1:20" ht="15" customHeight="1" x14ac:dyDescent="0.35">
      <c r="A74" s="6" t="s">
        <v>11</v>
      </c>
      <c r="B74" s="14">
        <v>75000000</v>
      </c>
      <c r="C74" s="14">
        <v>75000000</v>
      </c>
      <c r="D74" s="14">
        <v>66000000</v>
      </c>
      <c r="E74" s="14">
        <v>80000000</v>
      </c>
      <c r="F74" s="18">
        <f t="shared" ref="F74:F82" si="15">C74/B74-1</f>
        <v>0</v>
      </c>
      <c r="G74" s="18">
        <f t="shared" ref="G74:G82" si="16">D74/C74-1</f>
        <v>-0.12</v>
      </c>
      <c r="H74" s="18">
        <f t="shared" si="10"/>
        <v>0.21212121212121215</v>
      </c>
      <c r="K74" s="6" t="s">
        <v>11</v>
      </c>
      <c r="L74" s="14">
        <v>75000000</v>
      </c>
      <c r="M74" s="19">
        <f t="shared" ref="M74:M80" si="17">L74/$L$81</f>
        <v>7.3957203431614243E-3</v>
      </c>
      <c r="N74" s="19">
        <f t="shared" ref="N74:N81" si="18">L74/$L$82</f>
        <v>5.6977892577679858E-3</v>
      </c>
      <c r="O74" s="14">
        <v>66000000</v>
      </c>
      <c r="P74" s="19">
        <f t="shared" si="11"/>
        <v>6.2559241706161136E-3</v>
      </c>
      <c r="Q74" s="19">
        <f t="shared" si="12"/>
        <v>5.0980997991657657E-3</v>
      </c>
      <c r="R74" s="14">
        <v>80000000</v>
      </c>
      <c r="S74" s="19">
        <f t="shared" si="13"/>
        <v>6.4370775667846793E-3</v>
      </c>
      <c r="T74" s="19">
        <f t="shared" si="14"/>
        <v>5.2117263843648211E-3</v>
      </c>
    </row>
    <row r="75" spans="1:20" ht="15" customHeight="1" x14ac:dyDescent="0.35">
      <c r="A75" s="6" t="s">
        <v>48</v>
      </c>
      <c r="B75" s="14">
        <v>606000000</v>
      </c>
      <c r="C75" s="14">
        <v>239000000</v>
      </c>
      <c r="D75" s="14">
        <v>229000000</v>
      </c>
      <c r="E75" s="14">
        <v>275000000</v>
      </c>
      <c r="F75" s="18">
        <f t="shared" si="15"/>
        <v>-0.60561056105610556</v>
      </c>
      <c r="G75" s="18">
        <f t="shared" si="16"/>
        <v>-4.1841004184100417E-2</v>
      </c>
      <c r="H75" s="18">
        <f t="shared" si="10"/>
        <v>0.20087336244541487</v>
      </c>
      <c r="K75" s="6" t="s">
        <v>48</v>
      </c>
      <c r="L75" s="14">
        <v>239000000</v>
      </c>
      <c r="M75" s="19">
        <f t="shared" si="17"/>
        <v>2.3567695493541072E-2</v>
      </c>
      <c r="N75" s="19">
        <f t="shared" si="18"/>
        <v>1.8156955101420649E-2</v>
      </c>
      <c r="O75" s="14">
        <v>229000000</v>
      </c>
      <c r="P75" s="19">
        <f t="shared" si="11"/>
        <v>2.1706161137440758E-2</v>
      </c>
      <c r="Q75" s="19">
        <f t="shared" si="12"/>
        <v>1.7688861424378186E-2</v>
      </c>
      <c r="R75" s="14">
        <v>275000000</v>
      </c>
      <c r="S75" s="19">
        <f t="shared" si="13"/>
        <v>2.2127454135822337E-2</v>
      </c>
      <c r="T75" s="19">
        <f t="shared" si="14"/>
        <v>1.7915309446254073E-2</v>
      </c>
    </row>
    <row r="76" spans="1:20" ht="15" customHeight="1" x14ac:dyDescent="0.35">
      <c r="A76" s="6" t="s">
        <v>12</v>
      </c>
      <c r="B76" s="14">
        <v>635000000</v>
      </c>
      <c r="C76" s="14">
        <v>735000000</v>
      </c>
      <c r="D76" s="14">
        <v>801000000</v>
      </c>
      <c r="E76" s="14">
        <v>846000000</v>
      </c>
      <c r="F76" s="18">
        <f t="shared" si="15"/>
        <v>0.15748031496062986</v>
      </c>
      <c r="G76" s="18">
        <f t="shared" si="16"/>
        <v>8.9795918367346905E-2</v>
      </c>
      <c r="H76" s="18">
        <f t="shared" si="10"/>
        <v>5.6179775280898792E-2</v>
      </c>
      <c r="K76" s="6" t="s">
        <v>12</v>
      </c>
      <c r="L76" s="14">
        <v>735000000</v>
      </c>
      <c r="M76" s="19">
        <f t="shared" si="17"/>
        <v>7.2478059362981948E-2</v>
      </c>
      <c r="N76" s="19">
        <f t="shared" si="18"/>
        <v>5.583833472612626E-2</v>
      </c>
      <c r="O76" s="14">
        <v>801000000</v>
      </c>
      <c r="P76" s="19">
        <f t="shared" si="11"/>
        <v>7.5924170616113743E-2</v>
      </c>
      <c r="Q76" s="19">
        <f t="shared" si="12"/>
        <v>6.1872393017148156E-2</v>
      </c>
      <c r="R76" s="14">
        <v>846000000</v>
      </c>
      <c r="S76" s="19">
        <f t="shared" si="13"/>
        <v>6.8072095268747995E-2</v>
      </c>
      <c r="T76" s="19">
        <f t="shared" si="14"/>
        <v>5.5114006514657983E-2</v>
      </c>
    </row>
    <row r="77" spans="1:20" ht="15" customHeight="1" x14ac:dyDescent="0.35">
      <c r="A77" s="6" t="s">
        <v>13</v>
      </c>
      <c r="B77" s="14">
        <v>121000000</v>
      </c>
      <c r="C77" s="14">
        <v>239000000</v>
      </c>
      <c r="D77" s="14">
        <v>291000000</v>
      </c>
      <c r="E77" s="14">
        <v>363000000</v>
      </c>
      <c r="F77" s="18">
        <f t="shared" si="15"/>
        <v>0.97520661157024802</v>
      </c>
      <c r="G77" s="18">
        <f t="shared" si="16"/>
        <v>0.21757322175732208</v>
      </c>
      <c r="H77" s="18">
        <f t="shared" si="10"/>
        <v>0.24742268041237114</v>
      </c>
      <c r="K77" s="6" t="s">
        <v>13</v>
      </c>
      <c r="L77" s="14">
        <v>239000000</v>
      </c>
      <c r="M77" s="19">
        <f t="shared" si="17"/>
        <v>2.3567695493541072E-2</v>
      </c>
      <c r="N77" s="19">
        <f t="shared" si="18"/>
        <v>1.8156955101420649E-2</v>
      </c>
      <c r="O77" s="14">
        <v>291000000</v>
      </c>
      <c r="P77" s="19">
        <f t="shared" si="11"/>
        <v>2.7582938388625591E-2</v>
      </c>
      <c r="Q77" s="19">
        <f t="shared" si="12"/>
        <v>2.2477985478139968E-2</v>
      </c>
      <c r="R77" s="14">
        <v>363000000</v>
      </c>
      <c r="S77" s="19">
        <f t="shared" si="13"/>
        <v>2.9208239459285485E-2</v>
      </c>
      <c r="T77" s="19">
        <f t="shared" si="14"/>
        <v>2.3648208469055375E-2</v>
      </c>
    </row>
    <row r="78" spans="1:20" ht="15" customHeight="1" x14ac:dyDescent="0.35">
      <c r="A78" s="6" t="s">
        <v>14</v>
      </c>
      <c r="B78" s="14">
        <v>26000000</v>
      </c>
      <c r="C78" s="14">
        <v>28000000</v>
      </c>
      <c r="D78" s="14">
        <v>33000000</v>
      </c>
      <c r="E78" s="14">
        <v>54000000</v>
      </c>
      <c r="F78" s="18">
        <f t="shared" si="15"/>
        <v>7.6923076923076872E-2</v>
      </c>
      <c r="G78" s="18">
        <f t="shared" si="16"/>
        <v>0.1785714285714286</v>
      </c>
      <c r="H78" s="18">
        <f t="shared" si="10"/>
        <v>0.63636363636363646</v>
      </c>
      <c r="K78" s="6" t="s">
        <v>14</v>
      </c>
      <c r="L78" s="14">
        <v>28000000</v>
      </c>
      <c r="M78" s="19">
        <f t="shared" si="17"/>
        <v>2.7610689281135983E-3</v>
      </c>
      <c r="N78" s="19">
        <f t="shared" si="18"/>
        <v>2.1271746562333813E-3</v>
      </c>
      <c r="O78" s="14">
        <v>33000000</v>
      </c>
      <c r="P78" s="19">
        <f t="shared" si="11"/>
        <v>3.1279620853080568E-3</v>
      </c>
      <c r="Q78" s="19">
        <f t="shared" si="12"/>
        <v>2.5490498995828829E-3</v>
      </c>
      <c r="R78" s="14">
        <v>54000000</v>
      </c>
      <c r="S78" s="19">
        <f t="shared" si="13"/>
        <v>4.345027357579659E-3</v>
      </c>
      <c r="T78" s="19">
        <f t="shared" si="14"/>
        <v>3.5179153094462541E-3</v>
      </c>
    </row>
    <row r="79" spans="1:20" ht="15" customHeight="1" x14ac:dyDescent="0.35">
      <c r="A79" s="6" t="s">
        <v>15</v>
      </c>
      <c r="B79" s="14">
        <v>265000000</v>
      </c>
      <c r="C79" s="14">
        <v>85000000</v>
      </c>
      <c r="D79" s="14">
        <v>93000000</v>
      </c>
      <c r="E79" s="14">
        <v>82000000</v>
      </c>
      <c r="F79" s="18">
        <f t="shared" si="15"/>
        <v>-0.679245283018868</v>
      </c>
      <c r="G79" s="18">
        <f t="shared" si="16"/>
        <v>9.4117647058823639E-2</v>
      </c>
      <c r="H79" s="18">
        <f t="shared" si="10"/>
        <v>-0.11827956989247312</v>
      </c>
      <c r="K79" s="6" t="s">
        <v>15</v>
      </c>
      <c r="L79" s="14">
        <v>85000000</v>
      </c>
      <c r="M79" s="19">
        <f t="shared" si="17"/>
        <v>8.3818163889162797E-3</v>
      </c>
      <c r="N79" s="19">
        <f t="shared" si="18"/>
        <v>6.457494492137051E-3</v>
      </c>
      <c r="O79" s="14">
        <v>93000000</v>
      </c>
      <c r="P79" s="19">
        <f t="shared" si="11"/>
        <v>8.8151658767772513E-3</v>
      </c>
      <c r="Q79" s="19">
        <f t="shared" si="12"/>
        <v>7.1836860806426695E-3</v>
      </c>
      <c r="R79" s="14">
        <v>82000000</v>
      </c>
      <c r="S79" s="19">
        <f t="shared" si="13"/>
        <v>6.5980045059542969E-3</v>
      </c>
      <c r="T79" s="19">
        <f t="shared" si="14"/>
        <v>5.3420195439739413E-3</v>
      </c>
    </row>
    <row r="80" spans="1:20" ht="15" customHeight="1" x14ac:dyDescent="0.35">
      <c r="A80" s="6" t="s">
        <v>16</v>
      </c>
      <c r="B80" s="14">
        <v>285000000</v>
      </c>
      <c r="C80" s="14">
        <v>295000000</v>
      </c>
      <c r="D80" s="14">
        <v>171000000</v>
      </c>
      <c r="E80" s="14">
        <v>172000000</v>
      </c>
      <c r="F80" s="18">
        <f t="shared" si="15"/>
        <v>3.5087719298245723E-2</v>
      </c>
      <c r="G80" s="18">
        <f t="shared" si="16"/>
        <v>-0.42033898305084749</v>
      </c>
      <c r="H80" s="18">
        <f t="shared" si="10"/>
        <v>5.8479532163742132E-3</v>
      </c>
      <c r="K80" s="6" t="s">
        <v>16</v>
      </c>
      <c r="L80" s="14">
        <v>295000000</v>
      </c>
      <c r="M80" s="19">
        <f t="shared" si="17"/>
        <v>2.9089833349768269E-2</v>
      </c>
      <c r="N80" s="19">
        <f t="shared" si="18"/>
        <v>2.241130441388741E-2</v>
      </c>
      <c r="O80" s="14">
        <v>171000000</v>
      </c>
      <c r="P80" s="19">
        <f t="shared" si="11"/>
        <v>1.6208530805687203E-2</v>
      </c>
      <c r="Q80" s="19">
        <f t="shared" si="12"/>
        <v>1.3208713116020392E-2</v>
      </c>
      <c r="R80" s="14">
        <v>172000000</v>
      </c>
      <c r="S80" s="19">
        <f t="shared" si="13"/>
        <v>1.3839716768587062E-2</v>
      </c>
      <c r="T80" s="19">
        <f t="shared" si="14"/>
        <v>1.1205211726384365E-2</v>
      </c>
    </row>
    <row r="81" spans="1:20" ht="15" customHeight="1" x14ac:dyDescent="0.35">
      <c r="A81" s="8" t="s">
        <v>17</v>
      </c>
      <c r="B81" s="12">
        <v>9936000000</v>
      </c>
      <c r="C81" s="12">
        <v>10141000000</v>
      </c>
      <c r="D81" s="12">
        <v>10550000000</v>
      </c>
      <c r="E81" s="12">
        <f>SUM(E72:E80)</f>
        <v>12428000000</v>
      </c>
      <c r="F81" s="18">
        <f t="shared" si="15"/>
        <v>2.0632045088566864E-2</v>
      </c>
      <c r="G81" s="18">
        <f t="shared" si="16"/>
        <v>4.0331328271373534E-2</v>
      </c>
      <c r="H81" s="18">
        <f t="shared" si="10"/>
        <v>0.17800947867298578</v>
      </c>
      <c r="K81" s="8" t="s">
        <v>17</v>
      </c>
      <c r="L81" s="12">
        <v>10141000000</v>
      </c>
      <c r="M81" s="12"/>
      <c r="N81" s="19">
        <f t="shared" si="18"/>
        <v>0.77041707817366867</v>
      </c>
      <c r="O81" s="12">
        <v>10550000000</v>
      </c>
      <c r="P81" s="12"/>
      <c r="Q81" s="19">
        <f t="shared" si="12"/>
        <v>0.81492352850301253</v>
      </c>
      <c r="R81" s="12">
        <f>SUM(R72:R80)</f>
        <v>12428000000</v>
      </c>
      <c r="S81" s="18"/>
      <c r="T81" s="19">
        <f t="shared" si="14"/>
        <v>0.80964169381107487</v>
      </c>
    </row>
    <row r="82" spans="1:20" ht="15" customHeight="1" x14ac:dyDescent="0.35">
      <c r="A82" s="8" t="s">
        <v>19</v>
      </c>
      <c r="B82" s="12">
        <v>12228000000</v>
      </c>
      <c r="C82" s="12">
        <v>13163000000</v>
      </c>
      <c r="D82" s="12">
        <v>12946000000</v>
      </c>
      <c r="E82" s="12">
        <f>E81+E70</f>
        <v>15350000000</v>
      </c>
      <c r="F82" s="18">
        <f t="shared" si="15"/>
        <v>7.6463853451095742E-2</v>
      </c>
      <c r="G82" s="18">
        <f t="shared" si="16"/>
        <v>-1.648560358580875E-2</v>
      </c>
      <c r="H82" s="18">
        <f t="shared" si="10"/>
        <v>0.18569442298779548</v>
      </c>
      <c r="K82" s="8" t="s">
        <v>19</v>
      </c>
      <c r="L82" s="12">
        <v>13163000000</v>
      </c>
      <c r="M82" s="12"/>
      <c r="N82" s="12"/>
      <c r="O82" s="12">
        <v>12946000000</v>
      </c>
      <c r="P82" s="12"/>
      <c r="Q82" s="12"/>
      <c r="R82" s="12">
        <f>R81+R70</f>
        <v>15350000000</v>
      </c>
      <c r="S82" s="18"/>
      <c r="T82" s="18">
        <f>O82/L82-1</f>
        <v>-1.648560358580875E-2</v>
      </c>
    </row>
    <row r="83" spans="1:20" ht="15" customHeight="1" x14ac:dyDescent="0.35">
      <c r="A83" s="145" t="str">
        <f>A26</f>
        <v>ОБЯЗАТЕЛЬСТВА И КАПИТАЛ</v>
      </c>
      <c r="B83" s="146"/>
      <c r="C83" s="146"/>
      <c r="D83" s="146"/>
      <c r="E83" s="146"/>
      <c r="F83" s="146"/>
      <c r="G83" s="146"/>
      <c r="H83" s="149"/>
      <c r="K83" s="145" t="str">
        <f>A83</f>
        <v>ОБЯЗАТЕЛЬСТВА И КАПИТАЛ</v>
      </c>
      <c r="L83" s="146"/>
      <c r="M83" s="146"/>
      <c r="N83" s="146"/>
      <c r="O83" s="146"/>
      <c r="P83" s="146"/>
      <c r="Q83" s="146"/>
      <c r="R83" s="146"/>
      <c r="S83" s="146"/>
      <c r="T83" s="146"/>
    </row>
    <row r="84" spans="1:20" ht="15" customHeight="1" x14ac:dyDescent="0.35">
      <c r="A84" s="145" t="str">
        <f>A27</f>
        <v>Краткосрочные обязательства</v>
      </c>
      <c r="B84" s="146"/>
      <c r="C84" s="146"/>
      <c r="D84" s="146"/>
      <c r="E84" s="146"/>
      <c r="F84" s="146"/>
      <c r="G84" s="146"/>
      <c r="H84" s="149"/>
      <c r="K84" s="145" t="str">
        <f>A84</f>
        <v>Краткосрочные обязательства</v>
      </c>
      <c r="L84" s="146"/>
      <c r="M84" s="146"/>
      <c r="N84" s="146"/>
      <c r="O84" s="146"/>
      <c r="P84" s="146"/>
      <c r="Q84" s="146"/>
      <c r="R84" s="146"/>
      <c r="S84" s="146"/>
      <c r="T84" s="146"/>
    </row>
    <row r="85" spans="1:20" ht="15" customHeight="1" x14ac:dyDescent="0.35">
      <c r="A85" s="6" t="s">
        <v>22</v>
      </c>
      <c r="B85" s="14">
        <v>971000000</v>
      </c>
      <c r="C85" s="14">
        <v>1130000000</v>
      </c>
      <c r="D85" s="14">
        <v>1162000000</v>
      </c>
      <c r="E85" s="14">
        <v>1546000000</v>
      </c>
      <c r="F85" s="18">
        <f t="shared" ref="F85:G92" si="19">C85/B85-1</f>
        <v>0.16374871266735314</v>
      </c>
      <c r="G85" s="18">
        <f t="shared" si="19"/>
        <v>2.831858407079646E-2</v>
      </c>
      <c r="H85" s="18">
        <f t="shared" ref="H85:H92" si="20">E85/D85-1</f>
        <v>0.33046471600688476</v>
      </c>
      <c r="K85" s="6" t="s">
        <v>22</v>
      </c>
      <c r="L85" s="14">
        <v>1130000000</v>
      </c>
      <c r="M85" s="19">
        <f>L85/$L$92</f>
        <v>0.39318023660403617</v>
      </c>
      <c r="N85" s="19">
        <f>L85/$L$110</f>
        <v>8.5846691483704329E-2</v>
      </c>
      <c r="O85" s="14">
        <v>1162000000</v>
      </c>
      <c r="P85" s="19">
        <f>O85/$O$92</f>
        <v>0.42177858439201454</v>
      </c>
      <c r="Q85" s="19">
        <f>O85/$O$110</f>
        <v>8.9757454039857867E-2</v>
      </c>
      <c r="R85" s="14">
        <v>1546000000</v>
      </c>
      <c r="S85" s="19">
        <f>R85/$R$92</f>
        <v>0.5</v>
      </c>
      <c r="T85" s="19">
        <f>R85/$R$110</f>
        <v>0.10071661237785016</v>
      </c>
    </row>
    <row r="86" spans="1:20" ht="15" customHeight="1" x14ac:dyDescent="0.35">
      <c r="A86" s="6" t="s">
        <v>23</v>
      </c>
      <c r="B86" s="14">
        <v>2229000000</v>
      </c>
      <c r="C86" s="14">
        <v>978000000</v>
      </c>
      <c r="D86" s="14">
        <v>795000000</v>
      </c>
      <c r="E86" s="14">
        <v>798000000</v>
      </c>
      <c r="F86" s="18">
        <f t="shared" si="19"/>
        <v>-0.56123822341857332</v>
      </c>
      <c r="G86" s="18">
        <f t="shared" si="19"/>
        <v>-0.18711656441717794</v>
      </c>
      <c r="H86" s="18">
        <f t="shared" si="20"/>
        <v>3.7735849056603765E-3</v>
      </c>
      <c r="K86" s="6" t="s">
        <v>23</v>
      </c>
      <c r="L86" s="14">
        <v>978000000</v>
      </c>
      <c r="M86" s="19">
        <f t="shared" ref="M86:M91" si="21">L86/$L$92</f>
        <v>0.34029227557411273</v>
      </c>
      <c r="N86" s="19">
        <f t="shared" ref="N86:N92" si="22">L86/$L$110</f>
        <v>7.4299171921294538E-2</v>
      </c>
      <c r="O86" s="14">
        <v>795000000</v>
      </c>
      <c r="P86" s="19">
        <f t="shared" ref="P86:P91" si="23">O86/$O$92</f>
        <v>0.28856624319419238</v>
      </c>
      <c r="Q86" s="19">
        <f t="shared" ref="Q86:Q92" si="24">O86/$O$110</f>
        <v>6.1408929399042175E-2</v>
      </c>
      <c r="R86" s="14">
        <v>798000000</v>
      </c>
      <c r="S86" s="19">
        <f t="shared" ref="S86:S91" si="25">R86/$R$92</f>
        <v>0.25808538163001293</v>
      </c>
      <c r="T86" s="19">
        <f t="shared" ref="T86:T92" si="26">R86/$R$110</f>
        <v>5.198697068403909E-2</v>
      </c>
    </row>
    <row r="87" spans="1:20" ht="15" customHeight="1" x14ac:dyDescent="0.35">
      <c r="A87" s="6" t="s">
        <v>24</v>
      </c>
      <c r="B87" s="14">
        <v>39000000</v>
      </c>
      <c r="C87" s="14">
        <v>23000000</v>
      </c>
      <c r="D87" s="14">
        <v>23000000</v>
      </c>
      <c r="E87" s="14">
        <v>14000000</v>
      </c>
      <c r="F87" s="18">
        <f t="shared" si="19"/>
        <v>-0.41025641025641024</v>
      </c>
      <c r="G87" s="18">
        <f t="shared" si="19"/>
        <v>0</v>
      </c>
      <c r="H87" s="18">
        <f t="shared" si="20"/>
        <v>-0.39130434782608692</v>
      </c>
      <c r="K87" s="6" t="s">
        <v>24</v>
      </c>
      <c r="L87" s="14">
        <v>23000000</v>
      </c>
      <c r="M87" s="19">
        <f t="shared" si="21"/>
        <v>8.0027835768963114E-3</v>
      </c>
      <c r="N87" s="19">
        <f t="shared" si="22"/>
        <v>1.7473220390488489E-3</v>
      </c>
      <c r="O87" s="14">
        <v>23000000</v>
      </c>
      <c r="P87" s="19">
        <f t="shared" si="23"/>
        <v>8.3484573502722315E-3</v>
      </c>
      <c r="Q87" s="19">
        <f t="shared" si="24"/>
        <v>1.7766105360729183E-3</v>
      </c>
      <c r="R87" s="14">
        <v>14000000</v>
      </c>
      <c r="S87" s="19">
        <f t="shared" si="25"/>
        <v>4.5278137128072441E-3</v>
      </c>
      <c r="T87" s="19">
        <f t="shared" si="26"/>
        <v>9.120521172638436E-4</v>
      </c>
    </row>
    <row r="88" spans="1:20" ht="15" customHeight="1" x14ac:dyDescent="0.35">
      <c r="A88" s="6" t="s">
        <v>25</v>
      </c>
      <c r="B88" s="14">
        <v>278000000</v>
      </c>
      <c r="C88" s="14">
        <v>327000000</v>
      </c>
      <c r="D88" s="14">
        <v>379000000</v>
      </c>
      <c r="E88" s="14">
        <v>301000000</v>
      </c>
      <c r="F88" s="18">
        <f t="shared" si="19"/>
        <v>0.17625899280575541</v>
      </c>
      <c r="G88" s="18">
        <f t="shared" si="19"/>
        <v>0.15902140672782883</v>
      </c>
      <c r="H88" s="18">
        <f t="shared" si="20"/>
        <v>-0.20580474934036941</v>
      </c>
      <c r="K88" s="6" t="s">
        <v>25</v>
      </c>
      <c r="L88" s="14">
        <v>327000000</v>
      </c>
      <c r="M88" s="19">
        <f t="shared" si="21"/>
        <v>0.11377870563674322</v>
      </c>
      <c r="N88" s="19">
        <f t="shared" si="22"/>
        <v>2.4842361163868419E-2</v>
      </c>
      <c r="O88" s="14">
        <v>379000000</v>
      </c>
      <c r="P88" s="19">
        <f t="shared" si="23"/>
        <v>0.13756805807622505</v>
      </c>
      <c r="Q88" s="19">
        <f t="shared" si="24"/>
        <v>2.9275451877027653E-2</v>
      </c>
      <c r="R88" s="14">
        <v>301000000</v>
      </c>
      <c r="S88" s="19">
        <f t="shared" si="25"/>
        <v>9.7347994825355763E-2</v>
      </c>
      <c r="T88" s="19">
        <f t="shared" si="26"/>
        <v>1.9609120521172637E-2</v>
      </c>
    </row>
    <row r="89" spans="1:20" ht="15" customHeight="1" x14ac:dyDescent="0.35">
      <c r="A89" s="6" t="s">
        <v>26</v>
      </c>
      <c r="B89" s="14">
        <v>29000000</v>
      </c>
      <c r="C89" s="14">
        <v>43000000</v>
      </c>
      <c r="D89" s="14">
        <v>55000000</v>
      </c>
      <c r="E89" s="14">
        <v>68000000</v>
      </c>
      <c r="F89" s="18">
        <f t="shared" si="19"/>
        <v>0.48275862068965525</v>
      </c>
      <c r="G89" s="18">
        <f t="shared" si="19"/>
        <v>0.27906976744186052</v>
      </c>
      <c r="H89" s="18">
        <f t="shared" si="20"/>
        <v>0.23636363636363633</v>
      </c>
      <c r="K89" s="6" t="s">
        <v>26</v>
      </c>
      <c r="L89" s="14">
        <v>43000000</v>
      </c>
      <c r="M89" s="19">
        <f t="shared" si="21"/>
        <v>1.4961725817675714E-2</v>
      </c>
      <c r="N89" s="19">
        <f t="shared" si="22"/>
        <v>3.2667325077869788E-3</v>
      </c>
      <c r="O89" s="14">
        <v>55000000</v>
      </c>
      <c r="P89" s="19">
        <f t="shared" si="23"/>
        <v>1.9963702359346643E-2</v>
      </c>
      <c r="Q89" s="19">
        <f t="shared" si="24"/>
        <v>4.2484164993048046E-3</v>
      </c>
      <c r="R89" s="14">
        <v>68000000</v>
      </c>
      <c r="S89" s="19">
        <f t="shared" si="25"/>
        <v>2.1992238033635189E-2</v>
      </c>
      <c r="T89" s="19">
        <f t="shared" si="26"/>
        <v>4.4299674267100977E-3</v>
      </c>
    </row>
    <row r="90" spans="1:20" ht="15" customHeight="1" x14ac:dyDescent="0.35">
      <c r="A90" s="6" t="s">
        <v>31</v>
      </c>
      <c r="B90" s="14">
        <v>264000000</v>
      </c>
      <c r="C90" s="14">
        <v>354000000</v>
      </c>
      <c r="D90" s="14">
        <v>332000000</v>
      </c>
      <c r="E90" s="14">
        <v>357000000</v>
      </c>
      <c r="F90" s="18">
        <f t="shared" si="19"/>
        <v>0.34090909090909083</v>
      </c>
      <c r="G90" s="18">
        <f t="shared" si="19"/>
        <v>-6.2146892655367214E-2</v>
      </c>
      <c r="H90" s="18">
        <f t="shared" si="20"/>
        <v>7.5301204819277157E-2</v>
      </c>
      <c r="K90" s="6" t="s">
        <v>31</v>
      </c>
      <c r="L90" s="14">
        <v>354000000</v>
      </c>
      <c r="M90" s="19">
        <f t="shared" si="21"/>
        <v>0.12317327766179541</v>
      </c>
      <c r="N90" s="19">
        <f t="shared" si="22"/>
        <v>2.6893565296664895E-2</v>
      </c>
      <c r="O90" s="14">
        <v>332000000</v>
      </c>
      <c r="P90" s="19">
        <f t="shared" si="23"/>
        <v>0.120508166969147</v>
      </c>
      <c r="Q90" s="19">
        <f t="shared" si="24"/>
        <v>2.5644986868530822E-2</v>
      </c>
      <c r="R90" s="14">
        <v>357000000</v>
      </c>
      <c r="S90" s="19">
        <f t="shared" si="25"/>
        <v>0.11545924967658473</v>
      </c>
      <c r="T90" s="19">
        <f t="shared" si="26"/>
        <v>2.3257328990228011E-2</v>
      </c>
    </row>
    <row r="91" spans="1:20" ht="15" customHeight="1" x14ac:dyDescent="0.35">
      <c r="A91" s="6" t="s">
        <v>27</v>
      </c>
      <c r="B91" s="14">
        <v>26000000</v>
      </c>
      <c r="C91" s="14">
        <v>19000000</v>
      </c>
      <c r="D91" s="14">
        <v>9000000</v>
      </c>
      <c r="E91" s="14">
        <v>8000000</v>
      </c>
      <c r="F91" s="18">
        <f t="shared" si="19"/>
        <v>-0.26923076923076927</v>
      </c>
      <c r="G91" s="18">
        <f t="shared" si="19"/>
        <v>-0.52631578947368429</v>
      </c>
      <c r="H91" s="18">
        <f t="shared" si="20"/>
        <v>-0.11111111111111116</v>
      </c>
      <c r="K91" s="6" t="s">
        <v>27</v>
      </c>
      <c r="L91" s="14">
        <v>19000000</v>
      </c>
      <c r="M91" s="19">
        <f t="shared" si="21"/>
        <v>6.6109951287404312E-3</v>
      </c>
      <c r="N91" s="19">
        <f t="shared" si="22"/>
        <v>1.4434399453012231E-3</v>
      </c>
      <c r="O91" s="14">
        <v>9000000</v>
      </c>
      <c r="P91" s="19">
        <f t="shared" si="23"/>
        <v>3.2667876588021779E-3</v>
      </c>
      <c r="Q91" s="19">
        <f t="shared" si="24"/>
        <v>6.9519542715896804E-4</v>
      </c>
      <c r="R91" s="14">
        <v>8000000</v>
      </c>
      <c r="S91" s="19">
        <f t="shared" si="25"/>
        <v>2.5873221216041399E-3</v>
      </c>
      <c r="T91" s="19">
        <f t="shared" si="26"/>
        <v>5.2117263843648204E-4</v>
      </c>
    </row>
    <row r="92" spans="1:20" ht="15" customHeight="1" x14ac:dyDescent="0.35">
      <c r="A92" s="8" t="s">
        <v>28</v>
      </c>
      <c r="B92" s="12">
        <v>3836000000</v>
      </c>
      <c r="C92" s="12">
        <v>2874000000</v>
      </c>
      <c r="D92" s="12">
        <v>2755000000</v>
      </c>
      <c r="E92" s="12">
        <f>SUM(E85:E91)</f>
        <v>3092000000</v>
      </c>
      <c r="F92" s="18">
        <f t="shared" si="19"/>
        <v>-0.25078206465067776</v>
      </c>
      <c r="G92" s="18">
        <f t="shared" si="19"/>
        <v>-4.1405706332637404E-2</v>
      </c>
      <c r="H92" s="18">
        <f t="shared" si="20"/>
        <v>0.12232304900181479</v>
      </c>
      <c r="K92" s="8" t="s">
        <v>28</v>
      </c>
      <c r="L92" s="12">
        <v>2874000000</v>
      </c>
      <c r="M92" s="12"/>
      <c r="N92" s="19">
        <f t="shared" si="22"/>
        <v>0.21833928435766922</v>
      </c>
      <c r="O92" s="12">
        <v>2755000000</v>
      </c>
      <c r="P92" s="12"/>
      <c r="Q92" s="19">
        <f t="shared" si="24"/>
        <v>0.21280704464699521</v>
      </c>
      <c r="R92" s="12">
        <f>SUM(R85:R91)</f>
        <v>3092000000</v>
      </c>
      <c r="S92" s="18"/>
      <c r="T92" s="19">
        <f t="shared" si="26"/>
        <v>0.20143322475570033</v>
      </c>
    </row>
    <row r="93" spans="1:20" ht="15" customHeight="1" x14ac:dyDescent="0.35">
      <c r="A93" s="145" t="str">
        <f>A36</f>
        <v>Долгосрочные обязательства</v>
      </c>
      <c r="B93" s="146"/>
      <c r="C93" s="146"/>
      <c r="D93" s="146"/>
      <c r="E93" s="146"/>
      <c r="F93" s="146"/>
      <c r="G93" s="146"/>
      <c r="H93" s="149"/>
      <c r="K93" s="145" t="str">
        <f>A93</f>
        <v>Долгосрочные обязательства</v>
      </c>
      <c r="L93" s="146"/>
      <c r="M93" s="146"/>
      <c r="N93" s="146"/>
      <c r="O93" s="146"/>
      <c r="P93" s="146"/>
      <c r="Q93" s="146"/>
      <c r="R93" s="146"/>
      <c r="S93" s="146"/>
      <c r="T93" s="146"/>
    </row>
    <row r="94" spans="1:20" ht="15" customHeight="1" x14ac:dyDescent="0.35">
      <c r="A94" s="6" t="s">
        <v>23</v>
      </c>
      <c r="B94" s="14">
        <v>1783000000</v>
      </c>
      <c r="C94" s="14">
        <v>3413000000</v>
      </c>
      <c r="D94" s="14">
        <v>3033000000</v>
      </c>
      <c r="E94" s="14">
        <v>3810000000</v>
      </c>
      <c r="F94" s="18">
        <f t="shared" ref="F94:G99" si="27">C94/B94-1</f>
        <v>0.91418956814357832</v>
      </c>
      <c r="G94" s="18">
        <f t="shared" si="27"/>
        <v>-0.11133899794901847</v>
      </c>
      <c r="H94" s="18">
        <f t="shared" ref="H94:H99" si="28">E94/D94-1</f>
        <v>0.25618199802176056</v>
      </c>
      <c r="K94" s="6" t="s">
        <v>23</v>
      </c>
      <c r="L94" s="14">
        <v>3413000000</v>
      </c>
      <c r="M94" s="19">
        <f>L94/$L$99</f>
        <v>0.6081610833927299</v>
      </c>
      <c r="N94" s="19">
        <f>L94/$L$110</f>
        <v>0.2592873964901618</v>
      </c>
      <c r="O94" s="14">
        <v>3033000000</v>
      </c>
      <c r="P94" s="19">
        <f>O94/$O$99</f>
        <v>0.6015470051566838</v>
      </c>
      <c r="Q94" s="19">
        <f>O94/$O$110</f>
        <v>0.23428085895257222</v>
      </c>
      <c r="R94" s="14">
        <v>3810000000</v>
      </c>
      <c r="S94" s="19">
        <f>R94/$R$99</f>
        <v>0.562693841382366</v>
      </c>
      <c r="T94" s="19">
        <f>R94/$R$110</f>
        <v>0.24820846905537458</v>
      </c>
    </row>
    <row r="95" spans="1:20" ht="15" customHeight="1" x14ac:dyDescent="0.35">
      <c r="A95" s="6" t="s">
        <v>30</v>
      </c>
      <c r="B95" s="14">
        <v>814000000</v>
      </c>
      <c r="C95" s="14">
        <v>837000000</v>
      </c>
      <c r="D95" s="14">
        <v>844000000</v>
      </c>
      <c r="E95" s="14">
        <v>1072000000</v>
      </c>
      <c r="F95" s="18">
        <f t="shared" si="27"/>
        <v>2.825552825552835E-2</v>
      </c>
      <c r="G95" s="18">
        <f t="shared" si="27"/>
        <v>8.3632019115889022E-3</v>
      </c>
      <c r="H95" s="18">
        <f t="shared" si="28"/>
        <v>0.27014218009478674</v>
      </c>
      <c r="K95" s="6" t="s">
        <v>30</v>
      </c>
      <c r="L95" s="14">
        <v>837000000</v>
      </c>
      <c r="M95" s="19">
        <f t="shared" ref="M95:M98" si="29">L95/$L$99</f>
        <v>0.14914468995010691</v>
      </c>
      <c r="N95" s="19">
        <f t="shared" ref="N95:N99" si="30">L95/$L$110</f>
        <v>6.3587328116690725E-2</v>
      </c>
      <c r="O95" s="14">
        <v>844000000</v>
      </c>
      <c r="P95" s="19">
        <f t="shared" ref="P95:P98" si="31">O95/$O$99</f>
        <v>0.16739389131297105</v>
      </c>
      <c r="Q95" s="19">
        <f t="shared" ref="Q95:Q99" si="32">O95/$O$110</f>
        <v>6.5193882280241006E-2</v>
      </c>
      <c r="R95" s="14">
        <v>1072000000</v>
      </c>
      <c r="S95" s="19">
        <f t="shared" ref="S95:S98" si="33">R95/$R$99</f>
        <v>0.15832225668291242</v>
      </c>
      <c r="T95" s="19">
        <f t="shared" ref="T95:T99" si="34">R95/$R$110</f>
        <v>6.9837133550488595E-2</v>
      </c>
    </row>
    <row r="96" spans="1:20" ht="15" customHeight="1" x14ac:dyDescent="0.35">
      <c r="A96" s="6" t="s">
        <v>26</v>
      </c>
      <c r="B96" s="14">
        <v>245000000</v>
      </c>
      <c r="C96" s="14">
        <v>244000000</v>
      </c>
      <c r="D96" s="14">
        <v>343000000</v>
      </c>
      <c r="E96" s="14">
        <v>437000000</v>
      </c>
      <c r="F96" s="18">
        <f t="shared" si="27"/>
        <v>-4.0816326530612734E-3</v>
      </c>
      <c r="G96" s="18">
        <f t="shared" si="27"/>
        <v>0.40573770491803285</v>
      </c>
      <c r="H96" s="18">
        <f t="shared" si="28"/>
        <v>0.27405247813411071</v>
      </c>
      <c r="K96" s="6" t="s">
        <v>26</v>
      </c>
      <c r="L96" s="14">
        <v>244000000</v>
      </c>
      <c r="M96" s="19">
        <f t="shared" si="29"/>
        <v>4.3478260869565216E-2</v>
      </c>
      <c r="N96" s="19">
        <f t="shared" si="30"/>
        <v>1.8536807718605181E-2</v>
      </c>
      <c r="O96" s="14">
        <v>343000000</v>
      </c>
      <c r="P96" s="19">
        <f t="shared" si="31"/>
        <v>6.8028560095200322E-2</v>
      </c>
      <c r="Q96" s="19">
        <f t="shared" si="32"/>
        <v>2.6494670168391781E-2</v>
      </c>
      <c r="R96" s="14">
        <v>437000000</v>
      </c>
      <c r="S96" s="19">
        <f t="shared" si="33"/>
        <v>6.4539949785851425E-2</v>
      </c>
      <c r="T96" s="19">
        <f t="shared" si="34"/>
        <v>2.8469055374592833E-2</v>
      </c>
    </row>
    <row r="97" spans="1:20" ht="15" customHeight="1" x14ac:dyDescent="0.35">
      <c r="A97" s="6" t="s">
        <v>31</v>
      </c>
      <c r="B97" s="14">
        <v>1322000000</v>
      </c>
      <c r="C97" s="14">
        <v>1072000000</v>
      </c>
      <c r="D97" s="14">
        <v>750000000</v>
      </c>
      <c r="E97" s="14">
        <v>1401000000</v>
      </c>
      <c r="F97" s="18">
        <f t="shared" si="27"/>
        <v>-0.18910741301058998</v>
      </c>
      <c r="G97" s="18">
        <f t="shared" si="27"/>
        <v>-0.30037313432835822</v>
      </c>
      <c r="H97" s="18">
        <f t="shared" si="28"/>
        <v>0.8680000000000001</v>
      </c>
      <c r="K97" s="6" t="s">
        <v>31</v>
      </c>
      <c r="L97" s="14">
        <v>1072000000</v>
      </c>
      <c r="M97" s="19">
        <f t="shared" si="29"/>
        <v>0.19101924447612259</v>
      </c>
      <c r="N97" s="19">
        <f t="shared" si="30"/>
        <v>8.1440401124363751E-2</v>
      </c>
      <c r="O97" s="14">
        <v>750000000</v>
      </c>
      <c r="P97" s="19">
        <f t="shared" si="31"/>
        <v>0.14875049583498612</v>
      </c>
      <c r="Q97" s="19">
        <f t="shared" si="32"/>
        <v>5.7932952263247336E-2</v>
      </c>
      <c r="R97" s="14">
        <v>1401000000</v>
      </c>
      <c r="S97" s="19">
        <f t="shared" si="33"/>
        <v>0.20691182986264953</v>
      </c>
      <c r="T97" s="19">
        <f t="shared" si="34"/>
        <v>9.1270358306188931E-2</v>
      </c>
    </row>
    <row r="98" spans="1:20" ht="15" customHeight="1" x14ac:dyDescent="0.35">
      <c r="A98" s="6" t="s">
        <v>32</v>
      </c>
      <c r="B98" s="14">
        <v>45000000</v>
      </c>
      <c r="C98" s="14">
        <v>46000000</v>
      </c>
      <c r="D98" s="14">
        <v>73000000</v>
      </c>
      <c r="E98" s="14">
        <v>51000000</v>
      </c>
      <c r="F98" s="18">
        <f t="shared" si="27"/>
        <v>2.2222222222222143E-2</v>
      </c>
      <c r="G98" s="18">
        <f t="shared" si="27"/>
        <v>0.58695652173913038</v>
      </c>
      <c r="H98" s="18">
        <f t="shared" si="28"/>
        <v>-0.30136986301369861</v>
      </c>
      <c r="K98" s="6" t="s">
        <v>32</v>
      </c>
      <c r="L98" s="14">
        <v>46000000</v>
      </c>
      <c r="M98" s="19">
        <f t="shared" si="29"/>
        <v>8.1967213114754103E-3</v>
      </c>
      <c r="N98" s="19">
        <f t="shared" si="30"/>
        <v>3.4946440780976979E-3</v>
      </c>
      <c r="O98" s="14">
        <v>73000000</v>
      </c>
      <c r="P98" s="19">
        <f t="shared" si="31"/>
        <v>1.4478381594605315E-2</v>
      </c>
      <c r="Q98" s="19">
        <f t="shared" si="32"/>
        <v>5.6388073536227405E-3</v>
      </c>
      <c r="R98" s="14">
        <v>51000000</v>
      </c>
      <c r="S98" s="19">
        <f t="shared" si="33"/>
        <v>7.5321222862206466E-3</v>
      </c>
      <c r="T98" s="19">
        <f t="shared" si="34"/>
        <v>3.3224755700325733E-3</v>
      </c>
    </row>
    <row r="99" spans="1:20" ht="15" customHeight="1" x14ac:dyDescent="0.35">
      <c r="A99" s="8" t="s">
        <v>33</v>
      </c>
      <c r="B99" s="12">
        <v>4209000000</v>
      </c>
      <c r="C99" s="12">
        <v>5612000000</v>
      </c>
      <c r="D99" s="12">
        <v>5042000000</v>
      </c>
      <c r="E99" s="12">
        <f>SUM(E94:E98)</f>
        <v>6771000000</v>
      </c>
      <c r="F99" s="18">
        <f t="shared" si="27"/>
        <v>0.33333333333333326</v>
      </c>
      <c r="G99" s="18">
        <f t="shared" si="27"/>
        <v>-0.10156806842480404</v>
      </c>
      <c r="H99" s="18">
        <f t="shared" si="28"/>
        <v>0.3429194763982546</v>
      </c>
      <c r="K99" s="8" t="s">
        <v>33</v>
      </c>
      <c r="L99" s="12">
        <v>5612000000</v>
      </c>
      <c r="M99" s="12"/>
      <c r="N99" s="19">
        <f t="shared" si="30"/>
        <v>0.42634657752791916</v>
      </c>
      <c r="O99" s="12">
        <v>5042000000</v>
      </c>
      <c r="P99" s="12"/>
      <c r="Q99" s="19">
        <f t="shared" si="32"/>
        <v>0.38946392708172406</v>
      </c>
      <c r="R99" s="12">
        <f>SUM(R94:R98)</f>
        <v>6771000000</v>
      </c>
      <c r="S99" s="18"/>
      <c r="T99" s="19">
        <f t="shared" si="34"/>
        <v>0.44110749185667752</v>
      </c>
    </row>
    <row r="100" spans="1:20" ht="15" customHeight="1" x14ac:dyDescent="0.35">
      <c r="A100" s="145" t="str">
        <f>A43</f>
        <v>Капитал</v>
      </c>
      <c r="B100" s="146"/>
      <c r="C100" s="146"/>
      <c r="D100" s="146"/>
      <c r="E100" s="146"/>
      <c r="F100" s="146"/>
      <c r="G100" s="146"/>
      <c r="H100" s="149"/>
      <c r="K100" s="145" t="str">
        <f>A100</f>
        <v>Капитал</v>
      </c>
      <c r="L100" s="146"/>
      <c r="M100" s="146"/>
      <c r="N100" s="146"/>
      <c r="O100" s="146"/>
      <c r="P100" s="146"/>
      <c r="Q100" s="146"/>
      <c r="R100" s="146"/>
      <c r="S100" s="146"/>
      <c r="T100" s="146"/>
    </row>
    <row r="101" spans="1:20" ht="15" customHeight="1" x14ac:dyDescent="0.35">
      <c r="A101" s="6" t="s">
        <v>35</v>
      </c>
      <c r="B101" s="14">
        <v>1000000</v>
      </c>
      <c r="C101" s="14">
        <v>1000000</v>
      </c>
      <c r="D101" s="14">
        <v>1000000</v>
      </c>
      <c r="E101" s="14">
        <v>1000000</v>
      </c>
      <c r="F101" s="18">
        <f>C101/B101-1</f>
        <v>0</v>
      </c>
      <c r="G101" s="18">
        <f>D101/C101-1</f>
        <v>0</v>
      </c>
      <c r="H101" s="18">
        <f t="shared" ref="H101:H109" si="35">E101/D101-1</f>
        <v>0</v>
      </c>
      <c r="K101" s="6" t="s">
        <v>35</v>
      </c>
      <c r="L101" s="14">
        <v>1000000</v>
      </c>
      <c r="M101" s="19">
        <f>L101/$L$109</f>
        <v>2.1381227282446012E-4</v>
      </c>
      <c r="N101" s="19">
        <f>L101/$L$110</f>
        <v>7.5970523436906482E-5</v>
      </c>
      <c r="O101" s="14">
        <v>1000000</v>
      </c>
      <c r="P101" s="19">
        <f>O101/$O$109</f>
        <v>1.9421246844047389E-4</v>
      </c>
      <c r="Q101" s="19">
        <f>O101/$O$110</f>
        <v>7.7243936350996446E-5</v>
      </c>
      <c r="R101" s="14">
        <v>1000000</v>
      </c>
      <c r="S101" s="19">
        <f>R101/$R$109</f>
        <v>1.8224895206852561E-4</v>
      </c>
      <c r="T101" s="19">
        <f>R101/$R$110</f>
        <v>6.5146579804560255E-5</v>
      </c>
    </row>
    <row r="102" spans="1:20" ht="15" customHeight="1" x14ac:dyDescent="0.35">
      <c r="A102" s="6" t="s">
        <v>36</v>
      </c>
      <c r="B102" s="14">
        <v>0</v>
      </c>
      <c r="C102" s="14">
        <v>0</v>
      </c>
      <c r="D102" s="14">
        <v>0</v>
      </c>
      <c r="E102" s="14">
        <v>-370000000</v>
      </c>
      <c r="F102" s="18" t="s">
        <v>46</v>
      </c>
      <c r="G102" s="18" t="s">
        <v>46</v>
      </c>
      <c r="H102" s="18">
        <v>-1</v>
      </c>
      <c r="K102" s="6" t="s">
        <v>36</v>
      </c>
      <c r="L102" s="14">
        <v>0</v>
      </c>
      <c r="M102" s="19">
        <f t="shared" ref="M102:M108" si="36">L102/$L$109</f>
        <v>0</v>
      </c>
      <c r="N102" s="19">
        <f t="shared" ref="N102:N109" si="37">L102/$L$110</f>
        <v>0</v>
      </c>
      <c r="O102" s="14">
        <v>0</v>
      </c>
      <c r="P102" s="19">
        <f t="shared" ref="P102:P108" si="38">O102/$O$109</f>
        <v>0</v>
      </c>
      <c r="Q102" s="19">
        <f t="shared" ref="Q102:Q109" si="39">O102/$O$110</f>
        <v>0</v>
      </c>
      <c r="R102" s="14">
        <v>-370000000</v>
      </c>
      <c r="S102" s="19">
        <f t="shared" ref="S102:S108" si="40">R102/$R$109</f>
        <v>-6.7432112265354477E-2</v>
      </c>
      <c r="T102" s="19">
        <f t="shared" ref="T102:T109" si="41">R102/$R$110</f>
        <v>-2.4104234527687295E-2</v>
      </c>
    </row>
    <row r="103" spans="1:20" ht="15" customHeight="1" x14ac:dyDescent="0.35">
      <c r="A103" s="6" t="s">
        <v>37</v>
      </c>
      <c r="B103" s="14">
        <v>627000000</v>
      </c>
      <c r="C103" s="14">
        <v>633000000</v>
      </c>
      <c r="D103" s="14">
        <v>635000000</v>
      </c>
      <c r="E103" s="14">
        <v>1100000000</v>
      </c>
      <c r="F103" s="18">
        <f>C103/B103-1</f>
        <v>9.5693779904306719E-3</v>
      </c>
      <c r="G103" s="18">
        <f>D103/C103-1</f>
        <v>3.1595576619274368E-3</v>
      </c>
      <c r="H103" s="18">
        <f t="shared" si="35"/>
        <v>0.73228346456692917</v>
      </c>
      <c r="K103" s="6" t="s">
        <v>37</v>
      </c>
      <c r="L103" s="14">
        <v>633000000</v>
      </c>
      <c r="M103" s="19">
        <f t="shared" si="36"/>
        <v>0.13534316869788326</v>
      </c>
      <c r="N103" s="19">
        <f t="shared" si="37"/>
        <v>4.8089341335561801E-2</v>
      </c>
      <c r="O103" s="14">
        <v>635000000</v>
      </c>
      <c r="P103" s="19">
        <f t="shared" si="38"/>
        <v>0.12332491745970091</v>
      </c>
      <c r="Q103" s="19">
        <f t="shared" si="39"/>
        <v>4.9049899582882743E-2</v>
      </c>
      <c r="R103" s="14">
        <v>1100000000</v>
      </c>
      <c r="S103" s="19">
        <f t="shared" si="40"/>
        <v>0.20047384727537818</v>
      </c>
      <c r="T103" s="19">
        <f t="shared" si="41"/>
        <v>7.1661237785016291E-2</v>
      </c>
    </row>
    <row r="104" spans="1:20" ht="15" customHeight="1" x14ac:dyDescent="0.35">
      <c r="A104" s="6" t="s">
        <v>49</v>
      </c>
      <c r="B104" s="14" t="s">
        <v>46</v>
      </c>
      <c r="C104" s="14" t="s">
        <v>46</v>
      </c>
      <c r="D104" s="14">
        <v>-185000000</v>
      </c>
      <c r="E104" s="14">
        <v>-66000000</v>
      </c>
      <c r="F104" s="18" t="s">
        <v>46</v>
      </c>
      <c r="G104" s="18" t="s">
        <v>46</v>
      </c>
      <c r="H104" s="18">
        <f t="shared" si="35"/>
        <v>-0.64324324324324322</v>
      </c>
      <c r="K104" s="6" t="s">
        <v>49</v>
      </c>
      <c r="L104" s="14" t="s">
        <v>46</v>
      </c>
      <c r="M104" s="19" t="s">
        <v>46</v>
      </c>
      <c r="N104" s="19" t="s">
        <v>46</v>
      </c>
      <c r="O104" s="14">
        <v>-185000000</v>
      </c>
      <c r="P104" s="19">
        <f t="shared" si="38"/>
        <v>-3.5929306661487664E-2</v>
      </c>
      <c r="Q104" s="19">
        <f t="shared" si="39"/>
        <v>-1.4290128224934343E-2</v>
      </c>
      <c r="R104" s="14">
        <v>-66000000</v>
      </c>
      <c r="S104" s="19">
        <f t="shared" si="40"/>
        <v>-1.2028430836522689E-2</v>
      </c>
      <c r="T104" s="19">
        <f t="shared" si="41"/>
        <v>-4.2996742671009775E-3</v>
      </c>
    </row>
    <row r="105" spans="1:20" ht="15" customHeight="1" x14ac:dyDescent="0.35">
      <c r="A105" s="6" t="s">
        <v>38</v>
      </c>
      <c r="B105" s="14">
        <v>-322000000</v>
      </c>
      <c r="C105" s="14">
        <v>-191000000</v>
      </c>
      <c r="D105" s="14">
        <v>31000000</v>
      </c>
      <c r="E105" s="14">
        <v>34000000</v>
      </c>
      <c r="F105" s="18">
        <f t="shared" ref="F105:G110" si="42">C105/B105-1</f>
        <v>-0.40683229813664601</v>
      </c>
      <c r="G105" s="18">
        <f t="shared" si="42"/>
        <v>-1.162303664921466</v>
      </c>
      <c r="H105" s="18">
        <f t="shared" si="35"/>
        <v>9.6774193548387011E-2</v>
      </c>
      <c r="K105" s="6" t="s">
        <v>38</v>
      </c>
      <c r="L105" s="14">
        <v>-191000000</v>
      </c>
      <c r="M105" s="19">
        <f t="shared" si="36"/>
        <v>-4.0838144109471883E-2</v>
      </c>
      <c r="N105" s="19">
        <f t="shared" si="37"/>
        <v>-1.4510369976449137E-2</v>
      </c>
      <c r="O105" s="14">
        <v>31000000</v>
      </c>
      <c r="P105" s="19">
        <f t="shared" si="38"/>
        <v>6.0205865216546904E-3</v>
      </c>
      <c r="Q105" s="19">
        <f t="shared" si="39"/>
        <v>2.3945620268808897E-3</v>
      </c>
      <c r="R105" s="14">
        <v>34000000</v>
      </c>
      <c r="S105" s="19">
        <f t="shared" si="40"/>
        <v>6.1964643703298706E-3</v>
      </c>
      <c r="T105" s="19">
        <f t="shared" si="41"/>
        <v>2.2149837133550489E-3</v>
      </c>
    </row>
    <row r="106" spans="1:20" ht="15" customHeight="1" x14ac:dyDescent="0.35">
      <c r="A106" s="6" t="s">
        <v>39</v>
      </c>
      <c r="B106" s="14">
        <v>3313000000</v>
      </c>
      <c r="C106" s="14">
        <v>3610000000</v>
      </c>
      <c r="D106" s="14">
        <v>4032000000</v>
      </c>
      <c r="E106" s="14">
        <v>4007000000</v>
      </c>
      <c r="F106" s="18">
        <f t="shared" si="42"/>
        <v>8.9646845759130622E-2</v>
      </c>
      <c r="G106" s="18">
        <f t="shared" si="42"/>
        <v>0.11689750692520784</v>
      </c>
      <c r="H106" s="18">
        <f t="shared" si="35"/>
        <v>-6.2003968253968589E-3</v>
      </c>
      <c r="K106" s="6" t="s">
        <v>39</v>
      </c>
      <c r="L106" s="14">
        <v>3610000000</v>
      </c>
      <c r="M106" s="19">
        <f t="shared" si="36"/>
        <v>0.77186230489630103</v>
      </c>
      <c r="N106" s="19">
        <f t="shared" si="37"/>
        <v>0.2742535896072324</v>
      </c>
      <c r="O106" s="14">
        <v>4032000000</v>
      </c>
      <c r="P106" s="19">
        <f t="shared" si="38"/>
        <v>0.78306467275199065</v>
      </c>
      <c r="Q106" s="19">
        <f t="shared" si="39"/>
        <v>0.31144755136721769</v>
      </c>
      <c r="R106" s="14">
        <v>4007000000</v>
      </c>
      <c r="S106" s="19">
        <f t="shared" si="40"/>
        <v>0.73027155093858209</v>
      </c>
      <c r="T106" s="19">
        <f t="shared" si="41"/>
        <v>0.26104234527687298</v>
      </c>
    </row>
    <row r="107" spans="1:20" ht="15" customHeight="1" x14ac:dyDescent="0.35">
      <c r="A107" s="8" t="s">
        <v>40</v>
      </c>
      <c r="B107" s="12">
        <v>3619000000</v>
      </c>
      <c r="C107" s="12">
        <v>4053000000</v>
      </c>
      <c r="D107" s="12">
        <v>4514000000</v>
      </c>
      <c r="E107" s="12">
        <f>SUM(E101:E106)</f>
        <v>4706000000</v>
      </c>
      <c r="F107" s="18">
        <f t="shared" si="42"/>
        <v>0.11992263056092844</v>
      </c>
      <c r="G107" s="18">
        <f t="shared" si="42"/>
        <v>0.11374290648902052</v>
      </c>
      <c r="H107" s="18">
        <f t="shared" si="35"/>
        <v>4.2534337616304763E-2</v>
      </c>
      <c r="K107" s="8" t="s">
        <v>40</v>
      </c>
      <c r="L107" s="12">
        <v>4053000000</v>
      </c>
      <c r="M107" s="19">
        <f t="shared" si="36"/>
        <v>0.86658114175753687</v>
      </c>
      <c r="N107" s="19">
        <f t="shared" si="37"/>
        <v>0.30790853148978198</v>
      </c>
      <c r="O107" s="12">
        <v>4514000000</v>
      </c>
      <c r="P107" s="19">
        <f t="shared" si="38"/>
        <v>0.87667508254029913</v>
      </c>
      <c r="Q107" s="19">
        <f t="shared" si="39"/>
        <v>0.34867912868839795</v>
      </c>
      <c r="R107" s="12">
        <f>SUM(R101:R106)</f>
        <v>4706000000</v>
      </c>
      <c r="S107" s="19">
        <f t="shared" si="40"/>
        <v>0.85766356843448155</v>
      </c>
      <c r="T107" s="19">
        <f t="shared" si="41"/>
        <v>0.30657980456026057</v>
      </c>
    </row>
    <row r="108" spans="1:20" ht="15" customHeight="1" x14ac:dyDescent="0.35">
      <c r="A108" s="6" t="s">
        <v>41</v>
      </c>
      <c r="B108" s="14">
        <v>564000000</v>
      </c>
      <c r="C108" s="14">
        <v>624000000</v>
      </c>
      <c r="D108" s="14">
        <v>635000000</v>
      </c>
      <c r="E108" s="14">
        <v>781000000</v>
      </c>
      <c r="F108" s="18">
        <f t="shared" si="42"/>
        <v>0.1063829787234043</v>
      </c>
      <c r="G108" s="18">
        <f t="shared" si="42"/>
        <v>1.7628205128205066E-2</v>
      </c>
      <c r="H108" s="18">
        <f t="shared" si="35"/>
        <v>0.22992125984251977</v>
      </c>
      <c r="K108" s="6" t="s">
        <v>41</v>
      </c>
      <c r="L108" s="14">
        <v>624000000</v>
      </c>
      <c r="M108" s="19">
        <f t="shared" si="36"/>
        <v>0.13341885824246311</v>
      </c>
      <c r="N108" s="19">
        <f t="shared" si="37"/>
        <v>4.7405606624629643E-2</v>
      </c>
      <c r="O108" s="14">
        <v>635000000</v>
      </c>
      <c r="P108" s="19">
        <f t="shared" si="38"/>
        <v>0.12332491745970091</v>
      </c>
      <c r="Q108" s="19">
        <f t="shared" si="39"/>
        <v>4.9049899582882743E-2</v>
      </c>
      <c r="R108" s="14">
        <v>781000000</v>
      </c>
      <c r="S108" s="19">
        <f t="shared" si="40"/>
        <v>0.14233643156551851</v>
      </c>
      <c r="T108" s="19">
        <f t="shared" si="41"/>
        <v>5.0879478827361567E-2</v>
      </c>
    </row>
    <row r="109" spans="1:20" ht="15" customHeight="1" x14ac:dyDescent="0.35">
      <c r="A109" s="8" t="s">
        <v>42</v>
      </c>
      <c r="B109" s="12">
        <v>4183000000</v>
      </c>
      <c r="C109" s="12">
        <v>4677000000</v>
      </c>
      <c r="D109" s="12">
        <v>5149000000</v>
      </c>
      <c r="E109" s="12">
        <f>E107+E108</f>
        <v>5487000000</v>
      </c>
      <c r="F109" s="18">
        <f t="shared" si="42"/>
        <v>0.1180970595266555</v>
      </c>
      <c r="G109" s="18">
        <f t="shared" si="42"/>
        <v>0.1009193927731451</v>
      </c>
      <c r="H109" s="18">
        <f t="shared" si="35"/>
        <v>6.5643814332880135E-2</v>
      </c>
      <c r="K109" s="8" t="s">
        <v>42</v>
      </c>
      <c r="L109" s="12">
        <v>4677000000</v>
      </c>
      <c r="M109" s="19"/>
      <c r="N109" s="19">
        <f t="shared" si="37"/>
        <v>0.35531413811441159</v>
      </c>
      <c r="O109" s="12">
        <v>5149000000</v>
      </c>
      <c r="P109" s="19"/>
      <c r="Q109" s="19">
        <f t="shared" si="39"/>
        <v>0.3977290282712807</v>
      </c>
      <c r="R109" s="12">
        <f>R107+R108</f>
        <v>5487000000</v>
      </c>
      <c r="S109" s="18"/>
      <c r="T109" s="19">
        <f t="shared" si="41"/>
        <v>0.35745928338762217</v>
      </c>
    </row>
    <row r="110" spans="1:20" ht="15" customHeight="1" x14ac:dyDescent="0.35">
      <c r="A110" s="8" t="s">
        <v>43</v>
      </c>
      <c r="B110" s="12">
        <v>12228000000</v>
      </c>
      <c r="C110" s="12">
        <v>13163000000</v>
      </c>
      <c r="D110" s="12">
        <v>12946000000</v>
      </c>
      <c r="E110" s="12">
        <v>15350000000</v>
      </c>
      <c r="F110" s="18">
        <f t="shared" si="42"/>
        <v>7.6463853451095742E-2</v>
      </c>
      <c r="G110" s="18">
        <f t="shared" si="42"/>
        <v>-1.648560358580875E-2</v>
      </c>
      <c r="H110" s="18">
        <f>E110/D110-1</f>
        <v>0.18569442298779548</v>
      </c>
      <c r="K110" s="8" t="s">
        <v>43</v>
      </c>
      <c r="L110" s="12">
        <v>13163000000</v>
      </c>
      <c r="M110" s="12"/>
      <c r="N110" s="12"/>
      <c r="O110" s="12">
        <v>12946000000</v>
      </c>
      <c r="P110" s="12"/>
      <c r="Q110" s="12"/>
      <c r="R110" s="12">
        <v>15350000000</v>
      </c>
      <c r="S110" s="18"/>
      <c r="T110" s="18"/>
    </row>
  </sheetData>
  <mergeCells count="21">
    <mergeCell ref="A43:J43"/>
    <mergeCell ref="A3:J3"/>
    <mergeCell ref="A4:J4"/>
    <mergeCell ref="A13:J13"/>
    <mergeCell ref="A26:J26"/>
    <mergeCell ref="A27:J27"/>
    <mergeCell ref="A36:J36"/>
    <mergeCell ref="A93:H93"/>
    <mergeCell ref="A100:H100"/>
    <mergeCell ref="A84:H84"/>
    <mergeCell ref="A61:H61"/>
    <mergeCell ref="A62:H62"/>
    <mergeCell ref="A71:H71"/>
    <mergeCell ref="A83:H83"/>
    <mergeCell ref="K100:T100"/>
    <mergeCell ref="K61:T61"/>
    <mergeCell ref="K62:T62"/>
    <mergeCell ref="K71:T71"/>
    <mergeCell ref="K83:T83"/>
    <mergeCell ref="K84:T84"/>
    <mergeCell ref="K93:T93"/>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D43CA-CB34-4E91-8CCA-DF6265B5803A}">
  <dimension ref="A1:AG157"/>
  <sheetViews>
    <sheetView topLeftCell="A22" workbookViewId="0">
      <selection activeCell="P136" sqref="P136"/>
    </sheetView>
  </sheetViews>
  <sheetFormatPr defaultColWidth="8.7265625" defaultRowHeight="11.5" x14ac:dyDescent="0.25"/>
  <cols>
    <col min="1" max="1" width="36.54296875" style="24" customWidth="1"/>
    <col min="2" max="2" width="12.7265625" style="24" bestFit="1" customWidth="1"/>
    <col min="3" max="10" width="11.81640625" style="24" bestFit="1" customWidth="1"/>
    <col min="11" max="12" width="8.7265625" style="24"/>
    <col min="13" max="13" width="11.81640625" style="24" bestFit="1" customWidth="1"/>
    <col min="14" max="14" width="10.54296875" style="24" bestFit="1" customWidth="1"/>
    <col min="15" max="15" width="9.54296875" style="24" bestFit="1" customWidth="1"/>
    <col min="16" max="16" width="10.54296875" style="24" bestFit="1" customWidth="1"/>
    <col min="17" max="18" width="8.7265625" style="24"/>
    <col min="19" max="19" width="10.54296875" style="24" bestFit="1" customWidth="1"/>
    <col min="20" max="21" width="11.81640625" style="24" bestFit="1" customWidth="1"/>
    <col min="22" max="22" width="8.7265625" style="24"/>
    <col min="23" max="26" width="11.81640625" style="24" bestFit="1" customWidth="1"/>
    <col min="27" max="27" width="9" style="24" bestFit="1" customWidth="1"/>
    <col min="28" max="16384" width="8.7265625" style="24"/>
  </cols>
  <sheetData>
    <row r="1" spans="1:32" x14ac:dyDescent="0.25">
      <c r="A1" s="23" t="s">
        <v>50</v>
      </c>
    </row>
    <row r="2" spans="1:32" x14ac:dyDescent="0.25">
      <c r="A2" s="20" t="s">
        <v>0</v>
      </c>
      <c r="B2" s="20">
        <v>2012</v>
      </c>
      <c r="C2" s="20">
        <v>2013</v>
      </c>
      <c r="D2" s="20">
        <v>2014</v>
      </c>
      <c r="E2" s="20">
        <v>2015</v>
      </c>
      <c r="F2" s="20">
        <v>2016</v>
      </c>
      <c r="G2" s="20">
        <v>2017</v>
      </c>
      <c r="H2" s="20">
        <v>2018</v>
      </c>
      <c r="I2" s="20">
        <v>2019</v>
      </c>
      <c r="J2" s="20">
        <v>2020</v>
      </c>
      <c r="L2" s="20">
        <v>2012</v>
      </c>
      <c r="M2" s="20">
        <v>2013</v>
      </c>
      <c r="N2" s="20">
        <v>2014</v>
      </c>
      <c r="O2" s="20">
        <v>2015</v>
      </c>
      <c r="P2" s="20">
        <v>2016</v>
      </c>
      <c r="Q2" s="20">
        <v>2017</v>
      </c>
      <c r="R2" s="20">
        <v>2018</v>
      </c>
      <c r="S2" s="20">
        <v>2019</v>
      </c>
      <c r="T2" s="20">
        <v>2020</v>
      </c>
      <c r="Z2" s="24">
        <v>1526000000</v>
      </c>
      <c r="AA2" s="24">
        <v>2428000000</v>
      </c>
      <c r="AB2" s="24">
        <v>2992000000</v>
      </c>
    </row>
    <row r="3" spans="1:32" ht="23" x14ac:dyDescent="0.25">
      <c r="A3" s="27" t="s">
        <v>79</v>
      </c>
      <c r="B3" s="25">
        <f>Z2+Z3</f>
        <v>3024000000</v>
      </c>
      <c r="C3" s="25">
        <f>AA2+AA3</f>
        <v>4624000000</v>
      </c>
      <c r="D3" s="25">
        <f>AB2+AB3</f>
        <v>5440000000</v>
      </c>
      <c r="E3" s="29">
        <v>5071000000</v>
      </c>
      <c r="F3" s="29">
        <v>4887000000</v>
      </c>
      <c r="G3" s="29">
        <v>5877000000</v>
      </c>
      <c r="H3" s="29">
        <v>8076000000</v>
      </c>
      <c r="I3" s="29">
        <v>8490000000</v>
      </c>
      <c r="J3" s="29">
        <v>5628000000</v>
      </c>
      <c r="L3" s="23" t="s">
        <v>46</v>
      </c>
      <c r="M3" s="34">
        <f>C3/B3-1</f>
        <v>0.52910052910052907</v>
      </c>
      <c r="N3" s="34">
        <f t="shared" ref="N3:T3" si="0">D3/C3-1</f>
        <v>0.17647058823529416</v>
      </c>
      <c r="O3" s="34">
        <f t="shared" si="0"/>
        <v>-6.7830882352941213E-2</v>
      </c>
      <c r="P3" s="34">
        <f t="shared" si="0"/>
        <v>-3.6284756458292211E-2</v>
      </c>
      <c r="Q3" s="34">
        <f t="shared" si="0"/>
        <v>0.20257826887661134</v>
      </c>
      <c r="R3" s="34">
        <f t="shared" si="0"/>
        <v>0.37417049515058709</v>
      </c>
      <c r="S3" s="34">
        <f t="shared" si="0"/>
        <v>5.1263001485884141E-2</v>
      </c>
      <c r="T3" s="34">
        <f t="shared" si="0"/>
        <v>-0.33710247349823319</v>
      </c>
      <c r="V3" s="63"/>
      <c r="W3" s="64" t="s">
        <v>233</v>
      </c>
      <c r="X3" s="63">
        <f>AVERAGE(M6:S6)</f>
        <v>0.17499940932715438</v>
      </c>
      <c r="Z3" s="24">
        <v>1498000000</v>
      </c>
      <c r="AA3" s="24">
        <v>2196000000</v>
      </c>
      <c r="AB3" s="24">
        <v>2448000000</v>
      </c>
    </row>
    <row r="4" spans="1:32" x14ac:dyDescent="0.25">
      <c r="A4" s="27" t="s">
        <v>51</v>
      </c>
      <c r="B4" s="25">
        <v>42000000</v>
      </c>
      <c r="C4" s="25">
        <v>58000000</v>
      </c>
      <c r="D4" s="25">
        <v>75000000</v>
      </c>
      <c r="E4" s="25">
        <v>70000000</v>
      </c>
      <c r="F4" s="25">
        <v>75000000</v>
      </c>
      <c r="G4" s="25">
        <v>77000000</v>
      </c>
      <c r="H4" s="25">
        <v>80000000</v>
      </c>
      <c r="I4" s="25">
        <v>86000000</v>
      </c>
      <c r="J4" s="25">
        <v>77000000</v>
      </c>
      <c r="L4" s="23" t="s">
        <v>46</v>
      </c>
      <c r="M4" s="34">
        <f t="shared" ref="M4:M6" si="1">C4/B4-1</f>
        <v>0.38095238095238093</v>
      </c>
      <c r="N4" s="34">
        <f t="shared" ref="N4:N6" si="2">D4/C4-1</f>
        <v>0.2931034482758621</v>
      </c>
      <c r="O4" s="34">
        <f t="shared" ref="O4:O6" si="3">E4/D4-1</f>
        <v>-6.6666666666666652E-2</v>
      </c>
      <c r="P4" s="34">
        <f t="shared" ref="P4:P6" si="4">F4/E4-1</f>
        <v>7.1428571428571397E-2</v>
      </c>
      <c r="Q4" s="34">
        <f t="shared" ref="Q4:Q6" si="5">G4/F4-1</f>
        <v>2.6666666666666616E-2</v>
      </c>
      <c r="R4" s="34">
        <f t="shared" ref="R4:R6" si="6">H4/G4-1</f>
        <v>3.8961038961038863E-2</v>
      </c>
      <c r="S4" s="34">
        <f t="shared" ref="S4:S6" si="7">I4/H4-1</f>
        <v>7.4999999999999956E-2</v>
      </c>
      <c r="T4" s="34">
        <f t="shared" ref="T4:T6" si="8">J4/I4-1</f>
        <v>-0.10465116279069764</v>
      </c>
      <c r="V4" s="63"/>
      <c r="W4" s="24" t="s">
        <v>234</v>
      </c>
      <c r="X4" s="63">
        <f>(I6/B6)^(1/8)-1</f>
        <v>0.13779155077876348</v>
      </c>
    </row>
    <row r="5" spans="1:32" ht="23" x14ac:dyDescent="0.25">
      <c r="A5" s="27" t="s">
        <v>52</v>
      </c>
      <c r="B5" s="25">
        <v>23000000</v>
      </c>
      <c r="C5" s="25">
        <v>12000000</v>
      </c>
      <c r="D5" s="25">
        <v>-12000000</v>
      </c>
      <c r="E5" s="25">
        <v>9000000</v>
      </c>
      <c r="F5" s="25">
        <v>26000000</v>
      </c>
      <c r="G5" s="25">
        <v>60000000</v>
      </c>
      <c r="H5" s="25">
        <v>82000000</v>
      </c>
      <c r="I5" s="25">
        <v>100000000</v>
      </c>
      <c r="J5" s="25">
        <v>52000000</v>
      </c>
      <c r="L5" s="23" t="s">
        <v>46</v>
      </c>
      <c r="M5" s="34">
        <f t="shared" si="1"/>
        <v>-0.47826086956521741</v>
      </c>
      <c r="N5" s="34">
        <f t="shared" si="2"/>
        <v>-2</v>
      </c>
      <c r="O5" s="34">
        <f t="shared" si="3"/>
        <v>-1.75</v>
      </c>
      <c r="P5" s="34">
        <f t="shared" si="4"/>
        <v>1.8888888888888888</v>
      </c>
      <c r="Q5" s="34">
        <f t="shared" si="5"/>
        <v>1.3076923076923075</v>
      </c>
      <c r="R5" s="34">
        <f t="shared" si="6"/>
        <v>0.3666666666666667</v>
      </c>
      <c r="S5" s="34">
        <f t="shared" si="7"/>
        <v>0.21951219512195119</v>
      </c>
      <c r="T5" s="34">
        <f t="shared" si="8"/>
        <v>-0.48</v>
      </c>
    </row>
    <row r="6" spans="1:32" ht="23" x14ac:dyDescent="0.25">
      <c r="A6" s="26" t="s">
        <v>53</v>
      </c>
      <c r="B6" s="22">
        <v>3089000000</v>
      </c>
      <c r="C6" s="22">
        <v>4694000000</v>
      </c>
      <c r="D6" s="22">
        <v>5503000000</v>
      </c>
      <c r="E6" s="22">
        <v>5150000000</v>
      </c>
      <c r="F6" s="22">
        <v>4988000000</v>
      </c>
      <c r="G6" s="22">
        <v>6014000000</v>
      </c>
      <c r="H6" s="22">
        <v>8238000000</v>
      </c>
      <c r="I6" s="22">
        <v>8676000000</v>
      </c>
      <c r="J6" s="22">
        <v>5757000000</v>
      </c>
      <c r="L6" s="35" t="s">
        <v>46</v>
      </c>
      <c r="M6" s="36">
        <f t="shared" si="1"/>
        <v>0.51958562641631589</v>
      </c>
      <c r="N6" s="36">
        <f t="shared" si="2"/>
        <v>0.17234767788666372</v>
      </c>
      <c r="O6" s="36">
        <f t="shared" si="3"/>
        <v>-6.4146829002362349E-2</v>
      </c>
      <c r="P6" s="36">
        <f t="shared" si="4"/>
        <v>-3.1456310679611632E-2</v>
      </c>
      <c r="Q6" s="36">
        <f t="shared" si="5"/>
        <v>0.20569366479550921</v>
      </c>
      <c r="R6" s="36">
        <f t="shared" si="6"/>
        <v>0.36980379115397399</v>
      </c>
      <c r="S6" s="36">
        <f t="shared" si="7"/>
        <v>5.3168244719592028E-2</v>
      </c>
      <c r="T6" s="36">
        <f t="shared" si="8"/>
        <v>-0.33644536652835411</v>
      </c>
      <c r="V6" s="63"/>
      <c r="X6" s="63"/>
    </row>
    <row r="7" spans="1:32" x14ac:dyDescent="0.25">
      <c r="A7" s="153" t="s">
        <v>54</v>
      </c>
      <c r="B7" s="154"/>
      <c r="C7" s="154"/>
      <c r="D7" s="154"/>
      <c r="E7" s="154"/>
      <c r="F7" s="154"/>
      <c r="G7" s="154"/>
      <c r="H7" s="154"/>
      <c r="I7" s="154"/>
      <c r="J7" s="155"/>
      <c r="L7" s="23"/>
      <c r="M7" s="34"/>
      <c r="N7" s="34"/>
      <c r="O7" s="34"/>
      <c r="P7" s="34"/>
      <c r="Q7" s="34"/>
      <c r="R7" s="34"/>
      <c r="S7" s="34"/>
      <c r="T7" s="34"/>
      <c r="V7" s="63"/>
      <c r="X7" s="63"/>
    </row>
    <row r="8" spans="1:32" x14ac:dyDescent="0.25">
      <c r="A8" s="27" t="s">
        <v>55</v>
      </c>
      <c r="B8" s="25">
        <v>-247000000</v>
      </c>
      <c r="C8" s="25">
        <v>-389000000</v>
      </c>
      <c r="D8" s="25">
        <v>-469000000</v>
      </c>
      <c r="E8" s="25">
        <v>-575000000</v>
      </c>
      <c r="F8" s="25">
        <v>-559000000</v>
      </c>
      <c r="G8" s="25">
        <v>-607000000</v>
      </c>
      <c r="H8" s="25">
        <v>-642000000</v>
      </c>
      <c r="I8" s="25">
        <v>-715000000</v>
      </c>
      <c r="J8" s="25">
        <v>-767000000</v>
      </c>
      <c r="L8" s="23" t="s">
        <v>46</v>
      </c>
      <c r="M8" s="34">
        <f t="shared" ref="M8:M26" si="9">C8/B8-1</f>
        <v>0.57489878542510131</v>
      </c>
      <c r="N8" s="34">
        <f t="shared" ref="N8:N26" si="10">D8/C8-1</f>
        <v>0.20565552699228795</v>
      </c>
      <c r="O8" s="34">
        <f t="shared" ref="O8:O26" si="11">E8/D8-1</f>
        <v>0.2260127931769722</v>
      </c>
      <c r="P8" s="34">
        <f t="shared" ref="P8:P26" si="12">F8/E8-1</f>
        <v>-2.7826086956521778E-2</v>
      </c>
      <c r="Q8" s="34">
        <f t="shared" ref="Q8:Q26" si="13">G8/F8-1</f>
        <v>8.5867620751341578E-2</v>
      </c>
      <c r="R8" s="34">
        <f t="shared" ref="R8:R25" si="14">H8/G8-1</f>
        <v>5.7660626029653939E-2</v>
      </c>
      <c r="S8" s="34">
        <f t="shared" ref="S8:S26" si="15">I8/H8-1</f>
        <v>0.11370716510903423</v>
      </c>
      <c r="T8" s="34">
        <f t="shared" ref="T8:T26" si="16">J8/I8-1</f>
        <v>7.2727272727272751E-2</v>
      </c>
    </row>
    <row r="9" spans="1:32" ht="23" x14ac:dyDescent="0.25">
      <c r="A9" s="27" t="s">
        <v>56</v>
      </c>
      <c r="B9" s="25">
        <v>-319000000</v>
      </c>
      <c r="C9" s="25">
        <v>-432000000</v>
      </c>
      <c r="D9" s="25">
        <v>-495000000</v>
      </c>
      <c r="E9" s="25">
        <v>-530000000</v>
      </c>
      <c r="F9" s="25">
        <v>-614000000</v>
      </c>
      <c r="G9" s="25">
        <v>-837000000</v>
      </c>
      <c r="H9" s="25">
        <v>-1099000000</v>
      </c>
      <c r="I9" s="25">
        <v>-1566000000</v>
      </c>
      <c r="J9" s="25">
        <v>-691000000</v>
      </c>
      <c r="L9" s="23" t="s">
        <v>46</v>
      </c>
      <c r="M9" s="34">
        <f t="shared" si="9"/>
        <v>0.35423197492163006</v>
      </c>
      <c r="N9" s="34">
        <f t="shared" si="10"/>
        <v>0.14583333333333326</v>
      </c>
      <c r="O9" s="34">
        <f t="shared" si="11"/>
        <v>7.0707070707070718E-2</v>
      </c>
      <c r="P9" s="34">
        <f t="shared" si="12"/>
        <v>0.15849056603773581</v>
      </c>
      <c r="Q9" s="34">
        <f t="shared" si="13"/>
        <v>0.36319218241042339</v>
      </c>
      <c r="R9" s="34">
        <f t="shared" si="14"/>
        <v>0.31302270011947431</v>
      </c>
      <c r="S9" s="34">
        <f t="shared" si="15"/>
        <v>0.42493175614194723</v>
      </c>
      <c r="T9" s="34">
        <f t="shared" si="16"/>
        <v>-0.55874840357598976</v>
      </c>
    </row>
    <row r="10" spans="1:32" ht="12.65" customHeight="1" x14ac:dyDescent="0.25">
      <c r="A10" s="27" t="s">
        <v>57</v>
      </c>
      <c r="B10" s="25">
        <v>-68000000</v>
      </c>
      <c r="C10" s="25">
        <v>-111000000</v>
      </c>
      <c r="D10" s="25">
        <v>-114000000</v>
      </c>
      <c r="E10" s="25">
        <v>-130000000</v>
      </c>
      <c r="F10" s="25">
        <v>-129000000</v>
      </c>
      <c r="G10" s="25">
        <v>-172000000</v>
      </c>
      <c r="H10" s="25">
        <v>-167000000</v>
      </c>
      <c r="I10" s="25">
        <v>-200000000</v>
      </c>
      <c r="J10" s="25">
        <v>-127000000</v>
      </c>
      <c r="L10" s="23" t="s">
        <v>46</v>
      </c>
      <c r="M10" s="34">
        <f t="shared" si="9"/>
        <v>0.63235294117647056</v>
      </c>
      <c r="N10" s="34">
        <f t="shared" si="10"/>
        <v>2.7027027027026973E-2</v>
      </c>
      <c r="O10" s="34">
        <f t="shared" si="11"/>
        <v>0.14035087719298245</v>
      </c>
      <c r="P10" s="34">
        <f t="shared" si="12"/>
        <v>-7.692307692307665E-3</v>
      </c>
      <c r="Q10" s="34">
        <f t="shared" si="13"/>
        <v>0.33333333333333326</v>
      </c>
      <c r="R10" s="34">
        <f t="shared" si="14"/>
        <v>-2.9069767441860517E-2</v>
      </c>
      <c r="S10" s="34">
        <f t="shared" si="15"/>
        <v>0.19760479041916157</v>
      </c>
      <c r="T10" s="34">
        <f t="shared" si="16"/>
        <v>-0.36499999999999999</v>
      </c>
    </row>
    <row r="11" spans="1:32" ht="23" x14ac:dyDescent="0.25">
      <c r="A11" s="27" t="s">
        <v>58</v>
      </c>
      <c r="B11" s="25">
        <v>-241000000</v>
      </c>
      <c r="C11" s="25">
        <v>-392000000</v>
      </c>
      <c r="D11" s="25">
        <v>-471000000</v>
      </c>
      <c r="E11" s="25">
        <v>-542000000</v>
      </c>
      <c r="F11" s="25">
        <v>-575000000</v>
      </c>
      <c r="G11" s="25">
        <v>-596000000</v>
      </c>
      <c r="H11" s="25">
        <v>-638000000</v>
      </c>
      <c r="I11" s="25">
        <v>-733000000</v>
      </c>
      <c r="J11" s="25">
        <v>-661000000</v>
      </c>
      <c r="L11" s="23" t="s">
        <v>46</v>
      </c>
      <c r="M11" s="34">
        <f t="shared" si="9"/>
        <v>0.62655601659751037</v>
      </c>
      <c r="N11" s="34">
        <f t="shared" si="10"/>
        <v>0.20153061224489788</v>
      </c>
      <c r="O11" s="34">
        <f t="shared" si="11"/>
        <v>0.15074309978768574</v>
      </c>
      <c r="P11" s="34">
        <f t="shared" si="12"/>
        <v>6.0885608856088513E-2</v>
      </c>
      <c r="Q11" s="34">
        <f t="shared" si="13"/>
        <v>3.6521739130434883E-2</v>
      </c>
      <c r="R11" s="34">
        <f t="shared" si="14"/>
        <v>7.0469798657718075E-2</v>
      </c>
      <c r="S11" s="34">
        <f>I11/H11-1</f>
        <v>0.14890282131661436</v>
      </c>
      <c r="T11" s="34">
        <f t="shared" si="16"/>
        <v>-9.8226466575716209E-2</v>
      </c>
      <c r="W11" s="63"/>
      <c r="X11" s="63"/>
      <c r="Y11" s="63"/>
      <c r="Z11" s="63"/>
      <c r="AA11" s="63"/>
      <c r="AB11" s="63"/>
      <c r="AC11" s="63"/>
      <c r="AD11" s="63"/>
      <c r="AE11" s="63"/>
      <c r="AF11" s="63"/>
    </row>
    <row r="12" spans="1:32" ht="23" x14ac:dyDescent="0.25">
      <c r="A12" s="27" t="s">
        <v>59</v>
      </c>
      <c r="B12" s="25">
        <v>-23000000</v>
      </c>
      <c r="C12" s="25">
        <v>-17000000</v>
      </c>
      <c r="D12" s="25">
        <v>-19000000</v>
      </c>
      <c r="E12" s="25">
        <v>-13000000</v>
      </c>
      <c r="F12" s="25">
        <v>-14000000</v>
      </c>
      <c r="G12" s="25">
        <v>-15000000</v>
      </c>
      <c r="H12" s="25">
        <v>-11000000</v>
      </c>
      <c r="I12" s="25">
        <v>-11000000</v>
      </c>
      <c r="J12" s="25">
        <v>-15000000</v>
      </c>
      <c r="L12" s="23" t="s">
        <v>46</v>
      </c>
      <c r="M12" s="34">
        <f t="shared" si="9"/>
        <v>-0.26086956521739135</v>
      </c>
      <c r="N12" s="34">
        <f t="shared" si="10"/>
        <v>0.11764705882352944</v>
      </c>
      <c r="O12" s="34">
        <f t="shared" si="11"/>
        <v>-0.31578947368421051</v>
      </c>
      <c r="P12" s="34">
        <f t="shared" si="12"/>
        <v>7.6923076923076872E-2</v>
      </c>
      <c r="Q12" s="34">
        <f t="shared" si="13"/>
        <v>7.1428571428571397E-2</v>
      </c>
      <c r="R12" s="34">
        <f t="shared" si="14"/>
        <v>-0.26666666666666672</v>
      </c>
      <c r="S12" s="34">
        <f t="shared" si="15"/>
        <v>0</v>
      </c>
      <c r="T12" s="34">
        <f t="shared" si="16"/>
        <v>0.36363636363636354</v>
      </c>
      <c r="W12" s="63"/>
      <c r="X12" s="63"/>
      <c r="Y12" s="63"/>
      <c r="Z12" s="63"/>
      <c r="AA12" s="63"/>
      <c r="AB12" s="63"/>
      <c r="AC12" s="63"/>
      <c r="AD12" s="63"/>
      <c r="AE12" s="63"/>
    </row>
    <row r="13" spans="1:32" x14ac:dyDescent="0.25">
      <c r="A13" s="27" t="s">
        <v>60</v>
      </c>
      <c r="B13" s="25">
        <v>-206000000</v>
      </c>
      <c r="C13" s="25">
        <v>-392000000</v>
      </c>
      <c r="D13" s="25">
        <v>-464000000</v>
      </c>
      <c r="E13" s="25">
        <v>-450000000</v>
      </c>
      <c r="F13" s="25">
        <v>-482000000</v>
      </c>
      <c r="G13" s="25">
        <v>-586000000</v>
      </c>
      <c r="H13" s="25">
        <v>-635000000</v>
      </c>
      <c r="I13" s="25">
        <v>-687000000</v>
      </c>
      <c r="J13" s="25">
        <v>-663000000</v>
      </c>
      <c r="L13" s="23" t="s">
        <v>46</v>
      </c>
      <c r="M13" s="34">
        <f t="shared" si="9"/>
        <v>0.90291262135922334</v>
      </c>
      <c r="N13" s="34">
        <f t="shared" si="10"/>
        <v>0.18367346938775508</v>
      </c>
      <c r="O13" s="34">
        <f t="shared" si="11"/>
        <v>-3.0172413793103425E-2</v>
      </c>
      <c r="P13" s="34">
        <f t="shared" si="12"/>
        <v>7.1111111111111125E-2</v>
      </c>
      <c r="Q13" s="34">
        <f t="shared" si="13"/>
        <v>0.21576763485477168</v>
      </c>
      <c r="R13" s="34">
        <f t="shared" si="14"/>
        <v>8.361774744027306E-2</v>
      </c>
      <c r="S13" s="34">
        <f t="shared" si="15"/>
        <v>8.1889763779527502E-2</v>
      </c>
      <c r="T13" s="34">
        <f t="shared" si="16"/>
        <v>-3.4934497816593857E-2</v>
      </c>
    </row>
    <row r="14" spans="1:32" x14ac:dyDescent="0.25">
      <c r="A14" s="27" t="s">
        <v>61</v>
      </c>
      <c r="B14" s="25">
        <v>-672000000</v>
      </c>
      <c r="C14" s="25">
        <v>-1024000000</v>
      </c>
      <c r="D14" s="25">
        <v>-1195000000</v>
      </c>
      <c r="E14" s="25">
        <v>-1277000000</v>
      </c>
      <c r="F14" s="25">
        <v>-1296000000</v>
      </c>
      <c r="G14" s="25">
        <v>-1919000000</v>
      </c>
      <c r="H14" s="25">
        <v>-2701000000</v>
      </c>
      <c r="I14" s="25">
        <v>-2666000000</v>
      </c>
      <c r="J14" s="25">
        <v>-2121000000</v>
      </c>
      <c r="L14" s="23" t="s">
        <v>46</v>
      </c>
      <c r="M14" s="34">
        <f t="shared" si="9"/>
        <v>0.52380952380952372</v>
      </c>
      <c r="N14" s="34">
        <f t="shared" si="10"/>
        <v>0.1669921875</v>
      </c>
      <c r="O14" s="34">
        <f t="shared" si="11"/>
        <v>6.8619246861924665E-2</v>
      </c>
      <c r="P14" s="34">
        <f t="shared" si="12"/>
        <v>1.4878621769772948E-2</v>
      </c>
      <c r="Q14" s="34">
        <f t="shared" si="13"/>
        <v>0.48070987654320985</v>
      </c>
      <c r="R14" s="34">
        <f t="shared" si="14"/>
        <v>0.40750390828556537</v>
      </c>
      <c r="S14" s="34">
        <f t="shared" si="15"/>
        <v>-1.29581636430951E-2</v>
      </c>
      <c r="T14" s="34">
        <f t="shared" si="16"/>
        <v>-0.20442610652663162</v>
      </c>
    </row>
    <row r="15" spans="1:32" x14ac:dyDescent="0.25">
      <c r="A15" s="28" t="s">
        <v>62</v>
      </c>
      <c r="B15" s="29">
        <v>-901000000</v>
      </c>
      <c r="C15" s="29">
        <v>-1382000000</v>
      </c>
      <c r="D15" s="29">
        <v>-1683000000</v>
      </c>
      <c r="E15" s="29">
        <v>-925000000</v>
      </c>
      <c r="F15" s="29">
        <v>-657000000</v>
      </c>
      <c r="G15" s="29">
        <v>-658000000</v>
      </c>
      <c r="H15" s="29">
        <v>-1061000000</v>
      </c>
      <c r="I15" s="29">
        <v>-793000000</v>
      </c>
      <c r="J15" s="29">
        <v>-334000000</v>
      </c>
      <c r="L15" s="23" t="s">
        <v>46</v>
      </c>
      <c r="M15" s="34">
        <f t="shared" si="9"/>
        <v>0.53385127635960039</v>
      </c>
      <c r="N15" s="34">
        <f t="shared" si="10"/>
        <v>0.21780028943560059</v>
      </c>
      <c r="O15" s="34">
        <f t="shared" si="11"/>
        <v>-0.45038621509209742</v>
      </c>
      <c r="P15" s="34">
        <f t="shared" si="12"/>
        <v>-0.28972972972972977</v>
      </c>
      <c r="Q15" s="34">
        <f t="shared" si="13"/>
        <v>1.5220700152207556E-3</v>
      </c>
      <c r="R15" s="34">
        <f t="shared" si="14"/>
        <v>0.61246200607902734</v>
      </c>
      <c r="S15" s="34">
        <f t="shared" si="15"/>
        <v>-0.25259189443920826</v>
      </c>
      <c r="T15" s="34">
        <f t="shared" si="16"/>
        <v>-0.57881462799495587</v>
      </c>
    </row>
    <row r="16" spans="1:32" x14ac:dyDescent="0.25">
      <c r="A16" s="21" t="s">
        <v>63</v>
      </c>
      <c r="B16" s="12">
        <v>-2677000000</v>
      </c>
      <c r="C16" s="12">
        <v>-4139000000</v>
      </c>
      <c r="D16" s="12">
        <v>-4910000000</v>
      </c>
      <c r="E16" s="12">
        <v>-4442000000</v>
      </c>
      <c r="F16" s="12">
        <v>-4326000000</v>
      </c>
      <c r="G16" s="12">
        <v>-5390000000</v>
      </c>
      <c r="H16" s="12">
        <v>-6954000000</v>
      </c>
      <c r="I16" s="12">
        <v>-7371000000</v>
      </c>
      <c r="J16" s="12">
        <v>-5379000000</v>
      </c>
      <c r="L16" s="23" t="s">
        <v>46</v>
      </c>
      <c r="M16" s="36">
        <f t="shared" si="9"/>
        <v>0.54613373178931646</v>
      </c>
      <c r="N16" s="36">
        <f t="shared" si="10"/>
        <v>0.18627687847306107</v>
      </c>
      <c r="O16" s="36">
        <f t="shared" si="11"/>
        <v>-9.5315682281059022E-2</v>
      </c>
      <c r="P16" s="36">
        <f t="shared" si="12"/>
        <v>-2.611436289959479E-2</v>
      </c>
      <c r="Q16" s="36">
        <f t="shared" si="13"/>
        <v>0.24595469255663427</v>
      </c>
      <c r="R16" s="36">
        <f t="shared" si="14"/>
        <v>0.2901669758812615</v>
      </c>
      <c r="S16" s="36">
        <f t="shared" si="15"/>
        <v>5.9965487489214819E-2</v>
      </c>
      <c r="T16" s="36">
        <f t="shared" si="16"/>
        <v>-0.27024827024827025</v>
      </c>
    </row>
    <row r="17" spans="1:29" x14ac:dyDescent="0.25">
      <c r="A17" s="33" t="s">
        <v>64</v>
      </c>
      <c r="B17" s="32">
        <v>412000000</v>
      </c>
      <c r="C17" s="32">
        <v>555000000</v>
      </c>
      <c r="D17" s="32">
        <v>593000000</v>
      </c>
      <c r="E17" s="32">
        <v>708000000</v>
      </c>
      <c r="F17" s="32">
        <v>662000000</v>
      </c>
      <c r="G17" s="32">
        <v>624000000</v>
      </c>
      <c r="H17" s="32">
        <v>1284000000</v>
      </c>
      <c r="I17" s="32">
        <v>1305000000</v>
      </c>
      <c r="J17" s="32">
        <v>378000000</v>
      </c>
      <c r="L17" s="23" t="s">
        <v>46</v>
      </c>
      <c r="M17" s="36">
        <f t="shared" si="9"/>
        <v>0.34708737864077666</v>
      </c>
      <c r="N17" s="36">
        <f t="shared" si="10"/>
        <v>6.8468468468468435E-2</v>
      </c>
      <c r="O17" s="36">
        <f t="shared" si="11"/>
        <v>0.19392917369308593</v>
      </c>
      <c r="P17" s="36">
        <f t="shared" si="12"/>
        <v>-6.497175141242939E-2</v>
      </c>
      <c r="Q17" s="36">
        <f t="shared" si="13"/>
        <v>-5.7401812688821718E-2</v>
      </c>
      <c r="R17" s="36">
        <f t="shared" si="14"/>
        <v>1.0576923076923075</v>
      </c>
      <c r="S17" s="36">
        <f>I17/H17-1</f>
        <v>1.6355140186915973E-2</v>
      </c>
      <c r="T17" s="36">
        <f t="shared" si="16"/>
        <v>-0.71034482758620687</v>
      </c>
    </row>
    <row r="18" spans="1:29" x14ac:dyDescent="0.25">
      <c r="A18" s="27" t="s">
        <v>65</v>
      </c>
      <c r="B18" s="25">
        <v>24000000</v>
      </c>
      <c r="C18" s="25">
        <v>21000000</v>
      </c>
      <c r="D18" s="25">
        <v>30000000</v>
      </c>
      <c r="E18" s="25">
        <v>55000000</v>
      </c>
      <c r="F18" s="25">
        <v>91000000</v>
      </c>
      <c r="G18" s="25">
        <v>107000000</v>
      </c>
      <c r="H18" s="25">
        <v>122000000</v>
      </c>
      <c r="I18" s="25">
        <v>143000000</v>
      </c>
      <c r="J18" s="25">
        <v>95000000</v>
      </c>
      <c r="L18" s="23" t="s">
        <v>46</v>
      </c>
      <c r="M18" s="34">
        <f t="shared" si="9"/>
        <v>-0.125</v>
      </c>
      <c r="N18" s="34">
        <f t="shared" si="10"/>
        <v>0.4285714285714286</v>
      </c>
      <c r="O18" s="34">
        <f t="shared" si="11"/>
        <v>0.83333333333333326</v>
      </c>
      <c r="P18" s="34">
        <f t="shared" si="12"/>
        <v>0.65454545454545454</v>
      </c>
      <c r="Q18" s="34">
        <f t="shared" si="13"/>
        <v>0.17582417582417587</v>
      </c>
      <c r="R18" s="34">
        <f t="shared" si="14"/>
        <v>0.14018691588785037</v>
      </c>
      <c r="S18" s="34">
        <f>I18/H18-1</f>
        <v>0.17213114754098369</v>
      </c>
      <c r="T18" s="34">
        <f t="shared" si="16"/>
        <v>-0.33566433566433562</v>
      </c>
      <c r="V18" s="63"/>
      <c r="W18" s="92"/>
      <c r="X18" s="92"/>
      <c r="Y18" s="92"/>
      <c r="Z18" s="92"/>
      <c r="AA18" s="92"/>
      <c r="AB18" s="92"/>
      <c r="AC18" s="92"/>
    </row>
    <row r="19" spans="1:29" x14ac:dyDescent="0.25">
      <c r="A19" s="27" t="s">
        <v>66</v>
      </c>
      <c r="B19" s="25">
        <v>-15000000</v>
      </c>
      <c r="C19" s="25">
        <v>-56000000</v>
      </c>
      <c r="D19" s="25">
        <v>-219000000</v>
      </c>
      <c r="E19" s="25">
        <v>-269000000</v>
      </c>
      <c r="F19" s="25">
        <v>-193000000</v>
      </c>
      <c r="G19" s="25">
        <v>-225000000</v>
      </c>
      <c r="H19" s="25">
        <v>-290000000</v>
      </c>
      <c r="I19" s="25">
        <v>-227000000</v>
      </c>
      <c r="J19" s="25">
        <v>-220000000</v>
      </c>
      <c r="L19" s="23" t="s">
        <v>46</v>
      </c>
      <c r="M19" s="34">
        <f t="shared" si="9"/>
        <v>2.7333333333333334</v>
      </c>
      <c r="N19" s="34">
        <f t="shared" si="10"/>
        <v>2.9107142857142856</v>
      </c>
      <c r="O19" s="34">
        <f t="shared" si="11"/>
        <v>0.22831050228310512</v>
      </c>
      <c r="P19" s="34">
        <f t="shared" si="12"/>
        <v>-0.28252788104089221</v>
      </c>
      <c r="Q19" s="34">
        <f t="shared" si="13"/>
        <v>0.16580310880829008</v>
      </c>
      <c r="R19" s="34">
        <f t="shared" si="14"/>
        <v>0.28888888888888897</v>
      </c>
      <c r="S19" s="34">
        <f t="shared" si="15"/>
        <v>-0.21724137931034482</v>
      </c>
      <c r="T19" s="34">
        <f t="shared" si="16"/>
        <v>-3.0837004405286361E-2</v>
      </c>
    </row>
    <row r="20" spans="1:29" x14ac:dyDescent="0.25">
      <c r="A20" s="27" t="s">
        <v>67</v>
      </c>
      <c r="B20" s="25">
        <v>87000000</v>
      </c>
      <c r="C20" s="25">
        <v>242000000</v>
      </c>
      <c r="D20" s="25">
        <v>64000000</v>
      </c>
      <c r="E20" s="25">
        <v>75000000</v>
      </c>
      <c r="F20" s="25">
        <v>50000000</v>
      </c>
      <c r="G20" s="25">
        <v>109000000</v>
      </c>
      <c r="H20" s="25">
        <v>49000000</v>
      </c>
      <c r="I20" s="25">
        <v>11000000</v>
      </c>
      <c r="J20" s="25">
        <v>533000000</v>
      </c>
      <c r="L20" s="23" t="s">
        <v>46</v>
      </c>
      <c r="M20" s="34">
        <f t="shared" si="9"/>
        <v>1.7816091954022988</v>
      </c>
      <c r="N20" s="34">
        <f t="shared" si="10"/>
        <v>-0.73553719008264462</v>
      </c>
      <c r="O20" s="34">
        <f t="shared" si="11"/>
        <v>0.171875</v>
      </c>
      <c r="P20" s="34">
        <f t="shared" si="12"/>
        <v>-0.33333333333333337</v>
      </c>
      <c r="Q20" s="34">
        <f t="shared" si="13"/>
        <v>1.1800000000000002</v>
      </c>
      <c r="R20" s="34">
        <f t="shared" si="14"/>
        <v>-0.55045871559633031</v>
      </c>
      <c r="S20" s="34">
        <f>I20/H20-1</f>
        <v>-0.77551020408163263</v>
      </c>
      <c r="T20" s="34">
        <f t="shared" si="16"/>
        <v>47.454545454545453</v>
      </c>
    </row>
    <row r="21" spans="1:29" x14ac:dyDescent="0.25">
      <c r="A21" s="27" t="s">
        <v>68</v>
      </c>
      <c r="B21" s="25">
        <v>-50000000</v>
      </c>
      <c r="C21" s="25">
        <v>-59000000</v>
      </c>
      <c r="D21" s="25">
        <v>-54000000</v>
      </c>
      <c r="E21" s="25">
        <v>-72000000</v>
      </c>
      <c r="F21" s="25">
        <v>-76000000</v>
      </c>
      <c r="G21" s="25">
        <v>-77000000</v>
      </c>
      <c r="H21" s="25">
        <v>-294000000</v>
      </c>
      <c r="I21" s="25">
        <v>-153000000</v>
      </c>
      <c r="J21" s="25">
        <v>-463000000</v>
      </c>
      <c r="L21" s="23" t="s">
        <v>46</v>
      </c>
      <c r="M21" s="34">
        <f t="shared" si="9"/>
        <v>0.17999999999999994</v>
      </c>
      <c r="N21" s="34">
        <f t="shared" si="10"/>
        <v>-8.4745762711864403E-2</v>
      </c>
      <c r="O21" s="34">
        <f t="shared" si="11"/>
        <v>0.33333333333333326</v>
      </c>
      <c r="P21" s="34">
        <f t="shared" si="12"/>
        <v>5.555555555555558E-2</v>
      </c>
      <c r="Q21" s="34">
        <f t="shared" si="13"/>
        <v>1.3157894736842035E-2</v>
      </c>
      <c r="R21" s="34">
        <f t="shared" si="14"/>
        <v>2.8181818181818183</v>
      </c>
      <c r="S21" s="34">
        <f>I21/H21-1</f>
        <v>-0.47959183673469385</v>
      </c>
      <c r="T21" s="34">
        <f t="shared" si="16"/>
        <v>2.0261437908496731</v>
      </c>
    </row>
    <row r="22" spans="1:29" x14ac:dyDescent="0.25">
      <c r="A22" s="27" t="s">
        <v>69</v>
      </c>
      <c r="B22" s="25">
        <v>11000000</v>
      </c>
      <c r="C22" s="25">
        <v>-71000000</v>
      </c>
      <c r="D22" s="25">
        <v>64000000</v>
      </c>
      <c r="E22" s="25">
        <v>86000000</v>
      </c>
      <c r="F22" s="25">
        <v>-70000000</v>
      </c>
      <c r="G22" s="25">
        <v>3000000</v>
      </c>
      <c r="H22" s="25">
        <v>107000000</v>
      </c>
      <c r="I22" s="25">
        <v>64000000</v>
      </c>
      <c r="J22" s="25">
        <v>-163000000</v>
      </c>
      <c r="L22" s="23" t="s">
        <v>46</v>
      </c>
      <c r="M22" s="34">
        <f t="shared" si="9"/>
        <v>-7.4545454545454541</v>
      </c>
      <c r="N22" s="34">
        <f t="shared" si="10"/>
        <v>-1.9014084507042255</v>
      </c>
      <c r="O22" s="34">
        <f t="shared" si="11"/>
        <v>0.34375</v>
      </c>
      <c r="P22" s="34">
        <f t="shared" si="12"/>
        <v>-1.8139534883720931</v>
      </c>
      <c r="Q22" s="34">
        <f t="shared" si="13"/>
        <v>-1.0428571428571429</v>
      </c>
      <c r="R22" s="34">
        <f t="shared" si="14"/>
        <v>34.666666666666664</v>
      </c>
      <c r="S22" s="34">
        <f t="shared" si="15"/>
        <v>-0.40186915887850472</v>
      </c>
      <c r="T22" s="34">
        <f t="shared" si="16"/>
        <v>-3.546875</v>
      </c>
    </row>
    <row r="23" spans="1:29" ht="23" x14ac:dyDescent="0.25">
      <c r="A23" s="27" t="s">
        <v>70</v>
      </c>
      <c r="B23" s="25" t="s">
        <v>46</v>
      </c>
      <c r="C23" s="25" t="s">
        <v>46</v>
      </c>
      <c r="D23" s="25" t="s">
        <v>46</v>
      </c>
      <c r="E23" s="25">
        <v>-123000000</v>
      </c>
      <c r="F23" s="25">
        <v>-147000000</v>
      </c>
      <c r="G23" s="25">
        <v>-146000000</v>
      </c>
      <c r="H23" s="25">
        <v>-146000000</v>
      </c>
      <c r="I23" s="25">
        <v>-146000000</v>
      </c>
      <c r="J23" s="25">
        <v>2000000</v>
      </c>
      <c r="L23" s="23" t="s">
        <v>46</v>
      </c>
      <c r="M23" s="34" t="s">
        <v>46</v>
      </c>
      <c r="N23" s="34" t="s">
        <v>46</v>
      </c>
      <c r="O23" s="34" t="s">
        <v>46</v>
      </c>
      <c r="P23" s="34">
        <f t="shared" si="12"/>
        <v>0.19512195121951215</v>
      </c>
      <c r="Q23" s="34">
        <f t="shared" si="13"/>
        <v>-6.8027210884353817E-3</v>
      </c>
      <c r="R23" s="34">
        <f t="shared" si="14"/>
        <v>0</v>
      </c>
      <c r="S23" s="34">
        <f t="shared" si="15"/>
        <v>0</v>
      </c>
      <c r="T23" s="34">
        <f t="shared" si="16"/>
        <v>-1.0136986301369864</v>
      </c>
    </row>
    <row r="24" spans="1:29" x14ac:dyDescent="0.25">
      <c r="A24" s="26" t="s">
        <v>71</v>
      </c>
      <c r="B24" s="22">
        <v>469000000</v>
      </c>
      <c r="C24" s="22">
        <v>632000000</v>
      </c>
      <c r="D24" s="22">
        <v>478000000</v>
      </c>
      <c r="E24" s="22">
        <v>460000000</v>
      </c>
      <c r="F24" s="22">
        <v>317000000</v>
      </c>
      <c r="G24" s="22">
        <v>395000000</v>
      </c>
      <c r="H24" s="22">
        <v>832000000</v>
      </c>
      <c r="I24" s="22">
        <v>994000000</v>
      </c>
      <c r="J24" s="22">
        <v>162000000</v>
      </c>
      <c r="L24" s="23" t="s">
        <v>46</v>
      </c>
      <c r="M24" s="36">
        <f t="shared" si="9"/>
        <v>0.34754797441364604</v>
      </c>
      <c r="N24" s="36">
        <f t="shared" si="10"/>
        <v>-0.24367088607594933</v>
      </c>
      <c r="O24" s="36">
        <f t="shared" si="11"/>
        <v>-3.7656903765690419E-2</v>
      </c>
      <c r="P24" s="36">
        <f t="shared" si="12"/>
        <v>-0.31086956521739129</v>
      </c>
      <c r="Q24" s="36">
        <f t="shared" si="13"/>
        <v>0.24605678233438488</v>
      </c>
      <c r="R24" s="36">
        <f t="shared" si="14"/>
        <v>1.1063291139240508</v>
      </c>
      <c r="S24" s="36">
        <f t="shared" si="15"/>
        <v>0.19471153846153855</v>
      </c>
      <c r="T24" s="36">
        <f t="shared" si="16"/>
        <v>-0.83702213279678062</v>
      </c>
    </row>
    <row r="25" spans="1:29" x14ac:dyDescent="0.25">
      <c r="A25" s="27" t="s">
        <v>72</v>
      </c>
      <c r="B25" s="25">
        <v>-104000000</v>
      </c>
      <c r="C25" s="25">
        <v>-81000000</v>
      </c>
      <c r="D25" s="25">
        <v>-128000000</v>
      </c>
      <c r="E25" s="25">
        <v>-104000000</v>
      </c>
      <c r="F25" s="25">
        <v>-116000000</v>
      </c>
      <c r="G25" s="25">
        <v>-98000000</v>
      </c>
      <c r="H25" s="25">
        <v>-183000000</v>
      </c>
      <c r="I25" s="25">
        <v>-192000000</v>
      </c>
      <c r="J25" s="25">
        <v>19000000</v>
      </c>
      <c r="L25" s="23" t="s">
        <v>46</v>
      </c>
      <c r="M25" s="34">
        <f t="shared" si="9"/>
        <v>-0.22115384615384615</v>
      </c>
      <c r="N25" s="34">
        <f t="shared" si="10"/>
        <v>0.58024691358024683</v>
      </c>
      <c r="O25" s="34">
        <f t="shared" si="11"/>
        <v>-0.1875</v>
      </c>
      <c r="P25" s="34">
        <f t="shared" si="12"/>
        <v>0.11538461538461542</v>
      </c>
      <c r="Q25" s="34">
        <f t="shared" si="13"/>
        <v>-0.15517241379310343</v>
      </c>
      <c r="R25" s="34">
        <f t="shared" si="14"/>
        <v>0.86734693877551017</v>
      </c>
      <c r="S25" s="34">
        <f t="shared" si="15"/>
        <v>4.9180327868852514E-2</v>
      </c>
      <c r="T25" s="34">
        <f t="shared" si="16"/>
        <v>-1.0989583333333333</v>
      </c>
    </row>
    <row r="26" spans="1:29" x14ac:dyDescent="0.25">
      <c r="A26" s="26" t="s">
        <v>73</v>
      </c>
      <c r="B26" s="22">
        <v>365000000</v>
      </c>
      <c r="C26" s="22">
        <v>551000000</v>
      </c>
      <c r="D26" s="22">
        <v>350000000</v>
      </c>
      <c r="E26" s="22">
        <v>356000000</v>
      </c>
      <c r="F26" s="22">
        <v>201000000</v>
      </c>
      <c r="G26" s="22">
        <v>297000000</v>
      </c>
      <c r="H26" s="22">
        <v>649000000</v>
      </c>
      <c r="I26" s="22">
        <v>802000000</v>
      </c>
      <c r="J26" s="22">
        <v>181000000</v>
      </c>
      <c r="L26" s="23" t="s">
        <v>46</v>
      </c>
      <c r="M26" s="36">
        <f t="shared" si="9"/>
        <v>0.50958904109589032</v>
      </c>
      <c r="N26" s="36">
        <f t="shared" si="10"/>
        <v>-0.36479128856624321</v>
      </c>
      <c r="O26" s="36">
        <f t="shared" si="11"/>
        <v>1.7142857142857126E-2</v>
      </c>
      <c r="P26" s="36">
        <f t="shared" si="12"/>
        <v>-0.4353932584269663</v>
      </c>
      <c r="Q26" s="36">
        <f t="shared" si="13"/>
        <v>0.47761194029850751</v>
      </c>
      <c r="R26" s="36">
        <f>H26/G26-1</f>
        <v>1.1851851851851851</v>
      </c>
      <c r="S26" s="36">
        <f t="shared" si="15"/>
        <v>0.23574730354391371</v>
      </c>
      <c r="T26" s="36">
        <f t="shared" si="16"/>
        <v>-0.77431421446384041</v>
      </c>
      <c r="V26" s="63"/>
    </row>
    <row r="27" spans="1:29" x14ac:dyDescent="0.25">
      <c r="I27" s="24">
        <f>I26/H26-1</f>
        <v>0.23574730354391371</v>
      </c>
    </row>
    <row r="29" spans="1:29" x14ac:dyDescent="0.25">
      <c r="A29" s="20" t="s">
        <v>0</v>
      </c>
      <c r="B29" s="20">
        <v>2012</v>
      </c>
      <c r="C29" s="20">
        <v>2013</v>
      </c>
      <c r="D29" s="20">
        <v>2014</v>
      </c>
      <c r="E29" s="20">
        <v>2015</v>
      </c>
      <c r="F29" s="20">
        <v>2016</v>
      </c>
      <c r="G29" s="20">
        <v>2017</v>
      </c>
      <c r="H29" s="20">
        <v>2018</v>
      </c>
      <c r="I29" s="20">
        <v>2019</v>
      </c>
      <c r="J29" s="20">
        <v>2020</v>
      </c>
    </row>
    <row r="30" spans="1:29" ht="23" x14ac:dyDescent="0.25">
      <c r="A30" s="27" t="s">
        <v>79</v>
      </c>
      <c r="B30" s="30">
        <f>B3/$B$6</f>
        <v>0.97895759145354488</v>
      </c>
      <c r="C30" s="30">
        <f>C3/$C$6</f>
        <v>0.98508734554750743</v>
      </c>
      <c r="D30" s="30">
        <f>D3/$D$6</f>
        <v>0.98855169907323281</v>
      </c>
      <c r="E30" s="30">
        <f>E3/$E$6</f>
        <v>0.98466019417475725</v>
      </c>
      <c r="F30" s="30">
        <f>F3/$F$6</f>
        <v>0.97975140336808342</v>
      </c>
      <c r="G30" s="30">
        <f>G3/$G$6</f>
        <v>0.97721982041902233</v>
      </c>
      <c r="H30" s="30">
        <f>H3/$H$6</f>
        <v>0.98033503277494538</v>
      </c>
      <c r="I30" s="30">
        <f>I3/$I$6</f>
        <v>0.97856154910096815</v>
      </c>
      <c r="J30" s="30">
        <f>J3/$J$6</f>
        <v>0.97759249609171439</v>
      </c>
    </row>
    <row r="31" spans="1:29" x14ac:dyDescent="0.25">
      <c r="A31" s="27" t="s">
        <v>51</v>
      </c>
      <c r="B31" s="30">
        <f>B4/$B$6</f>
        <v>1.3596633214632567E-2</v>
      </c>
      <c r="C31" s="30">
        <f>C4/$C$6</f>
        <v>1.2356199403493822E-2</v>
      </c>
      <c r="D31" s="30">
        <f>D4/$D$6</f>
        <v>1.3628929674722878E-2</v>
      </c>
      <c r="E31" s="30">
        <f>E4/$E$6</f>
        <v>1.3592233009708738E-2</v>
      </c>
      <c r="F31" s="30">
        <f>F4/$F$6</f>
        <v>1.5036086607858861E-2</v>
      </c>
      <c r="G31" s="30">
        <f>G4/$G$6</f>
        <v>1.2803458596607914E-2</v>
      </c>
      <c r="H31" s="30">
        <f>H4/$H$6</f>
        <v>9.7110949259529011E-3</v>
      </c>
      <c r="I31" s="30">
        <f>I4/$I$6</f>
        <v>9.9124020285846007E-3</v>
      </c>
      <c r="J31" s="30">
        <f>J4/$J$6</f>
        <v>1.3375021712697586E-2</v>
      </c>
      <c r="M31" s="65"/>
    </row>
    <row r="32" spans="1:29" ht="23" x14ac:dyDescent="0.25">
      <c r="A32" s="27" t="s">
        <v>52</v>
      </c>
      <c r="B32" s="30">
        <f>B5/$B$6</f>
        <v>7.4457753318225963E-3</v>
      </c>
      <c r="C32" s="30">
        <f>C5/$C$6</f>
        <v>2.5564550489987218E-3</v>
      </c>
      <c r="D32" s="30">
        <f>D5/$D$6</f>
        <v>-2.1806287479556605E-3</v>
      </c>
      <c r="E32" s="30">
        <f>E5/$E$6</f>
        <v>1.7475728155339806E-3</v>
      </c>
      <c r="F32" s="30">
        <f t="shared" ref="F32:F33" si="17">F5/$F$6</f>
        <v>5.2125100240577385E-3</v>
      </c>
      <c r="G32" s="30">
        <f t="shared" ref="G32:G33" si="18">G5/$G$6</f>
        <v>9.9767209843698041E-3</v>
      </c>
      <c r="H32" s="30">
        <f t="shared" ref="H32:H33" si="19">H5/$H$6</f>
        <v>9.9538722991017233E-3</v>
      </c>
      <c r="I32" s="30">
        <f t="shared" ref="I32:I33" si="20">I5/$I$6</f>
        <v>1.1526048870447211E-2</v>
      </c>
      <c r="J32" s="30">
        <f t="shared" ref="J32:J33" si="21">J5/$J$6</f>
        <v>9.0324821955879795E-3</v>
      </c>
      <c r="M32" s="92"/>
      <c r="S32" s="92"/>
      <c r="T32" s="92"/>
    </row>
    <row r="33" spans="1:33" ht="23" x14ac:dyDescent="0.25">
      <c r="A33" s="26" t="s">
        <v>53</v>
      </c>
      <c r="B33" s="30">
        <f>B6/$B$6</f>
        <v>1</v>
      </c>
      <c r="C33" s="30">
        <f>C6/$C$6</f>
        <v>1</v>
      </c>
      <c r="D33" s="30">
        <f>D6/$D$6</f>
        <v>1</v>
      </c>
      <c r="E33" s="30">
        <f>E6/$E$6</f>
        <v>1</v>
      </c>
      <c r="F33" s="30">
        <f t="shared" si="17"/>
        <v>1</v>
      </c>
      <c r="G33" s="30">
        <f t="shared" si="18"/>
        <v>1</v>
      </c>
      <c r="H33" s="30">
        <f t="shared" si="19"/>
        <v>1</v>
      </c>
      <c r="I33" s="30">
        <f t="shared" si="20"/>
        <v>1</v>
      </c>
      <c r="J33" s="30">
        <f t="shared" si="21"/>
        <v>1</v>
      </c>
      <c r="M33" s="92"/>
      <c r="O33" s="92"/>
      <c r="P33" s="92"/>
      <c r="S33" s="92"/>
      <c r="T33" s="92"/>
      <c r="U33" s="92"/>
    </row>
    <row r="34" spans="1:33" x14ac:dyDescent="0.25">
      <c r="A34" s="153" t="s">
        <v>54</v>
      </c>
      <c r="B34" s="154"/>
      <c r="C34" s="154"/>
      <c r="D34" s="154"/>
      <c r="E34" s="154"/>
      <c r="F34" s="154"/>
      <c r="G34" s="154"/>
      <c r="H34" s="154"/>
      <c r="I34" s="154"/>
      <c r="J34" s="155"/>
      <c r="M34" s="92"/>
      <c r="S34" s="92"/>
      <c r="T34" s="92"/>
    </row>
    <row r="35" spans="1:33" x14ac:dyDescent="0.25">
      <c r="A35" s="27" t="s">
        <v>55</v>
      </c>
      <c r="B35" s="30">
        <f t="shared" ref="B35:B49" si="22">ABS(B8/$B$6)</f>
        <v>7.9961152476529615E-2</v>
      </c>
      <c r="C35" s="30">
        <f t="shared" ref="C35:C49" si="23">ABS(C8/$C$6)</f>
        <v>8.2871751171708558E-2</v>
      </c>
      <c r="D35" s="30">
        <f t="shared" ref="D35:D49" si="24">ABS(D8/$D$6)</f>
        <v>8.5226240232600406E-2</v>
      </c>
      <c r="E35" s="30">
        <f>ABS(E8/$E$6)</f>
        <v>0.11165048543689321</v>
      </c>
      <c r="F35" s="30">
        <f>ABS(F8/$F$6)</f>
        <v>0.11206896551724138</v>
      </c>
      <c r="G35" s="30">
        <f>ABS(G8/$G$6)</f>
        <v>0.10093116062520785</v>
      </c>
      <c r="H35" s="30">
        <f>ABS(H8/$H$6)</f>
        <v>7.7931536780772026E-2</v>
      </c>
      <c r="I35" s="30">
        <f>ABS(I8/$I$6)</f>
        <v>8.2411249423697555E-2</v>
      </c>
      <c r="J35" s="30">
        <f>ABS(J8/$J$6)</f>
        <v>0.13322911238492272</v>
      </c>
      <c r="S35" s="92"/>
      <c r="T35" s="92"/>
    </row>
    <row r="36" spans="1:33" ht="23" x14ac:dyDescent="0.25">
      <c r="A36" s="27" t="s">
        <v>56</v>
      </c>
      <c r="B36" s="30">
        <f t="shared" si="22"/>
        <v>0.10326966655875688</v>
      </c>
      <c r="C36" s="30">
        <f t="shared" si="23"/>
        <v>9.203238176395398E-2</v>
      </c>
      <c r="D36" s="30">
        <f t="shared" si="24"/>
        <v>8.9950935853171002E-2</v>
      </c>
      <c r="E36" s="30">
        <f t="shared" ref="E36:E53" si="25">ABS(E9/$E$6)</f>
        <v>0.1029126213592233</v>
      </c>
      <c r="F36" s="30">
        <f t="shared" ref="F36:F53" si="26">ABS(F9/$F$6)</f>
        <v>0.12309542902967122</v>
      </c>
      <c r="G36" s="30">
        <f t="shared" ref="G36:G53" si="27">ABS(G9/$G$6)</f>
        <v>0.13917525773195877</v>
      </c>
      <c r="H36" s="30">
        <f t="shared" ref="H36:H53" si="28">ABS(H9/$H$6)</f>
        <v>0.13340616654527798</v>
      </c>
      <c r="I36" s="30">
        <f t="shared" ref="I36:I53" si="29">ABS(I9/$I$6)</f>
        <v>0.18049792531120332</v>
      </c>
      <c r="J36" s="30">
        <f t="shared" ref="J36:J53" si="30">ABS(J9/$J$6)</f>
        <v>0.12002779225290951</v>
      </c>
      <c r="S36" s="92"/>
      <c r="T36" s="92"/>
    </row>
    <row r="37" spans="1:33" ht="13.5" customHeight="1" x14ac:dyDescent="0.25">
      <c r="A37" s="27" t="s">
        <v>57</v>
      </c>
      <c r="B37" s="30">
        <f t="shared" si="22"/>
        <v>2.2013596633214633E-2</v>
      </c>
      <c r="C37" s="30">
        <f t="shared" si="23"/>
        <v>2.3647209203238175E-2</v>
      </c>
      <c r="D37" s="30">
        <f t="shared" si="24"/>
        <v>2.0715973105578774E-2</v>
      </c>
      <c r="E37" s="30">
        <f t="shared" si="25"/>
        <v>2.524271844660194E-2</v>
      </c>
      <c r="F37" s="30">
        <f t="shared" si="26"/>
        <v>2.5862068965517241E-2</v>
      </c>
      <c r="G37" s="30">
        <f t="shared" si="27"/>
        <v>2.8599933488526772E-2</v>
      </c>
      <c r="H37" s="30">
        <f t="shared" si="28"/>
        <v>2.0271910657926683E-2</v>
      </c>
      <c r="I37" s="30">
        <f t="shared" si="29"/>
        <v>2.3052097740894423E-2</v>
      </c>
      <c r="J37" s="30">
        <f t="shared" si="30"/>
        <v>2.2060100746916798E-2</v>
      </c>
      <c r="S37" s="92"/>
      <c r="T37" s="92"/>
    </row>
    <row r="38" spans="1:33" ht="23" x14ac:dyDescent="0.25">
      <c r="A38" s="27" t="s">
        <v>58</v>
      </c>
      <c r="B38" s="30">
        <f t="shared" si="22"/>
        <v>7.8018776303010684E-2</v>
      </c>
      <c r="C38" s="30">
        <f t="shared" si="23"/>
        <v>8.3510864933958248E-2</v>
      </c>
      <c r="D38" s="30">
        <f t="shared" si="24"/>
        <v>8.5589678357259683E-2</v>
      </c>
      <c r="E38" s="30">
        <f t="shared" si="25"/>
        <v>0.10524271844660193</v>
      </c>
      <c r="F38" s="30">
        <f t="shared" si="26"/>
        <v>0.1152766639935846</v>
      </c>
      <c r="G38" s="30">
        <f t="shared" si="27"/>
        <v>9.9102095111406718E-2</v>
      </c>
      <c r="H38" s="30">
        <f t="shared" si="28"/>
        <v>7.7445982034474392E-2</v>
      </c>
      <c r="I38" s="30">
        <f t="shared" si="29"/>
        <v>8.448593822037806E-2</v>
      </c>
      <c r="J38" s="30">
        <f t="shared" si="30"/>
        <v>0.11481674483237797</v>
      </c>
      <c r="S38" s="92"/>
      <c r="T38" s="92"/>
      <c r="W38" s="63"/>
      <c r="X38" s="63"/>
      <c r="Y38" s="63"/>
      <c r="Z38" s="63"/>
      <c r="AA38" s="63"/>
      <c r="AB38" s="63"/>
      <c r="AC38" s="63"/>
      <c r="AD38" s="63"/>
      <c r="AE38" s="63"/>
      <c r="AF38" s="63"/>
      <c r="AG38" s="63"/>
    </row>
    <row r="39" spans="1:33" ht="23" x14ac:dyDescent="0.25">
      <c r="A39" s="27" t="s">
        <v>59</v>
      </c>
      <c r="B39" s="30">
        <f t="shared" si="22"/>
        <v>7.4457753318225963E-3</v>
      </c>
      <c r="C39" s="30">
        <f t="shared" si="23"/>
        <v>3.6216446527481891E-3</v>
      </c>
      <c r="D39" s="30">
        <f t="shared" si="24"/>
        <v>3.4526621842631291E-3</v>
      </c>
      <c r="E39" s="30">
        <f t="shared" si="25"/>
        <v>2.524271844660194E-3</v>
      </c>
      <c r="F39" s="30">
        <f t="shared" si="26"/>
        <v>2.8067361668003207E-3</v>
      </c>
      <c r="G39" s="30">
        <f t="shared" si="27"/>
        <v>2.494180246092451E-3</v>
      </c>
      <c r="H39" s="30">
        <f t="shared" si="28"/>
        <v>1.3352755523185239E-3</v>
      </c>
      <c r="I39" s="30">
        <f t="shared" si="29"/>
        <v>1.2678653757491932E-3</v>
      </c>
      <c r="J39" s="30">
        <f t="shared" si="30"/>
        <v>2.6055237102657635E-3</v>
      </c>
      <c r="L39" s="63"/>
      <c r="M39" s="63"/>
      <c r="N39" s="63"/>
      <c r="O39" s="63"/>
      <c r="P39" s="63"/>
      <c r="Q39" s="63"/>
      <c r="R39" s="63"/>
      <c r="S39" s="92"/>
      <c r="T39" s="92"/>
    </row>
    <row r="40" spans="1:33" x14ac:dyDescent="0.25">
      <c r="A40" s="27" t="s">
        <v>60</v>
      </c>
      <c r="B40" s="30">
        <f t="shared" si="22"/>
        <v>6.6688248624150209E-2</v>
      </c>
      <c r="C40" s="30">
        <f t="shared" si="23"/>
        <v>8.3510864933958248E-2</v>
      </c>
      <c r="D40" s="30">
        <f t="shared" si="24"/>
        <v>8.4317644920952214E-2</v>
      </c>
      <c r="E40" s="30">
        <f t="shared" si="25"/>
        <v>8.7378640776699032E-2</v>
      </c>
      <c r="F40" s="30">
        <f t="shared" si="26"/>
        <v>9.6631916599839621E-2</v>
      </c>
      <c r="G40" s="30">
        <f t="shared" si="27"/>
        <v>9.7439308280678413E-2</v>
      </c>
      <c r="H40" s="30">
        <f t="shared" si="28"/>
        <v>7.7081815974751153E-2</v>
      </c>
      <c r="I40" s="30">
        <f t="shared" si="29"/>
        <v>7.9183955739972334E-2</v>
      </c>
      <c r="J40" s="30">
        <f t="shared" si="30"/>
        <v>0.11516414799374675</v>
      </c>
      <c r="S40" s="92"/>
      <c r="T40" s="92"/>
    </row>
    <row r="41" spans="1:33" x14ac:dyDescent="0.25">
      <c r="A41" s="27" t="s">
        <v>61</v>
      </c>
      <c r="B41" s="30">
        <f t="shared" si="22"/>
        <v>0.21754613143412108</v>
      </c>
      <c r="C41" s="30">
        <f t="shared" si="23"/>
        <v>0.21815083084789091</v>
      </c>
      <c r="D41" s="30">
        <f t="shared" si="24"/>
        <v>0.21715427948391786</v>
      </c>
      <c r="E41" s="30">
        <f t="shared" si="25"/>
        <v>0.24796116504854368</v>
      </c>
      <c r="F41" s="30">
        <f t="shared" si="26"/>
        <v>0.25982357658380112</v>
      </c>
      <c r="G41" s="30">
        <f t="shared" si="27"/>
        <v>0.31908879281676089</v>
      </c>
      <c r="H41" s="30">
        <f t="shared" si="28"/>
        <v>0.32787084243748482</v>
      </c>
      <c r="I41" s="30">
        <f t="shared" si="29"/>
        <v>0.30728446288612266</v>
      </c>
      <c r="J41" s="30">
        <f t="shared" si="30"/>
        <v>0.36842105263157893</v>
      </c>
      <c r="L41" s="63"/>
      <c r="S41" s="92"/>
      <c r="T41" s="92"/>
    </row>
    <row r="42" spans="1:33" x14ac:dyDescent="0.25">
      <c r="A42" s="28" t="s">
        <v>62</v>
      </c>
      <c r="B42" s="30">
        <f t="shared" si="22"/>
        <v>0.2916801553900939</v>
      </c>
      <c r="C42" s="30">
        <f t="shared" si="23"/>
        <v>0.29441840647635281</v>
      </c>
      <c r="D42" s="30">
        <f t="shared" si="24"/>
        <v>0.3058331819007814</v>
      </c>
      <c r="E42" s="30">
        <f t="shared" si="25"/>
        <v>0.1796116504854369</v>
      </c>
      <c r="F42" s="30">
        <f t="shared" si="26"/>
        <v>0.13171611868484362</v>
      </c>
      <c r="G42" s="30">
        <f t="shared" si="27"/>
        <v>0.10941137346192219</v>
      </c>
      <c r="H42" s="30">
        <f t="shared" si="28"/>
        <v>0.12879339645545035</v>
      </c>
      <c r="I42" s="30">
        <f t="shared" si="29"/>
        <v>9.1401567542646375E-2</v>
      </c>
      <c r="J42" s="30">
        <f t="shared" si="30"/>
        <v>5.8016327948584336E-2</v>
      </c>
      <c r="L42" s="63"/>
      <c r="S42" s="92"/>
      <c r="T42" s="92"/>
    </row>
    <row r="43" spans="1:33" x14ac:dyDescent="0.25">
      <c r="A43" s="21" t="s">
        <v>63</v>
      </c>
      <c r="B43" s="31">
        <f t="shared" si="22"/>
        <v>0.86662350275169953</v>
      </c>
      <c r="C43" s="31">
        <f t="shared" si="23"/>
        <v>0.88176395398380913</v>
      </c>
      <c r="D43" s="31">
        <f t="shared" si="24"/>
        <v>0.89224059603852446</v>
      </c>
      <c r="E43" s="31">
        <f t="shared" si="25"/>
        <v>0.86252427184466018</v>
      </c>
      <c r="F43" s="31">
        <f t="shared" si="26"/>
        <v>0.86728147554129909</v>
      </c>
      <c r="G43" s="31">
        <f t="shared" si="27"/>
        <v>0.89624210176255403</v>
      </c>
      <c r="H43" s="31">
        <f t="shared" si="28"/>
        <v>0.84413692643845595</v>
      </c>
      <c r="I43" s="31">
        <f t="shared" si="29"/>
        <v>0.84958506224066388</v>
      </c>
      <c r="J43" s="31">
        <f t="shared" si="30"/>
        <v>0.9343408025013028</v>
      </c>
      <c r="S43" s="92"/>
      <c r="T43" s="92"/>
    </row>
    <row r="44" spans="1:33" x14ac:dyDescent="0.25">
      <c r="A44" s="33" t="s">
        <v>64</v>
      </c>
      <c r="B44" s="31">
        <f t="shared" si="22"/>
        <v>0.13337649724830042</v>
      </c>
      <c r="C44" s="31">
        <f t="shared" si="23"/>
        <v>0.11823604601619088</v>
      </c>
      <c r="D44" s="31">
        <f t="shared" si="24"/>
        <v>0.10775940396147556</v>
      </c>
      <c r="E44" s="31">
        <f t="shared" si="25"/>
        <v>0.13747572815533982</v>
      </c>
      <c r="F44" s="31">
        <f t="shared" si="26"/>
        <v>0.13271852445870089</v>
      </c>
      <c r="G44" s="31">
        <f t="shared" si="27"/>
        <v>0.10375789823744595</v>
      </c>
      <c r="H44" s="31">
        <f t="shared" si="28"/>
        <v>0.15586307356154405</v>
      </c>
      <c r="I44" s="31">
        <f t="shared" si="29"/>
        <v>0.15041493775933609</v>
      </c>
      <c r="J44" s="31">
        <f t="shared" si="30"/>
        <v>6.5659197498697239E-2</v>
      </c>
      <c r="S44" s="92"/>
      <c r="T44" s="92"/>
    </row>
    <row r="45" spans="1:33" x14ac:dyDescent="0.25">
      <c r="A45" s="27" t="s">
        <v>65</v>
      </c>
      <c r="B45" s="30">
        <f t="shared" si="22"/>
        <v>7.7695046940757526E-3</v>
      </c>
      <c r="C45" s="30">
        <f t="shared" si="23"/>
        <v>4.4737963357477633E-3</v>
      </c>
      <c r="D45" s="30">
        <f t="shared" si="24"/>
        <v>5.4515718698891517E-3</v>
      </c>
      <c r="E45" s="30">
        <f t="shared" si="25"/>
        <v>1.0679611650485437E-2</v>
      </c>
      <c r="F45" s="30">
        <f t="shared" si="26"/>
        <v>1.8243785084202085E-2</v>
      </c>
      <c r="G45" s="30">
        <f t="shared" si="27"/>
        <v>1.7791819088792817E-2</v>
      </c>
      <c r="H45" s="30">
        <f t="shared" si="28"/>
        <v>1.4809419762078174E-2</v>
      </c>
      <c r="I45" s="30">
        <f t="shared" si="29"/>
        <v>1.6482249884739512E-2</v>
      </c>
      <c r="J45" s="30">
        <f t="shared" si="30"/>
        <v>1.65016501650165E-2</v>
      </c>
      <c r="S45" s="92"/>
      <c r="T45" s="92"/>
    </row>
    <row r="46" spans="1:33" x14ac:dyDescent="0.25">
      <c r="A46" s="27" t="s">
        <v>66</v>
      </c>
      <c r="B46" s="30">
        <f t="shared" si="22"/>
        <v>4.8559404337973457E-3</v>
      </c>
      <c r="C46" s="30">
        <f t="shared" si="23"/>
        <v>1.1930123561994035E-2</v>
      </c>
      <c r="D46" s="30">
        <f t="shared" si="24"/>
        <v>3.9796474650190802E-2</v>
      </c>
      <c r="E46" s="30">
        <f t="shared" si="25"/>
        <v>5.2233009708737864E-2</v>
      </c>
      <c r="F46" s="30">
        <f t="shared" si="26"/>
        <v>3.8692862870890139E-2</v>
      </c>
      <c r="G46" s="30">
        <f t="shared" si="27"/>
        <v>3.7412703691386766E-2</v>
      </c>
      <c r="H46" s="30">
        <f t="shared" si="28"/>
        <v>3.5202719106579267E-2</v>
      </c>
      <c r="I46" s="30">
        <f t="shared" si="29"/>
        <v>2.6164130935915169E-2</v>
      </c>
      <c r="J46" s="30">
        <f t="shared" si="30"/>
        <v>3.821434775056453E-2</v>
      </c>
      <c r="S46" s="92"/>
      <c r="T46" s="92"/>
    </row>
    <row r="47" spans="1:33" x14ac:dyDescent="0.25">
      <c r="A47" s="27" t="s">
        <v>67</v>
      </c>
      <c r="B47" s="30">
        <f t="shared" si="22"/>
        <v>2.8164454516024603E-2</v>
      </c>
      <c r="C47" s="30">
        <f t="shared" si="23"/>
        <v>5.1555176821474223E-2</v>
      </c>
      <c r="D47" s="30">
        <f t="shared" si="24"/>
        <v>1.1630019989096857E-2</v>
      </c>
      <c r="E47" s="30">
        <f t="shared" si="25"/>
        <v>1.4563106796116505E-2</v>
      </c>
      <c r="F47" s="30">
        <f t="shared" si="26"/>
        <v>1.0024057738572574E-2</v>
      </c>
      <c r="G47" s="30">
        <f t="shared" si="27"/>
        <v>1.8124376454938477E-2</v>
      </c>
      <c r="H47" s="30">
        <f t="shared" si="28"/>
        <v>5.9480456421461521E-3</v>
      </c>
      <c r="I47" s="30">
        <f t="shared" si="29"/>
        <v>1.2678653757491932E-3</v>
      </c>
      <c r="J47" s="30">
        <f t="shared" si="30"/>
        <v>9.2582942504776791E-2</v>
      </c>
      <c r="S47" s="92"/>
      <c r="T47" s="92"/>
    </row>
    <row r="48" spans="1:33" x14ac:dyDescent="0.25">
      <c r="A48" s="27" t="s">
        <v>68</v>
      </c>
      <c r="B48" s="30">
        <f t="shared" si="22"/>
        <v>1.618646811265782E-2</v>
      </c>
      <c r="C48" s="30">
        <f t="shared" si="23"/>
        <v>1.2569237324243716E-2</v>
      </c>
      <c r="D48" s="30">
        <f t="shared" si="24"/>
        <v>9.8128293658004719E-3</v>
      </c>
      <c r="E48" s="30">
        <f t="shared" si="25"/>
        <v>1.3980582524271845E-2</v>
      </c>
      <c r="F48" s="30">
        <f t="shared" si="26"/>
        <v>1.5236567762630313E-2</v>
      </c>
      <c r="G48" s="30">
        <f t="shared" si="27"/>
        <v>1.2803458596607914E-2</v>
      </c>
      <c r="H48" s="30">
        <f t="shared" si="28"/>
        <v>3.5688273852876914E-2</v>
      </c>
      <c r="I48" s="30">
        <f t="shared" si="29"/>
        <v>1.7634854771784232E-2</v>
      </c>
      <c r="J48" s="30">
        <f t="shared" si="30"/>
        <v>8.0423831856869896E-2</v>
      </c>
      <c r="S48" s="92"/>
      <c r="T48" s="92"/>
    </row>
    <row r="49" spans="1:20" x14ac:dyDescent="0.25">
      <c r="A49" s="27" t="s">
        <v>69</v>
      </c>
      <c r="B49" s="30">
        <f t="shared" si="22"/>
        <v>3.56102298478472E-3</v>
      </c>
      <c r="C49" s="30">
        <f t="shared" si="23"/>
        <v>1.5125692373242437E-2</v>
      </c>
      <c r="D49" s="30">
        <f t="shared" si="24"/>
        <v>1.1630019989096857E-2</v>
      </c>
      <c r="E49" s="30">
        <f t="shared" si="25"/>
        <v>1.6699029126213592E-2</v>
      </c>
      <c r="F49" s="30">
        <f t="shared" si="26"/>
        <v>1.4033680834001604E-2</v>
      </c>
      <c r="G49" s="30">
        <f t="shared" si="27"/>
        <v>4.9883604921849018E-4</v>
      </c>
      <c r="H49" s="30">
        <f t="shared" si="28"/>
        <v>1.2988589463462005E-2</v>
      </c>
      <c r="I49" s="30">
        <f t="shared" si="29"/>
        <v>7.3766712770862147E-3</v>
      </c>
      <c r="J49" s="30">
        <f t="shared" si="30"/>
        <v>2.831335765155463E-2</v>
      </c>
      <c r="S49" s="92"/>
      <c r="T49" s="92"/>
    </row>
    <row r="50" spans="1:20" ht="23" x14ac:dyDescent="0.25">
      <c r="A50" s="27" t="s">
        <v>70</v>
      </c>
      <c r="B50" s="30" t="s">
        <v>46</v>
      </c>
      <c r="C50" s="30" t="s">
        <v>46</v>
      </c>
      <c r="D50" s="30" t="s">
        <v>46</v>
      </c>
      <c r="E50" s="30">
        <f t="shared" si="25"/>
        <v>2.3883495145631067E-2</v>
      </c>
      <c r="F50" s="30">
        <f t="shared" si="26"/>
        <v>2.9470729751403368E-2</v>
      </c>
      <c r="G50" s="30">
        <f t="shared" si="27"/>
        <v>2.427668772863319E-2</v>
      </c>
      <c r="H50" s="30">
        <f t="shared" si="28"/>
        <v>1.7722748239864045E-2</v>
      </c>
      <c r="I50" s="30">
        <f t="shared" si="29"/>
        <v>1.6828031350852927E-2</v>
      </c>
      <c r="J50" s="30">
        <f t="shared" si="30"/>
        <v>3.4740316136876848E-4</v>
      </c>
      <c r="S50" s="92"/>
      <c r="T50" s="92"/>
    </row>
    <row r="51" spans="1:20" x14ac:dyDescent="0.25">
      <c r="A51" s="26" t="s">
        <v>71</v>
      </c>
      <c r="B51" s="31">
        <f>ABS(B24/$B$6)</f>
        <v>0.15182907089673034</v>
      </c>
      <c r="C51" s="31">
        <f>ABS(C24/$C$6)</f>
        <v>0.13463996591393268</v>
      </c>
      <c r="D51" s="31">
        <f>ABS(D24/$D$6)</f>
        <v>8.6861711793567151E-2</v>
      </c>
      <c r="E51" s="31">
        <f t="shared" si="25"/>
        <v>8.9320388349514557E-2</v>
      </c>
      <c r="F51" s="31">
        <f t="shared" si="26"/>
        <v>6.3552526062550116E-2</v>
      </c>
      <c r="G51" s="31">
        <f t="shared" si="27"/>
        <v>6.5680079813767875E-2</v>
      </c>
      <c r="H51" s="31">
        <f t="shared" si="28"/>
        <v>0.10099538722991017</v>
      </c>
      <c r="I51" s="31">
        <f t="shared" si="29"/>
        <v>0.11456892577224527</v>
      </c>
      <c r="J51" s="31">
        <f t="shared" si="30"/>
        <v>2.8139656070870246E-2</v>
      </c>
      <c r="S51" s="92"/>
      <c r="T51" s="92"/>
    </row>
    <row r="52" spans="1:20" x14ac:dyDescent="0.25">
      <c r="A52" s="27" t="s">
        <v>72</v>
      </c>
      <c r="B52" s="30">
        <f>ABS(B25/$B$6)</f>
        <v>3.3667853674328264E-2</v>
      </c>
      <c r="C52" s="30">
        <f>ABS(C25/$C$6)</f>
        <v>1.7256071580741373E-2</v>
      </c>
      <c r="D52" s="30">
        <f>ABS(D25/$D$6)</f>
        <v>2.3260039978193713E-2</v>
      </c>
      <c r="E52" s="30">
        <f t="shared" si="25"/>
        <v>2.0194174757281552E-2</v>
      </c>
      <c r="F52" s="30">
        <f t="shared" si="26"/>
        <v>2.3255813953488372E-2</v>
      </c>
      <c r="G52" s="30">
        <f t="shared" si="27"/>
        <v>1.6295310941137345E-2</v>
      </c>
      <c r="H52" s="30">
        <f t="shared" si="28"/>
        <v>2.221412964311726E-2</v>
      </c>
      <c r="I52" s="30">
        <f t="shared" si="29"/>
        <v>2.2130013831258646E-2</v>
      </c>
      <c r="J52" s="30">
        <f t="shared" si="30"/>
        <v>3.3003300330033004E-3</v>
      </c>
      <c r="S52" s="92"/>
      <c r="T52" s="92"/>
    </row>
    <row r="53" spans="1:20" x14ac:dyDescent="0.25">
      <c r="A53" s="26" t="s">
        <v>73</v>
      </c>
      <c r="B53" s="31">
        <f>ABS(B26/$B$6)</f>
        <v>0.11816121722240207</v>
      </c>
      <c r="C53" s="31">
        <f>ABS(C26/$C$6)</f>
        <v>0.11738389433319131</v>
      </c>
      <c r="D53" s="31">
        <f>ABS(D26/$D$6)</f>
        <v>6.3601671815373434E-2</v>
      </c>
      <c r="E53" s="31">
        <f t="shared" si="25"/>
        <v>6.9126213592233005E-2</v>
      </c>
      <c r="F53" s="31">
        <f t="shared" si="26"/>
        <v>4.0296712109061751E-2</v>
      </c>
      <c r="G53" s="31">
        <f t="shared" si="27"/>
        <v>4.9384768872630526E-2</v>
      </c>
      <c r="H53" s="31">
        <f t="shared" si="28"/>
        <v>7.8781257586792913E-2</v>
      </c>
      <c r="I53" s="31">
        <f t="shared" si="29"/>
        <v>9.2438911940986634E-2</v>
      </c>
      <c r="J53" s="31">
        <f t="shared" si="30"/>
        <v>3.1439986103873545E-2</v>
      </c>
      <c r="S53" s="92"/>
    </row>
    <row r="54" spans="1:20" x14ac:dyDescent="0.25">
      <c r="N54" s="92"/>
    </row>
    <row r="55" spans="1:20" x14ac:dyDescent="0.25">
      <c r="N55" s="92"/>
    </row>
    <row r="56" spans="1:20" x14ac:dyDescent="0.25">
      <c r="N56" s="92"/>
    </row>
    <row r="57" spans="1:20" x14ac:dyDescent="0.25">
      <c r="N57" s="92"/>
    </row>
    <row r="58" spans="1:20" x14ac:dyDescent="0.25">
      <c r="N58" s="92"/>
    </row>
    <row r="63" spans="1:20" ht="14.5" x14ac:dyDescent="0.35">
      <c r="F63"/>
      <c r="G63"/>
    </row>
    <row r="64" spans="1:20" ht="14.5" x14ac:dyDescent="0.35">
      <c r="A64"/>
      <c r="F64"/>
      <c r="G64"/>
    </row>
    <row r="65" spans="1:8" x14ac:dyDescent="0.25">
      <c r="A65" s="74" t="s">
        <v>0</v>
      </c>
      <c r="B65" s="74">
        <v>2017</v>
      </c>
      <c r="C65" s="74">
        <v>2018</v>
      </c>
      <c r="D65" s="74">
        <v>2019</v>
      </c>
      <c r="E65" s="74">
        <v>2020</v>
      </c>
      <c r="F65" s="75">
        <v>2018</v>
      </c>
      <c r="G65" s="75">
        <v>2019</v>
      </c>
      <c r="H65" s="76">
        <v>2020</v>
      </c>
    </row>
    <row r="66" spans="1:8" ht="23" x14ac:dyDescent="0.25">
      <c r="A66" s="77" t="s">
        <v>79</v>
      </c>
      <c r="B66" s="78">
        <v>5877000000</v>
      </c>
      <c r="C66" s="78">
        <v>8076000000</v>
      </c>
      <c r="D66" s="78">
        <v>8490000000</v>
      </c>
      <c r="E66" s="78">
        <v>5628000000</v>
      </c>
      <c r="F66" s="79">
        <v>0.37417049515058709</v>
      </c>
      <c r="G66" s="79">
        <v>5.1263001485884141E-2</v>
      </c>
      <c r="H66" s="80">
        <v>-0.33710247349823319</v>
      </c>
    </row>
    <row r="67" spans="1:8" x14ac:dyDescent="0.25">
      <c r="A67" s="77" t="s">
        <v>51</v>
      </c>
      <c r="B67" s="81">
        <v>77000000</v>
      </c>
      <c r="C67" s="81">
        <v>80000000</v>
      </c>
      <c r="D67" s="81">
        <v>86000000</v>
      </c>
      <c r="E67" s="81">
        <v>77000000</v>
      </c>
      <c r="F67" s="79">
        <v>3.8961038961038863E-2</v>
      </c>
      <c r="G67" s="79">
        <v>7.4999999999999956E-2</v>
      </c>
      <c r="H67" s="80">
        <v>-0.10465116279069764</v>
      </c>
    </row>
    <row r="68" spans="1:8" ht="23" x14ac:dyDescent="0.25">
      <c r="A68" s="77" t="s">
        <v>52</v>
      </c>
      <c r="B68" s="81">
        <v>60000000</v>
      </c>
      <c r="C68" s="81">
        <v>82000000</v>
      </c>
      <c r="D68" s="81">
        <v>100000000</v>
      </c>
      <c r="E68" s="81">
        <v>52000000</v>
      </c>
      <c r="F68" s="79">
        <v>0.3666666666666667</v>
      </c>
      <c r="G68" s="79">
        <v>0.21951219512195119</v>
      </c>
      <c r="H68" s="80">
        <v>-0.48</v>
      </c>
    </row>
    <row r="69" spans="1:8" ht="23" x14ac:dyDescent="0.25">
      <c r="A69" s="82" t="s">
        <v>53</v>
      </c>
      <c r="B69" s="83">
        <v>6014000000</v>
      </c>
      <c r="C69" s="83">
        <v>8238000000</v>
      </c>
      <c r="D69" s="83">
        <v>8676000000</v>
      </c>
      <c r="E69" s="83">
        <v>5757000000</v>
      </c>
      <c r="F69" s="84">
        <v>0.36980379115397399</v>
      </c>
      <c r="G69" s="84">
        <v>5.3168244719592028E-2</v>
      </c>
      <c r="H69" s="85">
        <v>-0.33644536652835411</v>
      </c>
    </row>
    <row r="70" spans="1:8" x14ac:dyDescent="0.25">
      <c r="A70" s="156" t="s">
        <v>54</v>
      </c>
      <c r="B70" s="157"/>
      <c r="C70" s="157"/>
      <c r="D70" s="157"/>
      <c r="E70" s="158"/>
      <c r="F70" s="79"/>
      <c r="G70" s="79"/>
      <c r="H70" s="80"/>
    </row>
    <row r="71" spans="1:8" x14ac:dyDescent="0.25">
      <c r="A71" s="77" t="s">
        <v>55</v>
      </c>
      <c r="B71" s="81">
        <v>-607000000</v>
      </c>
      <c r="C71" s="81">
        <v>-642000000</v>
      </c>
      <c r="D71" s="81">
        <v>-715000000</v>
      </c>
      <c r="E71" s="81">
        <v>-767000000</v>
      </c>
      <c r="F71" s="79">
        <v>5.7660626029653939E-2</v>
      </c>
      <c r="G71" s="79">
        <v>0.11370716510903423</v>
      </c>
      <c r="H71" s="80">
        <v>7.2727272727272751E-2</v>
      </c>
    </row>
    <row r="72" spans="1:8" ht="23" x14ac:dyDescent="0.25">
      <c r="A72" s="77" t="s">
        <v>56</v>
      </c>
      <c r="B72" s="81">
        <v>-837000000</v>
      </c>
      <c r="C72" s="81">
        <v>-1099000000</v>
      </c>
      <c r="D72" s="81">
        <v>-1566000000</v>
      </c>
      <c r="E72" s="81">
        <v>-691000000</v>
      </c>
      <c r="F72" s="79">
        <v>0.31302270011947431</v>
      </c>
      <c r="G72" s="79">
        <v>0.42493175614194723</v>
      </c>
      <c r="H72" s="80">
        <v>-0.55874840357598976</v>
      </c>
    </row>
    <row r="73" spans="1:8" ht="23" x14ac:dyDescent="0.25">
      <c r="A73" s="77" t="s">
        <v>57</v>
      </c>
      <c r="B73" s="81">
        <v>-172000000</v>
      </c>
      <c r="C73" s="81">
        <v>-167000000</v>
      </c>
      <c r="D73" s="81">
        <v>-200000000</v>
      </c>
      <c r="E73" s="81">
        <v>-127000000</v>
      </c>
      <c r="F73" s="79">
        <v>-2.9069767441860517E-2</v>
      </c>
      <c r="G73" s="79">
        <v>0.19760479041916157</v>
      </c>
      <c r="H73" s="80">
        <v>-0.36499999999999999</v>
      </c>
    </row>
    <row r="74" spans="1:8" ht="23" x14ac:dyDescent="0.25">
      <c r="A74" s="77" t="s">
        <v>58</v>
      </c>
      <c r="B74" s="81">
        <v>-596000000</v>
      </c>
      <c r="C74" s="81">
        <v>-638000000</v>
      </c>
      <c r="D74" s="81">
        <v>-733000000</v>
      </c>
      <c r="E74" s="81">
        <v>-661000000</v>
      </c>
      <c r="F74" s="79">
        <v>7.0469798657718075E-2</v>
      </c>
      <c r="G74" s="79">
        <v>0.14890282131661436</v>
      </c>
      <c r="H74" s="80">
        <v>-9.8226466575716209E-2</v>
      </c>
    </row>
    <row r="75" spans="1:8" ht="23" x14ac:dyDescent="0.25">
      <c r="A75" s="77" t="s">
        <v>59</v>
      </c>
      <c r="B75" s="81">
        <v>-15000000</v>
      </c>
      <c r="C75" s="81">
        <v>-11000000</v>
      </c>
      <c r="D75" s="81">
        <v>-11000000</v>
      </c>
      <c r="E75" s="81">
        <v>-15000000</v>
      </c>
      <c r="F75" s="79">
        <v>-0.26666666666666672</v>
      </c>
      <c r="G75" s="79">
        <v>0</v>
      </c>
      <c r="H75" s="80">
        <v>0.36363636363636354</v>
      </c>
    </row>
    <row r="76" spans="1:8" x14ac:dyDescent="0.25">
      <c r="A76" s="77" t="s">
        <v>60</v>
      </c>
      <c r="B76" s="81">
        <v>-586000000</v>
      </c>
      <c r="C76" s="81">
        <v>-635000000</v>
      </c>
      <c r="D76" s="81">
        <v>-687000000</v>
      </c>
      <c r="E76" s="81">
        <v>-663000000</v>
      </c>
      <c r="F76" s="79">
        <v>8.361774744027306E-2</v>
      </c>
      <c r="G76" s="79">
        <v>8.1889763779527502E-2</v>
      </c>
      <c r="H76" s="80">
        <v>-3.4934497816593857E-2</v>
      </c>
    </row>
    <row r="77" spans="1:8" x14ac:dyDescent="0.25">
      <c r="A77" s="77" t="s">
        <v>61</v>
      </c>
      <c r="B77" s="81">
        <v>-1919000000</v>
      </c>
      <c r="C77" s="81">
        <v>-2701000000</v>
      </c>
      <c r="D77" s="81">
        <v>-2666000000</v>
      </c>
      <c r="E77" s="81">
        <v>-2121000000</v>
      </c>
      <c r="F77" s="79">
        <v>0.40750390828556537</v>
      </c>
      <c r="G77" s="79">
        <v>-1.29581636430951E-2</v>
      </c>
      <c r="H77" s="80">
        <v>-0.20442610652663162</v>
      </c>
    </row>
    <row r="78" spans="1:8" x14ac:dyDescent="0.25">
      <c r="A78" s="86" t="s">
        <v>62</v>
      </c>
      <c r="B78" s="78">
        <v>-658000000</v>
      </c>
      <c r="C78" s="78">
        <v>-1061000000</v>
      </c>
      <c r="D78" s="78">
        <v>-793000000</v>
      </c>
      <c r="E78" s="78">
        <v>-334000000</v>
      </c>
      <c r="F78" s="79">
        <v>0.61246200607902734</v>
      </c>
      <c r="G78" s="79">
        <v>-0.25259189443920826</v>
      </c>
      <c r="H78" s="80">
        <v>-0.57881462799495587</v>
      </c>
    </row>
    <row r="79" spans="1:8" x14ac:dyDescent="0.25">
      <c r="A79" s="87" t="s">
        <v>63</v>
      </c>
      <c r="B79" s="88">
        <v>-5390000000</v>
      </c>
      <c r="C79" s="88">
        <v>-6954000000</v>
      </c>
      <c r="D79" s="88">
        <v>-7371000000</v>
      </c>
      <c r="E79" s="88">
        <v>-5379000000</v>
      </c>
      <c r="F79" s="84">
        <v>0.2901669758812615</v>
      </c>
      <c r="G79" s="84">
        <v>5.9965487489214819E-2</v>
      </c>
      <c r="H79" s="85">
        <v>-0.27024827024827025</v>
      </c>
    </row>
    <row r="80" spans="1:8" x14ac:dyDescent="0.25">
      <c r="A80" s="89" t="s">
        <v>64</v>
      </c>
      <c r="B80" s="90">
        <v>624000000</v>
      </c>
      <c r="C80" s="90">
        <v>1284000000</v>
      </c>
      <c r="D80" s="90">
        <v>1305000000</v>
      </c>
      <c r="E80" s="90">
        <v>378000000</v>
      </c>
      <c r="F80" s="84">
        <v>1.0576923076923075</v>
      </c>
      <c r="G80" s="84">
        <v>1.6355140186915973E-2</v>
      </c>
      <c r="H80" s="85">
        <v>-0.71034482758620687</v>
      </c>
    </row>
    <row r="81" spans="1:8" x14ac:dyDescent="0.25">
      <c r="A81" s="77" t="s">
        <v>65</v>
      </c>
      <c r="B81" s="81">
        <v>107000000</v>
      </c>
      <c r="C81" s="81">
        <v>122000000</v>
      </c>
      <c r="D81" s="81">
        <v>143000000</v>
      </c>
      <c r="E81" s="81">
        <v>95000000</v>
      </c>
      <c r="F81" s="79">
        <v>0.14018691588785037</v>
      </c>
      <c r="G81" s="79">
        <v>0.17213114754098369</v>
      </c>
      <c r="H81" s="80">
        <v>-0.33566433566433562</v>
      </c>
    </row>
    <row r="82" spans="1:8" x14ac:dyDescent="0.25">
      <c r="A82" s="77" t="s">
        <v>66</v>
      </c>
      <c r="B82" s="81">
        <v>-225000000</v>
      </c>
      <c r="C82" s="81">
        <v>-290000000</v>
      </c>
      <c r="D82" s="81">
        <v>-227000000</v>
      </c>
      <c r="E82" s="81">
        <v>-220000000</v>
      </c>
      <c r="F82" s="79">
        <v>0.28888888888888897</v>
      </c>
      <c r="G82" s="79">
        <v>-0.21724137931034482</v>
      </c>
      <c r="H82" s="80">
        <v>-3.0837004405286361E-2</v>
      </c>
    </row>
    <row r="83" spans="1:8" x14ac:dyDescent="0.25">
      <c r="A83" s="77" t="s">
        <v>67</v>
      </c>
      <c r="B83" s="81">
        <v>109000000</v>
      </c>
      <c r="C83" s="81">
        <v>49000000</v>
      </c>
      <c r="D83" s="81">
        <v>11000000</v>
      </c>
      <c r="E83" s="81">
        <v>533000000</v>
      </c>
      <c r="F83" s="79">
        <v>-0.55045871559633031</v>
      </c>
      <c r="G83" s="79">
        <v>-0.77551020408163263</v>
      </c>
      <c r="H83" s="80">
        <v>47.454545454545453</v>
      </c>
    </row>
    <row r="84" spans="1:8" x14ac:dyDescent="0.25">
      <c r="A84" s="77" t="s">
        <v>68</v>
      </c>
      <c r="B84" s="81">
        <v>-77000000</v>
      </c>
      <c r="C84" s="81">
        <v>-294000000</v>
      </c>
      <c r="D84" s="81">
        <v>-153000000</v>
      </c>
      <c r="E84" s="81">
        <v>-463000000</v>
      </c>
      <c r="F84" s="79">
        <v>2.8181818181818183</v>
      </c>
      <c r="G84" s="79">
        <v>-0.47959183673469385</v>
      </c>
      <c r="H84" s="80">
        <v>2.0261437908496731</v>
      </c>
    </row>
    <row r="85" spans="1:8" x14ac:dyDescent="0.25">
      <c r="A85" s="77" t="s">
        <v>69</v>
      </c>
      <c r="B85" s="81">
        <v>3000000</v>
      </c>
      <c r="C85" s="81">
        <v>107000000</v>
      </c>
      <c r="D85" s="81">
        <v>64000000</v>
      </c>
      <c r="E85" s="81">
        <v>-163000000</v>
      </c>
      <c r="F85" s="79">
        <v>34.666666666666664</v>
      </c>
      <c r="G85" s="79">
        <v>-0.40186915887850472</v>
      </c>
      <c r="H85" s="80">
        <v>-3.546875</v>
      </c>
    </row>
    <row r="86" spans="1:8" ht="23" x14ac:dyDescent="0.25">
      <c r="A86" s="77" t="s">
        <v>70</v>
      </c>
      <c r="B86" s="81">
        <v>-146000000</v>
      </c>
      <c r="C86" s="81">
        <v>-146000000</v>
      </c>
      <c r="D86" s="81">
        <v>-146000000</v>
      </c>
      <c r="E86" s="81">
        <v>2000000</v>
      </c>
      <c r="F86" s="79">
        <v>0</v>
      </c>
      <c r="G86" s="79">
        <v>0</v>
      </c>
      <c r="H86" s="80">
        <v>-1.0136986301369864</v>
      </c>
    </row>
    <row r="87" spans="1:8" x14ac:dyDescent="0.25">
      <c r="A87" s="82" t="s">
        <v>71</v>
      </c>
      <c r="B87" s="83">
        <v>395000000</v>
      </c>
      <c r="C87" s="83">
        <v>832000000</v>
      </c>
      <c r="D87" s="83">
        <v>994000000</v>
      </c>
      <c r="E87" s="83">
        <v>162000000</v>
      </c>
      <c r="F87" s="84">
        <v>1.1063291139240508</v>
      </c>
      <c r="G87" s="84">
        <v>0.19471153846153855</v>
      </c>
      <c r="H87" s="85">
        <v>-0.83702213279678062</v>
      </c>
    </row>
    <row r="88" spans="1:8" x14ac:dyDescent="0.25">
      <c r="A88" s="77" t="s">
        <v>72</v>
      </c>
      <c r="B88" s="81">
        <v>-98000000</v>
      </c>
      <c r="C88" s="81">
        <v>-183000000</v>
      </c>
      <c r="D88" s="81">
        <v>-192000000</v>
      </c>
      <c r="E88" s="81">
        <v>19000000</v>
      </c>
      <c r="F88" s="79">
        <v>0.86734693877551017</v>
      </c>
      <c r="G88" s="79">
        <v>4.9180327868852514E-2</v>
      </c>
      <c r="H88" s="80">
        <v>-1.0989583333333333</v>
      </c>
    </row>
    <row r="89" spans="1:8" x14ac:dyDescent="0.25">
      <c r="A89" s="82" t="s">
        <v>73</v>
      </c>
      <c r="B89" s="83">
        <v>297000000</v>
      </c>
      <c r="C89" s="83">
        <v>649000000</v>
      </c>
      <c r="D89" s="83">
        <v>802000000</v>
      </c>
      <c r="E89" s="83">
        <v>181000000</v>
      </c>
      <c r="F89" s="84">
        <v>1.1851851851851851</v>
      </c>
      <c r="G89" s="84">
        <v>0.23574730354391371</v>
      </c>
      <c r="H89" s="85">
        <v>-0.77431421446384041</v>
      </c>
    </row>
    <row r="102" spans="1:10" x14ac:dyDescent="0.25">
      <c r="A102" s="23"/>
      <c r="B102" s="159">
        <v>2018</v>
      </c>
      <c r="C102" s="159"/>
      <c r="D102" s="159">
        <v>2019</v>
      </c>
      <c r="E102" s="159"/>
      <c r="F102" s="159">
        <v>2020</v>
      </c>
      <c r="G102" s="159"/>
    </row>
    <row r="103" spans="1:10" ht="14.5" x14ac:dyDescent="0.35">
      <c r="A103" s="20" t="s">
        <v>0</v>
      </c>
      <c r="B103" s="91" t="s">
        <v>277</v>
      </c>
      <c r="C103" s="91" t="s">
        <v>278</v>
      </c>
      <c r="D103" s="91" t="s">
        <v>277</v>
      </c>
      <c r="E103" s="91" t="s">
        <v>278</v>
      </c>
      <c r="F103" s="91" t="s">
        <v>277</v>
      </c>
      <c r="G103" s="91" t="s">
        <v>278</v>
      </c>
      <c r="H103"/>
      <c r="I103"/>
      <c r="J103"/>
    </row>
    <row r="104" spans="1:10" ht="23" x14ac:dyDescent="0.35">
      <c r="A104" s="27" t="s">
        <v>79</v>
      </c>
      <c r="B104" s="79">
        <f>H30</f>
        <v>0.98033503277494538</v>
      </c>
      <c r="C104" s="79">
        <f>R3</f>
        <v>0.37417049515058709</v>
      </c>
      <c r="D104" s="79">
        <f>I30</f>
        <v>0.97856154910096815</v>
      </c>
      <c r="E104" s="79">
        <f>S3</f>
        <v>5.1263001485884141E-2</v>
      </c>
      <c r="F104" s="79">
        <f>J30</f>
        <v>0.97759249609171439</v>
      </c>
      <c r="G104" s="79">
        <f>T3</f>
        <v>-0.33710247349823319</v>
      </c>
      <c r="H104"/>
      <c r="I104"/>
      <c r="J104"/>
    </row>
    <row r="105" spans="1:10" ht="14.5" x14ac:dyDescent="0.35">
      <c r="A105" s="27" t="s">
        <v>51</v>
      </c>
      <c r="B105" s="79">
        <f t="shared" ref="B105:B127" si="31">H31</f>
        <v>9.7110949259529011E-3</v>
      </c>
      <c r="C105" s="79">
        <f t="shared" ref="C105:C127" si="32">R4</f>
        <v>3.8961038961038863E-2</v>
      </c>
      <c r="D105" s="79">
        <f t="shared" ref="D105:D127" si="33">I31</f>
        <v>9.9124020285846007E-3</v>
      </c>
      <c r="E105" s="79">
        <f t="shared" ref="E105:E127" si="34">S4</f>
        <v>7.4999999999999956E-2</v>
      </c>
      <c r="F105" s="79">
        <f t="shared" ref="F105:F127" si="35">J31</f>
        <v>1.3375021712697586E-2</v>
      </c>
      <c r="G105" s="79">
        <f t="shared" ref="G105:G127" si="36">T4</f>
        <v>-0.10465116279069764</v>
      </c>
      <c r="H105"/>
      <c r="I105"/>
      <c r="J105"/>
    </row>
    <row r="106" spans="1:10" ht="23" x14ac:dyDescent="0.35">
      <c r="A106" s="27" t="s">
        <v>52</v>
      </c>
      <c r="B106" s="79">
        <f t="shared" si="31"/>
        <v>9.9538722991017233E-3</v>
      </c>
      <c r="C106" s="79">
        <f t="shared" si="32"/>
        <v>0.3666666666666667</v>
      </c>
      <c r="D106" s="79">
        <f t="shared" si="33"/>
        <v>1.1526048870447211E-2</v>
      </c>
      <c r="E106" s="79">
        <f t="shared" si="34"/>
        <v>0.21951219512195119</v>
      </c>
      <c r="F106" s="79">
        <f t="shared" si="35"/>
        <v>9.0324821955879795E-3</v>
      </c>
      <c r="G106" s="79">
        <f t="shared" si="36"/>
        <v>-0.48</v>
      </c>
      <c r="H106"/>
      <c r="I106"/>
      <c r="J106"/>
    </row>
    <row r="107" spans="1:10" ht="23" x14ac:dyDescent="0.35">
      <c r="A107" s="26" t="s">
        <v>53</v>
      </c>
      <c r="B107" s="84">
        <f t="shared" si="31"/>
        <v>1</v>
      </c>
      <c r="C107" s="84">
        <f t="shared" si="32"/>
        <v>0.36980379115397399</v>
      </c>
      <c r="D107" s="84">
        <f t="shared" si="33"/>
        <v>1</v>
      </c>
      <c r="E107" s="84">
        <f t="shared" si="34"/>
        <v>5.3168244719592028E-2</v>
      </c>
      <c r="F107" s="84">
        <f t="shared" si="35"/>
        <v>1</v>
      </c>
      <c r="G107" s="84">
        <f t="shared" si="36"/>
        <v>-0.33644536652835411</v>
      </c>
      <c r="H107"/>
      <c r="I107"/>
      <c r="J107"/>
    </row>
    <row r="108" spans="1:10" ht="14.5" x14ac:dyDescent="0.35">
      <c r="A108" s="153" t="s">
        <v>54</v>
      </c>
      <c r="B108" s="154"/>
      <c r="C108" s="154"/>
      <c r="D108" s="154"/>
      <c r="E108" s="154"/>
      <c r="F108" s="154"/>
      <c r="G108" s="155"/>
      <c r="H108"/>
      <c r="I108"/>
      <c r="J108"/>
    </row>
    <row r="109" spans="1:10" ht="14.5" x14ac:dyDescent="0.35">
      <c r="A109" s="27" t="s">
        <v>55</v>
      </c>
      <c r="B109" s="79">
        <f t="shared" si="31"/>
        <v>7.7931536780772026E-2</v>
      </c>
      <c r="C109" s="79">
        <f t="shared" si="32"/>
        <v>5.7660626029653939E-2</v>
      </c>
      <c r="D109" s="79">
        <f t="shared" si="33"/>
        <v>8.2411249423697555E-2</v>
      </c>
      <c r="E109" s="79">
        <f t="shared" si="34"/>
        <v>0.11370716510903423</v>
      </c>
      <c r="F109" s="79">
        <f t="shared" si="35"/>
        <v>0.13322911238492272</v>
      </c>
      <c r="G109" s="79">
        <f t="shared" si="36"/>
        <v>7.2727272727272751E-2</v>
      </c>
      <c r="H109"/>
      <c r="I109"/>
      <c r="J109"/>
    </row>
    <row r="110" spans="1:10" ht="23" x14ac:dyDescent="0.35">
      <c r="A110" s="27" t="s">
        <v>56</v>
      </c>
      <c r="B110" s="79">
        <f t="shared" si="31"/>
        <v>0.13340616654527798</v>
      </c>
      <c r="C110" s="79">
        <f t="shared" si="32"/>
        <v>0.31302270011947431</v>
      </c>
      <c r="D110" s="79">
        <f t="shared" si="33"/>
        <v>0.18049792531120332</v>
      </c>
      <c r="E110" s="79">
        <f t="shared" si="34"/>
        <v>0.42493175614194723</v>
      </c>
      <c r="F110" s="79">
        <f t="shared" si="35"/>
        <v>0.12002779225290951</v>
      </c>
      <c r="G110" s="79">
        <f t="shared" si="36"/>
        <v>-0.55874840357598976</v>
      </c>
      <c r="H110"/>
      <c r="I110"/>
      <c r="J110"/>
    </row>
    <row r="111" spans="1:10" ht="18" customHeight="1" x14ac:dyDescent="0.35">
      <c r="A111" s="27" t="s">
        <v>57</v>
      </c>
      <c r="B111" s="79">
        <f t="shared" si="31"/>
        <v>2.0271910657926683E-2</v>
      </c>
      <c r="C111" s="79">
        <f t="shared" si="32"/>
        <v>-2.9069767441860517E-2</v>
      </c>
      <c r="D111" s="79">
        <f t="shared" si="33"/>
        <v>2.3052097740894423E-2</v>
      </c>
      <c r="E111" s="79">
        <f t="shared" si="34"/>
        <v>0.19760479041916157</v>
      </c>
      <c r="F111" s="79">
        <f t="shared" si="35"/>
        <v>2.2060100746916798E-2</v>
      </c>
      <c r="G111" s="79">
        <f t="shared" si="36"/>
        <v>-0.36499999999999999</v>
      </c>
      <c r="H111"/>
      <c r="I111"/>
      <c r="J111"/>
    </row>
    <row r="112" spans="1:10" ht="23" x14ac:dyDescent="0.35">
      <c r="A112" s="27" t="s">
        <v>58</v>
      </c>
      <c r="B112" s="79">
        <f t="shared" si="31"/>
        <v>7.7445982034474392E-2</v>
      </c>
      <c r="C112" s="79">
        <f t="shared" si="32"/>
        <v>7.0469798657718075E-2</v>
      </c>
      <c r="D112" s="79">
        <f t="shared" si="33"/>
        <v>8.448593822037806E-2</v>
      </c>
      <c r="E112" s="79">
        <f t="shared" si="34"/>
        <v>0.14890282131661436</v>
      </c>
      <c r="F112" s="79">
        <f t="shared" si="35"/>
        <v>0.11481674483237797</v>
      </c>
      <c r="G112" s="79">
        <f t="shared" si="36"/>
        <v>-9.8226466575716209E-2</v>
      </c>
      <c r="H112"/>
      <c r="I112"/>
      <c r="J112"/>
    </row>
    <row r="113" spans="1:10" ht="23" x14ac:dyDescent="0.35">
      <c r="A113" s="27" t="s">
        <v>59</v>
      </c>
      <c r="B113" s="79">
        <f t="shared" si="31"/>
        <v>1.3352755523185239E-3</v>
      </c>
      <c r="C113" s="79">
        <f t="shared" si="32"/>
        <v>-0.26666666666666672</v>
      </c>
      <c r="D113" s="79">
        <f t="shared" si="33"/>
        <v>1.2678653757491932E-3</v>
      </c>
      <c r="E113" s="79">
        <f t="shared" si="34"/>
        <v>0</v>
      </c>
      <c r="F113" s="79">
        <f t="shared" si="35"/>
        <v>2.6055237102657635E-3</v>
      </c>
      <c r="G113" s="79">
        <f t="shared" si="36"/>
        <v>0.36363636363636354</v>
      </c>
      <c r="H113"/>
      <c r="I113"/>
      <c r="J113"/>
    </row>
    <row r="114" spans="1:10" ht="14.5" x14ac:dyDescent="0.35">
      <c r="A114" s="27" t="s">
        <v>60</v>
      </c>
      <c r="B114" s="79">
        <f t="shared" si="31"/>
        <v>7.7081815974751153E-2</v>
      </c>
      <c r="C114" s="79">
        <f t="shared" si="32"/>
        <v>8.361774744027306E-2</v>
      </c>
      <c r="D114" s="79">
        <f t="shared" si="33"/>
        <v>7.9183955739972334E-2</v>
      </c>
      <c r="E114" s="79">
        <f t="shared" si="34"/>
        <v>8.1889763779527502E-2</v>
      </c>
      <c r="F114" s="79">
        <f t="shared" si="35"/>
        <v>0.11516414799374675</v>
      </c>
      <c r="G114" s="79">
        <f t="shared" si="36"/>
        <v>-3.4934497816593857E-2</v>
      </c>
      <c r="H114"/>
      <c r="I114"/>
      <c r="J114"/>
    </row>
    <row r="115" spans="1:10" ht="14.5" x14ac:dyDescent="0.35">
      <c r="A115" s="27" t="s">
        <v>61</v>
      </c>
      <c r="B115" s="79">
        <f t="shared" si="31"/>
        <v>0.32787084243748482</v>
      </c>
      <c r="C115" s="79">
        <f t="shared" si="32"/>
        <v>0.40750390828556537</v>
      </c>
      <c r="D115" s="79">
        <f t="shared" si="33"/>
        <v>0.30728446288612266</v>
      </c>
      <c r="E115" s="79">
        <f t="shared" si="34"/>
        <v>-1.29581636430951E-2</v>
      </c>
      <c r="F115" s="79">
        <f t="shared" si="35"/>
        <v>0.36842105263157893</v>
      </c>
      <c r="G115" s="79">
        <f t="shared" si="36"/>
        <v>-0.20442610652663162</v>
      </c>
      <c r="H115"/>
      <c r="I115"/>
      <c r="J115"/>
    </row>
    <row r="116" spans="1:10" ht="14.5" x14ac:dyDescent="0.35">
      <c r="A116" s="27" t="s">
        <v>62</v>
      </c>
      <c r="B116" s="79">
        <f t="shared" si="31"/>
        <v>0.12879339645545035</v>
      </c>
      <c r="C116" s="79">
        <f t="shared" si="32"/>
        <v>0.61246200607902734</v>
      </c>
      <c r="D116" s="79">
        <f t="shared" si="33"/>
        <v>9.1401567542646375E-2</v>
      </c>
      <c r="E116" s="79">
        <f t="shared" si="34"/>
        <v>-0.25259189443920826</v>
      </c>
      <c r="F116" s="79">
        <f t="shared" si="35"/>
        <v>5.8016327948584336E-2</v>
      </c>
      <c r="G116" s="79">
        <f t="shared" si="36"/>
        <v>-0.57881462799495587</v>
      </c>
      <c r="H116"/>
      <c r="I116"/>
      <c r="J116"/>
    </row>
    <row r="117" spans="1:10" ht="14.5" x14ac:dyDescent="0.35">
      <c r="A117" s="21" t="s">
        <v>63</v>
      </c>
      <c r="B117" s="84">
        <f t="shared" si="31"/>
        <v>0.84413692643845595</v>
      </c>
      <c r="C117" s="84">
        <f t="shared" si="32"/>
        <v>0.2901669758812615</v>
      </c>
      <c r="D117" s="84">
        <f t="shared" si="33"/>
        <v>0.84958506224066388</v>
      </c>
      <c r="E117" s="84">
        <f t="shared" si="34"/>
        <v>5.9965487489214819E-2</v>
      </c>
      <c r="F117" s="84">
        <f t="shared" si="35"/>
        <v>0.9343408025013028</v>
      </c>
      <c r="G117" s="84">
        <f t="shared" si="36"/>
        <v>-0.27024827024827025</v>
      </c>
      <c r="H117"/>
      <c r="I117"/>
      <c r="J117"/>
    </row>
    <row r="118" spans="1:10" ht="14.5" x14ac:dyDescent="0.35">
      <c r="A118" s="26" t="s">
        <v>64</v>
      </c>
      <c r="B118" s="84">
        <f t="shared" si="31"/>
        <v>0.15586307356154405</v>
      </c>
      <c r="C118" s="84">
        <f t="shared" si="32"/>
        <v>1.0576923076923075</v>
      </c>
      <c r="D118" s="84">
        <f t="shared" si="33"/>
        <v>0.15041493775933609</v>
      </c>
      <c r="E118" s="84">
        <f t="shared" si="34"/>
        <v>1.6355140186915973E-2</v>
      </c>
      <c r="F118" s="84">
        <f t="shared" si="35"/>
        <v>6.5659197498697239E-2</v>
      </c>
      <c r="G118" s="84">
        <f t="shared" si="36"/>
        <v>-0.71034482758620687</v>
      </c>
      <c r="H118"/>
      <c r="I118"/>
      <c r="J118"/>
    </row>
    <row r="119" spans="1:10" ht="14.5" x14ac:dyDescent="0.35">
      <c r="A119" s="27" t="s">
        <v>65</v>
      </c>
      <c r="B119" s="79">
        <f t="shared" si="31"/>
        <v>1.4809419762078174E-2</v>
      </c>
      <c r="C119" s="79">
        <f t="shared" si="32"/>
        <v>0.14018691588785037</v>
      </c>
      <c r="D119" s="79">
        <f t="shared" si="33"/>
        <v>1.6482249884739512E-2</v>
      </c>
      <c r="E119" s="79">
        <f t="shared" si="34"/>
        <v>0.17213114754098369</v>
      </c>
      <c r="F119" s="79">
        <f t="shared" si="35"/>
        <v>1.65016501650165E-2</v>
      </c>
      <c r="G119" s="79">
        <f t="shared" si="36"/>
        <v>-0.33566433566433562</v>
      </c>
      <c r="H119"/>
      <c r="I119"/>
      <c r="J119"/>
    </row>
    <row r="120" spans="1:10" ht="14.5" x14ac:dyDescent="0.35">
      <c r="A120" s="27" t="s">
        <v>66</v>
      </c>
      <c r="B120" s="79">
        <f t="shared" si="31"/>
        <v>3.5202719106579267E-2</v>
      </c>
      <c r="C120" s="79">
        <f t="shared" si="32"/>
        <v>0.28888888888888897</v>
      </c>
      <c r="D120" s="79">
        <f t="shared" si="33"/>
        <v>2.6164130935915169E-2</v>
      </c>
      <c r="E120" s="79">
        <f t="shared" si="34"/>
        <v>-0.21724137931034482</v>
      </c>
      <c r="F120" s="79">
        <f t="shared" si="35"/>
        <v>3.821434775056453E-2</v>
      </c>
      <c r="G120" s="79">
        <f t="shared" si="36"/>
        <v>-3.0837004405286361E-2</v>
      </c>
      <c r="H120"/>
      <c r="I120"/>
      <c r="J120"/>
    </row>
    <row r="121" spans="1:10" ht="14.5" x14ac:dyDescent="0.35">
      <c r="A121" s="27" t="s">
        <v>67</v>
      </c>
      <c r="B121" s="79">
        <f t="shared" si="31"/>
        <v>5.9480456421461521E-3</v>
      </c>
      <c r="C121" s="79">
        <f t="shared" si="32"/>
        <v>-0.55045871559633031</v>
      </c>
      <c r="D121" s="79">
        <f t="shared" si="33"/>
        <v>1.2678653757491932E-3</v>
      </c>
      <c r="E121" s="79">
        <f t="shared" si="34"/>
        <v>-0.77551020408163263</v>
      </c>
      <c r="F121" s="79">
        <f t="shared" si="35"/>
        <v>9.2582942504776791E-2</v>
      </c>
      <c r="G121" s="79">
        <f t="shared" si="36"/>
        <v>47.454545454545453</v>
      </c>
      <c r="H121"/>
      <c r="I121"/>
      <c r="J121"/>
    </row>
    <row r="122" spans="1:10" ht="14.5" x14ac:dyDescent="0.35">
      <c r="A122" s="27" t="s">
        <v>68</v>
      </c>
      <c r="B122" s="79">
        <f t="shared" si="31"/>
        <v>3.5688273852876914E-2</v>
      </c>
      <c r="C122" s="79">
        <f t="shared" si="32"/>
        <v>2.8181818181818183</v>
      </c>
      <c r="D122" s="79">
        <f t="shared" si="33"/>
        <v>1.7634854771784232E-2</v>
      </c>
      <c r="E122" s="79">
        <f t="shared" si="34"/>
        <v>-0.47959183673469385</v>
      </c>
      <c r="F122" s="79">
        <f t="shared" si="35"/>
        <v>8.0423831856869896E-2</v>
      </c>
      <c r="G122" s="79">
        <f t="shared" si="36"/>
        <v>2.0261437908496731</v>
      </c>
      <c r="H122"/>
      <c r="I122"/>
      <c r="J122"/>
    </row>
    <row r="123" spans="1:10" ht="14.5" x14ac:dyDescent="0.35">
      <c r="A123" s="27" t="s">
        <v>69</v>
      </c>
      <c r="B123" s="79">
        <f t="shared" si="31"/>
        <v>1.2988589463462005E-2</v>
      </c>
      <c r="C123" s="79">
        <f t="shared" si="32"/>
        <v>34.666666666666664</v>
      </c>
      <c r="D123" s="79">
        <f t="shared" si="33"/>
        <v>7.3766712770862147E-3</v>
      </c>
      <c r="E123" s="79">
        <f t="shared" si="34"/>
        <v>-0.40186915887850472</v>
      </c>
      <c r="F123" s="79">
        <f t="shared" si="35"/>
        <v>2.831335765155463E-2</v>
      </c>
      <c r="G123" s="79">
        <f t="shared" si="36"/>
        <v>-3.546875</v>
      </c>
      <c r="H123"/>
      <c r="I123"/>
      <c r="J123"/>
    </row>
    <row r="124" spans="1:10" ht="23" x14ac:dyDescent="0.35">
      <c r="A124" s="27" t="s">
        <v>70</v>
      </c>
      <c r="B124" s="79">
        <f t="shared" si="31"/>
        <v>1.7722748239864045E-2</v>
      </c>
      <c r="C124" s="79">
        <f t="shared" si="32"/>
        <v>0</v>
      </c>
      <c r="D124" s="79">
        <f t="shared" si="33"/>
        <v>1.6828031350852927E-2</v>
      </c>
      <c r="E124" s="79">
        <f t="shared" si="34"/>
        <v>0</v>
      </c>
      <c r="F124" s="79">
        <f t="shared" si="35"/>
        <v>3.4740316136876848E-4</v>
      </c>
      <c r="G124" s="79">
        <f t="shared" si="36"/>
        <v>-1.0136986301369864</v>
      </c>
      <c r="H124"/>
      <c r="I124"/>
      <c r="J124"/>
    </row>
    <row r="125" spans="1:10" ht="14.5" x14ac:dyDescent="0.35">
      <c r="A125" s="26" t="s">
        <v>71</v>
      </c>
      <c r="B125" s="84">
        <f t="shared" si="31"/>
        <v>0.10099538722991017</v>
      </c>
      <c r="C125" s="84">
        <f t="shared" si="32"/>
        <v>1.1063291139240508</v>
      </c>
      <c r="D125" s="84">
        <f t="shared" si="33"/>
        <v>0.11456892577224527</v>
      </c>
      <c r="E125" s="84">
        <f t="shared" si="34"/>
        <v>0.19471153846153855</v>
      </c>
      <c r="F125" s="84">
        <f t="shared" si="35"/>
        <v>2.8139656070870246E-2</v>
      </c>
      <c r="G125" s="84">
        <f t="shared" si="36"/>
        <v>-0.83702213279678062</v>
      </c>
      <c r="H125"/>
      <c r="I125"/>
      <c r="J125"/>
    </row>
    <row r="126" spans="1:10" ht="14.5" x14ac:dyDescent="0.35">
      <c r="A126" s="27" t="s">
        <v>72</v>
      </c>
      <c r="B126" s="79">
        <f t="shared" si="31"/>
        <v>2.221412964311726E-2</v>
      </c>
      <c r="C126" s="79">
        <f t="shared" si="32"/>
        <v>0.86734693877551017</v>
      </c>
      <c r="D126" s="79">
        <f t="shared" si="33"/>
        <v>2.2130013831258646E-2</v>
      </c>
      <c r="E126" s="79">
        <f t="shared" si="34"/>
        <v>4.9180327868852514E-2</v>
      </c>
      <c r="F126" s="79">
        <f t="shared" si="35"/>
        <v>3.3003300330033004E-3</v>
      </c>
      <c r="G126" s="79">
        <f t="shared" si="36"/>
        <v>-1.0989583333333333</v>
      </c>
      <c r="H126"/>
      <c r="I126"/>
      <c r="J126"/>
    </row>
    <row r="127" spans="1:10" ht="14.5" x14ac:dyDescent="0.35">
      <c r="A127" s="26" t="s">
        <v>73</v>
      </c>
      <c r="B127" s="84">
        <f t="shared" si="31"/>
        <v>7.8781257586792913E-2</v>
      </c>
      <c r="C127" s="84">
        <f t="shared" si="32"/>
        <v>1.1851851851851851</v>
      </c>
      <c r="D127" s="84">
        <f t="shared" si="33"/>
        <v>9.2438911940986634E-2</v>
      </c>
      <c r="E127" s="84">
        <f t="shared" si="34"/>
        <v>0.23574730354391371</v>
      </c>
      <c r="F127" s="84">
        <f t="shared" si="35"/>
        <v>3.1439986103873545E-2</v>
      </c>
      <c r="G127" s="84">
        <f t="shared" si="36"/>
        <v>-0.77431421446384041</v>
      </c>
      <c r="H127"/>
      <c r="I127"/>
      <c r="J127"/>
    </row>
    <row r="137" spans="1:8" ht="14.5" x14ac:dyDescent="0.35">
      <c r="A137"/>
      <c r="B137"/>
      <c r="C137"/>
      <c r="D137"/>
      <c r="E137"/>
      <c r="F137"/>
      <c r="G137"/>
      <c r="H137"/>
    </row>
    <row r="138" spans="1:8" ht="14.5" x14ac:dyDescent="0.35">
      <c r="A138"/>
      <c r="B138"/>
      <c r="C138"/>
      <c r="D138"/>
      <c r="E138"/>
      <c r="F138"/>
      <c r="G138"/>
      <c r="H138"/>
    </row>
    <row r="139" spans="1:8" ht="14.5" x14ac:dyDescent="0.35">
      <c r="A139"/>
      <c r="B139"/>
      <c r="C139"/>
      <c r="D139"/>
      <c r="E139"/>
      <c r="F139"/>
      <c r="G139"/>
      <c r="H139"/>
    </row>
    <row r="140" spans="1:8" ht="14.5" x14ac:dyDescent="0.35">
      <c r="A140"/>
      <c r="B140"/>
      <c r="C140"/>
      <c r="D140"/>
      <c r="E140"/>
      <c r="F140"/>
      <c r="G140"/>
      <c r="H140"/>
    </row>
    <row r="141" spans="1:8" ht="14.5" x14ac:dyDescent="0.35">
      <c r="A141"/>
      <c r="B141"/>
      <c r="C141"/>
      <c r="D141"/>
      <c r="E141"/>
      <c r="F141"/>
      <c r="G141"/>
      <c r="H141"/>
    </row>
    <row r="142" spans="1:8" ht="14.5" x14ac:dyDescent="0.35">
      <c r="A142"/>
      <c r="B142"/>
      <c r="C142"/>
      <c r="D142"/>
      <c r="E142"/>
      <c r="F142"/>
      <c r="G142"/>
      <c r="H142"/>
    </row>
    <row r="143" spans="1:8" ht="14.5" x14ac:dyDescent="0.35">
      <c r="A143"/>
      <c r="B143"/>
      <c r="C143"/>
      <c r="D143"/>
      <c r="E143"/>
      <c r="F143"/>
      <c r="G143"/>
      <c r="H143"/>
    </row>
    <row r="144" spans="1:8" ht="14.5" x14ac:dyDescent="0.35">
      <c r="A144"/>
      <c r="B144"/>
      <c r="C144"/>
      <c r="D144"/>
      <c r="E144"/>
      <c r="F144"/>
      <c r="G144"/>
      <c r="H144"/>
    </row>
    <row r="145" spans="1:8" ht="14.5" x14ac:dyDescent="0.35">
      <c r="A145"/>
      <c r="B145"/>
      <c r="C145"/>
      <c r="D145"/>
      <c r="E145"/>
      <c r="F145"/>
      <c r="G145"/>
      <c r="H145"/>
    </row>
    <row r="146" spans="1:8" ht="14.5" x14ac:dyDescent="0.35">
      <c r="A146"/>
      <c r="B146"/>
      <c r="C146"/>
      <c r="D146"/>
      <c r="E146"/>
      <c r="F146"/>
      <c r="G146"/>
      <c r="H146"/>
    </row>
    <row r="147" spans="1:8" ht="14.5" x14ac:dyDescent="0.35">
      <c r="A147"/>
      <c r="B147"/>
      <c r="C147"/>
      <c r="D147"/>
      <c r="E147"/>
      <c r="F147"/>
      <c r="G147"/>
      <c r="H147"/>
    </row>
    <row r="148" spans="1:8" ht="14.5" x14ac:dyDescent="0.35">
      <c r="A148"/>
      <c r="B148"/>
      <c r="C148"/>
      <c r="D148"/>
      <c r="E148"/>
      <c r="F148"/>
      <c r="G148"/>
      <c r="H148"/>
    </row>
    <row r="149" spans="1:8" ht="14.5" x14ac:dyDescent="0.35">
      <c r="A149"/>
      <c r="B149"/>
      <c r="C149"/>
      <c r="D149"/>
      <c r="E149"/>
      <c r="F149"/>
      <c r="G149"/>
      <c r="H149"/>
    </row>
    <row r="150" spans="1:8" ht="14.5" x14ac:dyDescent="0.35">
      <c r="A150"/>
      <c r="B150"/>
      <c r="C150"/>
      <c r="D150"/>
      <c r="E150"/>
      <c r="F150"/>
      <c r="G150"/>
      <c r="H150"/>
    </row>
    <row r="151" spans="1:8" ht="14.5" x14ac:dyDescent="0.35">
      <c r="A151"/>
      <c r="B151"/>
      <c r="C151"/>
      <c r="D151"/>
      <c r="E151"/>
      <c r="F151"/>
      <c r="G151"/>
      <c r="H151"/>
    </row>
    <row r="152" spans="1:8" ht="14.5" x14ac:dyDescent="0.35">
      <c r="A152"/>
      <c r="B152"/>
      <c r="C152"/>
      <c r="D152"/>
      <c r="E152"/>
      <c r="F152"/>
      <c r="G152"/>
      <c r="H152"/>
    </row>
    <row r="153" spans="1:8" ht="14.5" x14ac:dyDescent="0.35">
      <c r="A153"/>
      <c r="B153"/>
      <c r="C153"/>
      <c r="D153"/>
      <c r="E153"/>
      <c r="F153"/>
      <c r="G153"/>
      <c r="H153"/>
    </row>
    <row r="154" spans="1:8" ht="14.5" x14ac:dyDescent="0.35">
      <c r="A154"/>
      <c r="B154"/>
      <c r="C154"/>
      <c r="D154"/>
      <c r="E154"/>
      <c r="F154"/>
      <c r="G154"/>
      <c r="H154"/>
    </row>
    <row r="155" spans="1:8" ht="14.5" x14ac:dyDescent="0.35">
      <c r="A155"/>
      <c r="B155"/>
      <c r="C155"/>
      <c r="D155"/>
      <c r="E155"/>
      <c r="F155"/>
      <c r="G155"/>
      <c r="H155"/>
    </row>
    <row r="156" spans="1:8" ht="14.5" x14ac:dyDescent="0.35">
      <c r="A156"/>
      <c r="B156"/>
      <c r="C156"/>
      <c r="D156"/>
      <c r="E156"/>
      <c r="F156"/>
      <c r="G156"/>
      <c r="H156"/>
    </row>
    <row r="157" spans="1:8" ht="14.5" x14ac:dyDescent="0.35">
      <c r="A157"/>
      <c r="B157"/>
      <c r="C157"/>
      <c r="D157"/>
      <c r="E157"/>
      <c r="F157"/>
      <c r="G157"/>
      <c r="H157"/>
    </row>
  </sheetData>
  <mergeCells count="7">
    <mergeCell ref="A108:G108"/>
    <mergeCell ref="A34:J34"/>
    <mergeCell ref="A7:J7"/>
    <mergeCell ref="A70:E70"/>
    <mergeCell ref="B102:C102"/>
    <mergeCell ref="D102:E102"/>
    <mergeCell ref="F102:G10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62639-7591-4B35-BB30-597A6DDDF2CB}">
  <dimension ref="A1:E26"/>
  <sheetViews>
    <sheetView workbookViewId="0">
      <selection activeCell="D3" sqref="D3"/>
    </sheetView>
  </sheetViews>
  <sheetFormatPr defaultColWidth="9.1796875" defaultRowHeight="11.5" x14ac:dyDescent="0.25"/>
  <cols>
    <col min="1" max="1" width="22.453125" style="38" bestFit="1" customWidth="1"/>
    <col min="2" max="2" width="22.54296875" style="38" customWidth="1"/>
    <col min="3" max="3" width="21.453125" style="38" customWidth="1"/>
    <col min="4" max="4" width="24.1796875" style="38" customWidth="1"/>
    <col min="5" max="5" width="24.26953125" style="38" customWidth="1"/>
    <col min="6" max="16384" width="9.1796875" style="38"/>
  </cols>
  <sheetData>
    <row r="1" spans="1:5" x14ac:dyDescent="0.25">
      <c r="A1" s="5" t="s">
        <v>81</v>
      </c>
      <c r="B1" s="5">
        <v>2018</v>
      </c>
      <c r="C1" s="5">
        <v>2019</v>
      </c>
      <c r="D1" s="5">
        <v>2020</v>
      </c>
    </row>
    <row r="2" spans="1:5" ht="29.15" customHeight="1" x14ac:dyDescent="0.25">
      <c r="A2" s="161" t="s">
        <v>94</v>
      </c>
      <c r="B2" s="161"/>
      <c r="C2" s="161"/>
      <c r="D2" s="161"/>
    </row>
    <row r="3" spans="1:5" x14ac:dyDescent="0.25">
      <c r="A3" s="5" t="s">
        <v>2</v>
      </c>
      <c r="B3" s="39">
        <f>BS!H12</f>
        <v>3022000000</v>
      </c>
      <c r="C3" s="39">
        <f>BS!I12</f>
        <v>2396000000</v>
      </c>
      <c r="D3" s="39">
        <f>BS!J12</f>
        <v>2922000000</v>
      </c>
    </row>
    <row r="4" spans="1:5" x14ac:dyDescent="0.25">
      <c r="A4" s="5" t="s">
        <v>95</v>
      </c>
      <c r="B4" s="39">
        <f>BS!H35</f>
        <v>2874000000</v>
      </c>
      <c r="C4" s="39">
        <f>BS!I35</f>
        <v>2755000000</v>
      </c>
      <c r="D4" s="39">
        <f>BS!J35</f>
        <v>3092000000</v>
      </c>
    </row>
    <row r="5" spans="1:5" x14ac:dyDescent="0.25">
      <c r="A5" s="41" t="s">
        <v>82</v>
      </c>
      <c r="B5" s="42">
        <f>B3-B4</f>
        <v>148000000</v>
      </c>
      <c r="C5" s="42">
        <f>C3-C4</f>
        <v>-359000000</v>
      </c>
      <c r="D5" s="42">
        <f t="shared" ref="D5" si="0">D3-D4</f>
        <v>-170000000</v>
      </c>
    </row>
    <row r="6" spans="1:5" ht="15" customHeight="1" x14ac:dyDescent="0.25">
      <c r="A6" s="162" t="s">
        <v>83</v>
      </c>
      <c r="B6" s="162"/>
      <c r="C6" s="162"/>
      <c r="D6" s="162"/>
    </row>
    <row r="7" spans="1:5" x14ac:dyDescent="0.25">
      <c r="A7" s="5" t="s">
        <v>29</v>
      </c>
      <c r="B7" s="39">
        <f>BS!H42</f>
        <v>5612000000</v>
      </c>
      <c r="C7" s="39">
        <f>BS!I42</f>
        <v>5042000000</v>
      </c>
      <c r="D7" s="39">
        <f>BS!J42</f>
        <v>6771000000</v>
      </c>
    </row>
    <row r="8" spans="1:5" ht="13.5" customHeight="1" x14ac:dyDescent="0.25">
      <c r="A8" s="41" t="s">
        <v>84</v>
      </c>
      <c r="B8" s="42">
        <f>B5+B7</f>
        <v>5760000000</v>
      </c>
      <c r="C8" s="42">
        <f>C5+C7</f>
        <v>4683000000</v>
      </c>
      <c r="D8" s="42">
        <f>D5+D7</f>
        <v>6601000000</v>
      </c>
    </row>
    <row r="9" spans="1:5" ht="29.5" customHeight="1" x14ac:dyDescent="0.25">
      <c r="A9" s="161" t="s">
        <v>85</v>
      </c>
      <c r="B9" s="161"/>
      <c r="C9" s="161"/>
      <c r="D9" s="161"/>
    </row>
    <row r="10" spans="1:5" x14ac:dyDescent="0.25">
      <c r="A10" s="5" t="s">
        <v>95</v>
      </c>
      <c r="B10" s="39">
        <f>B4</f>
        <v>2874000000</v>
      </c>
      <c r="C10" s="39">
        <f t="shared" ref="C10:D10" si="1">C4</f>
        <v>2755000000</v>
      </c>
      <c r="D10" s="39">
        <f t="shared" si="1"/>
        <v>3092000000</v>
      </c>
    </row>
    <row r="11" spans="1:5" x14ac:dyDescent="0.25">
      <c r="A11" s="41" t="s">
        <v>86</v>
      </c>
      <c r="B11" s="42">
        <f>B8+B10</f>
        <v>8634000000</v>
      </c>
      <c r="C11" s="42">
        <f>C5+C7+C10</f>
        <v>7438000000</v>
      </c>
      <c r="D11" s="42">
        <f>D5+D7+D10</f>
        <v>9693000000</v>
      </c>
    </row>
    <row r="12" spans="1:5" x14ac:dyDescent="0.25">
      <c r="A12" s="43"/>
      <c r="B12" s="44"/>
      <c r="C12" s="44"/>
      <c r="D12" s="44"/>
    </row>
    <row r="14" spans="1:5" x14ac:dyDescent="0.25">
      <c r="A14" s="5" t="s">
        <v>81</v>
      </c>
      <c r="B14" s="5">
        <v>2018</v>
      </c>
      <c r="C14" s="5">
        <v>2019</v>
      </c>
      <c r="D14" s="5">
        <v>2020</v>
      </c>
    </row>
    <row r="15" spans="1:5" x14ac:dyDescent="0.25">
      <c r="A15" s="161" t="s">
        <v>87</v>
      </c>
      <c r="B15" s="161"/>
      <c r="C15" s="161"/>
      <c r="D15" s="161"/>
      <c r="E15" s="45"/>
    </row>
    <row r="16" spans="1:5" x14ac:dyDescent="0.25">
      <c r="A16" s="46" t="s">
        <v>88</v>
      </c>
      <c r="B16" s="47">
        <f>BS!H10</f>
        <v>393000000</v>
      </c>
      <c r="C16" s="47">
        <f>BS!I10</f>
        <v>438000000</v>
      </c>
      <c r="D16" s="47">
        <f>BS!J10</f>
        <v>361000000</v>
      </c>
    </row>
    <row r="17" spans="1:4" x14ac:dyDescent="0.25">
      <c r="A17" s="41" t="s">
        <v>96</v>
      </c>
      <c r="B17" s="42">
        <f>B5-B16</f>
        <v>-245000000</v>
      </c>
      <c r="C17" s="42">
        <f>C5-C16</f>
        <v>-797000000</v>
      </c>
      <c r="D17" s="42">
        <f>D5-D16</f>
        <v>-531000000</v>
      </c>
    </row>
    <row r="18" spans="1:4" x14ac:dyDescent="0.25">
      <c r="A18" s="161" t="s">
        <v>89</v>
      </c>
      <c r="B18" s="161"/>
      <c r="C18" s="161"/>
      <c r="D18" s="161"/>
    </row>
    <row r="19" spans="1:4" x14ac:dyDescent="0.25">
      <c r="A19" s="41" t="s">
        <v>90</v>
      </c>
      <c r="B19" s="42">
        <f>B8-B16</f>
        <v>5367000000</v>
      </c>
      <c r="C19" s="42">
        <f>C8-C16</f>
        <v>4245000000</v>
      </c>
      <c r="D19" s="42">
        <f>D8-D16</f>
        <v>6240000000</v>
      </c>
    </row>
    <row r="20" spans="1:4" x14ac:dyDescent="0.25">
      <c r="A20" s="161" t="s">
        <v>91</v>
      </c>
      <c r="B20" s="161"/>
      <c r="C20" s="161"/>
      <c r="D20" s="161"/>
    </row>
    <row r="21" spans="1:4" x14ac:dyDescent="0.25">
      <c r="A21" s="48" t="s">
        <v>92</v>
      </c>
      <c r="B21" s="49">
        <f>B11-B16</f>
        <v>8241000000</v>
      </c>
      <c r="C21" s="42">
        <f>C11-C16</f>
        <v>7000000000</v>
      </c>
      <c r="D21" s="42">
        <f>D11-D16</f>
        <v>9332000000</v>
      </c>
    </row>
    <row r="22" spans="1:4" x14ac:dyDescent="0.25">
      <c r="A22" s="2"/>
      <c r="B22" s="2"/>
      <c r="C22" s="2"/>
      <c r="D22" s="2"/>
    </row>
    <row r="23" spans="1:4" x14ac:dyDescent="0.25">
      <c r="A23" s="160" t="s">
        <v>97</v>
      </c>
      <c r="B23" s="160"/>
      <c r="C23" s="160"/>
      <c r="D23" s="160"/>
    </row>
    <row r="24" spans="1:4" x14ac:dyDescent="0.25">
      <c r="A24" s="160"/>
      <c r="B24" s="160"/>
      <c r="C24" s="160"/>
      <c r="D24" s="160"/>
    </row>
    <row r="25" spans="1:4" ht="26.5" customHeight="1" x14ac:dyDescent="0.25">
      <c r="A25" s="160"/>
      <c r="B25" s="160"/>
      <c r="C25" s="160"/>
      <c r="D25" s="160"/>
    </row>
    <row r="26" spans="1:4" x14ac:dyDescent="0.25">
      <c r="A26" s="5" t="s">
        <v>93</v>
      </c>
      <c r="B26" s="5" t="s">
        <v>98</v>
      </c>
      <c r="C26" s="5" t="s">
        <v>98</v>
      </c>
      <c r="D26" s="5" t="s">
        <v>98</v>
      </c>
    </row>
  </sheetData>
  <mergeCells count="7">
    <mergeCell ref="A23:D25"/>
    <mergeCell ref="A2:D2"/>
    <mergeCell ref="A6:D6"/>
    <mergeCell ref="A9:D9"/>
    <mergeCell ref="A15:D15"/>
    <mergeCell ref="A18:D18"/>
    <mergeCell ref="A20:D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77CAD-2DD1-43C6-AC64-C8F76D9D627D}">
  <dimension ref="A1:L67"/>
  <sheetViews>
    <sheetView workbookViewId="0">
      <selection activeCell="J18" sqref="J18"/>
    </sheetView>
  </sheetViews>
  <sheetFormatPr defaultColWidth="8.7265625" defaultRowHeight="11.5" x14ac:dyDescent="0.25"/>
  <cols>
    <col min="1" max="1" width="22.26953125" style="38" bestFit="1" customWidth="1"/>
    <col min="2" max="2" width="18.7265625" style="38" bestFit="1" customWidth="1"/>
    <col min="3" max="3" width="17.7265625" style="38" customWidth="1"/>
    <col min="4" max="4" width="17.1796875" style="38" customWidth="1"/>
    <col min="5" max="5" width="18.54296875" style="38" customWidth="1"/>
    <col min="6" max="6" width="19" style="38" customWidth="1"/>
    <col min="7" max="16384" width="8.7265625" style="38"/>
  </cols>
  <sheetData>
    <row r="1" spans="1:12" ht="14.5" x14ac:dyDescent="0.35">
      <c r="A1" s="5" t="s">
        <v>81</v>
      </c>
      <c r="B1" s="5" t="s">
        <v>235</v>
      </c>
      <c r="C1" s="5">
        <v>2018</v>
      </c>
      <c r="D1" s="5">
        <v>2019</v>
      </c>
      <c r="E1" s="5">
        <v>2020</v>
      </c>
      <c r="F1"/>
      <c r="G1"/>
      <c r="H1"/>
      <c r="I1"/>
      <c r="J1"/>
      <c r="K1"/>
      <c r="L1"/>
    </row>
    <row r="2" spans="1:12" ht="14.5" x14ac:dyDescent="0.35">
      <c r="A2" s="161" t="s">
        <v>238</v>
      </c>
      <c r="B2" s="161"/>
      <c r="C2" s="161"/>
      <c r="D2" s="161"/>
      <c r="E2" s="161"/>
      <c r="F2"/>
      <c r="G2"/>
      <c r="H2"/>
      <c r="I2"/>
      <c r="J2"/>
      <c r="K2"/>
      <c r="L2"/>
    </row>
    <row r="3" spans="1:12" ht="14.5" x14ac:dyDescent="0.35">
      <c r="A3" s="5" t="s">
        <v>34</v>
      </c>
      <c r="B3" s="5" t="s">
        <v>46</v>
      </c>
      <c r="C3" s="40">
        <f>BS!H52</f>
        <v>4677000000</v>
      </c>
      <c r="D3" s="40">
        <f>BS!I52</f>
        <v>5149000000</v>
      </c>
      <c r="E3" s="40">
        <f>BS!J52</f>
        <v>5487000000</v>
      </c>
      <c r="F3"/>
      <c r="G3"/>
      <c r="H3"/>
      <c r="I3"/>
      <c r="J3"/>
      <c r="K3"/>
      <c r="L3"/>
    </row>
    <row r="4" spans="1:12" ht="14.5" x14ac:dyDescent="0.35">
      <c r="A4" s="5" t="s">
        <v>110</v>
      </c>
      <c r="B4" s="5" t="s">
        <v>46</v>
      </c>
      <c r="C4" s="40">
        <f>BS!H25</f>
        <v>13163000000</v>
      </c>
      <c r="D4" s="40">
        <f>BS!I25</f>
        <v>12946000000</v>
      </c>
      <c r="E4" s="40">
        <f>BS!J25</f>
        <v>15350000000</v>
      </c>
      <c r="F4"/>
      <c r="G4"/>
      <c r="H4"/>
      <c r="I4"/>
      <c r="J4"/>
      <c r="K4"/>
      <c r="L4"/>
    </row>
    <row r="5" spans="1:12" ht="14.5" x14ac:dyDescent="0.35">
      <c r="A5" s="41" t="s">
        <v>100</v>
      </c>
      <c r="B5" s="41" t="s">
        <v>236</v>
      </c>
      <c r="C5" s="50">
        <f>C3/C4</f>
        <v>0.35531413811441159</v>
      </c>
      <c r="D5" s="50">
        <f>D3/D4</f>
        <v>0.3977290282712807</v>
      </c>
      <c r="E5" s="50">
        <f t="shared" ref="E5" si="0">E3/E4</f>
        <v>0.35745928338762217</v>
      </c>
      <c r="F5"/>
      <c r="G5"/>
      <c r="H5"/>
      <c r="I5"/>
      <c r="J5"/>
      <c r="K5"/>
      <c r="L5"/>
    </row>
    <row r="6" spans="1:12" ht="31" customHeight="1" x14ac:dyDescent="0.35">
      <c r="A6" s="161" t="s">
        <v>237</v>
      </c>
      <c r="B6" s="161"/>
      <c r="C6" s="161"/>
      <c r="D6" s="161"/>
      <c r="E6" s="161"/>
      <c r="F6"/>
      <c r="G6"/>
      <c r="H6"/>
      <c r="I6"/>
      <c r="J6"/>
      <c r="K6"/>
      <c r="L6"/>
    </row>
    <row r="7" spans="1:12" ht="14.5" x14ac:dyDescent="0.35">
      <c r="A7" s="161" t="s">
        <v>239</v>
      </c>
      <c r="B7" s="161"/>
      <c r="C7" s="161"/>
      <c r="D7" s="161"/>
      <c r="E7" s="161"/>
      <c r="F7"/>
      <c r="G7"/>
      <c r="H7"/>
      <c r="I7"/>
      <c r="J7"/>
      <c r="K7"/>
      <c r="L7"/>
    </row>
    <row r="8" spans="1:12" ht="14.5" x14ac:dyDescent="0.35">
      <c r="A8" s="5" t="s">
        <v>29</v>
      </c>
      <c r="B8" s="5" t="s">
        <v>46</v>
      </c>
      <c r="C8" s="40">
        <f>BS!C99</f>
        <v>5612000000</v>
      </c>
      <c r="D8" s="40">
        <f>BS!D99</f>
        <v>5042000000</v>
      </c>
      <c r="E8" s="40">
        <f>BS!E99</f>
        <v>6771000000</v>
      </c>
      <c r="F8"/>
      <c r="G8"/>
      <c r="H8"/>
      <c r="I8"/>
      <c r="J8"/>
      <c r="K8"/>
      <c r="L8"/>
    </row>
    <row r="9" spans="1:12" ht="14.5" x14ac:dyDescent="0.35">
      <c r="A9" s="5" t="s">
        <v>240</v>
      </c>
      <c r="B9" s="5" t="s">
        <v>46</v>
      </c>
      <c r="C9" s="40">
        <f>BS!C92</f>
        <v>2874000000</v>
      </c>
      <c r="D9" s="40">
        <f>BS!D92</f>
        <v>2755000000</v>
      </c>
      <c r="E9" s="40">
        <f>BS!E92</f>
        <v>3092000000</v>
      </c>
      <c r="F9"/>
      <c r="G9"/>
      <c r="H9"/>
      <c r="I9"/>
      <c r="J9"/>
      <c r="K9"/>
      <c r="L9"/>
    </row>
    <row r="10" spans="1:12" ht="14.5" x14ac:dyDescent="0.35">
      <c r="A10" s="5" t="s">
        <v>110</v>
      </c>
      <c r="B10" s="5" t="s">
        <v>46</v>
      </c>
      <c r="C10" s="40">
        <f>C4</f>
        <v>13163000000</v>
      </c>
      <c r="D10" s="40">
        <f t="shared" ref="D10:E10" si="1">D4</f>
        <v>12946000000</v>
      </c>
      <c r="E10" s="40">
        <f t="shared" si="1"/>
        <v>15350000000</v>
      </c>
      <c r="F10"/>
      <c r="G10"/>
      <c r="H10"/>
      <c r="I10"/>
      <c r="J10"/>
      <c r="K10"/>
      <c r="L10"/>
    </row>
    <row r="11" spans="1:12" ht="14.5" x14ac:dyDescent="0.35">
      <c r="A11" s="41" t="s">
        <v>101</v>
      </c>
      <c r="B11" s="41" t="s">
        <v>241</v>
      </c>
      <c r="C11" s="50">
        <f>(C8+C9)/C10</f>
        <v>0.64468586188558841</v>
      </c>
      <c r="D11" s="50">
        <f t="shared" ref="D11:E11" si="2">(D8+D9)/D10</f>
        <v>0.60227097172871935</v>
      </c>
      <c r="E11" s="50">
        <f t="shared" si="2"/>
        <v>0.64254071661237788</v>
      </c>
      <c r="F11"/>
      <c r="G11"/>
      <c r="H11"/>
      <c r="I11"/>
      <c r="J11"/>
      <c r="K11"/>
      <c r="L11"/>
    </row>
    <row r="12" spans="1:12" ht="27.65" customHeight="1" x14ac:dyDescent="0.35">
      <c r="A12" s="161" t="s">
        <v>242</v>
      </c>
      <c r="B12" s="161"/>
      <c r="C12" s="161"/>
      <c r="D12" s="161"/>
      <c r="E12" s="161"/>
      <c r="F12"/>
      <c r="G12"/>
      <c r="H12"/>
      <c r="I12"/>
      <c r="J12"/>
      <c r="K12"/>
      <c r="L12"/>
    </row>
    <row r="13" spans="1:12" ht="14.5" x14ac:dyDescent="0.35">
      <c r="A13" s="161" t="s">
        <v>243</v>
      </c>
      <c r="B13" s="161"/>
      <c r="C13" s="161"/>
      <c r="D13" s="161"/>
      <c r="E13" s="161"/>
      <c r="F13"/>
      <c r="G13"/>
      <c r="H13"/>
      <c r="I13"/>
      <c r="J13"/>
      <c r="K13"/>
      <c r="L13"/>
    </row>
    <row r="14" spans="1:12" ht="14.5" x14ac:dyDescent="0.35">
      <c r="A14" s="5" t="str">
        <f>A8</f>
        <v>Долгосрочные обязательства</v>
      </c>
      <c r="B14" s="5" t="s">
        <v>46</v>
      </c>
      <c r="C14" s="40">
        <f>C8</f>
        <v>5612000000</v>
      </c>
      <c r="D14" s="40">
        <f t="shared" ref="D14:E14" si="3">D8</f>
        <v>5042000000</v>
      </c>
      <c r="E14" s="40">
        <f t="shared" si="3"/>
        <v>6771000000</v>
      </c>
      <c r="F14"/>
      <c r="G14"/>
      <c r="H14"/>
      <c r="I14"/>
      <c r="J14"/>
      <c r="K14"/>
      <c r="L14"/>
    </row>
    <row r="15" spans="1:12" ht="14.5" x14ac:dyDescent="0.35">
      <c r="A15" s="5" t="str">
        <f>A9</f>
        <v>Краткочрочные обязательства</v>
      </c>
      <c r="B15" s="5" t="s">
        <v>46</v>
      </c>
      <c r="C15" s="40">
        <f>C9</f>
        <v>2874000000</v>
      </c>
      <c r="D15" s="40">
        <f t="shared" ref="D15:E15" si="4">D9</f>
        <v>2755000000</v>
      </c>
      <c r="E15" s="40">
        <f t="shared" si="4"/>
        <v>3092000000</v>
      </c>
      <c r="F15"/>
      <c r="G15"/>
      <c r="H15"/>
      <c r="I15"/>
      <c r="J15"/>
      <c r="K15"/>
      <c r="L15"/>
    </row>
    <row r="16" spans="1:12" ht="14.5" x14ac:dyDescent="0.35">
      <c r="A16" s="5" t="s">
        <v>34</v>
      </c>
      <c r="B16" s="5" t="s">
        <v>46</v>
      </c>
      <c r="C16" s="40">
        <f>BS!C109</f>
        <v>4677000000</v>
      </c>
      <c r="D16" s="40">
        <f>BS!D109</f>
        <v>5149000000</v>
      </c>
      <c r="E16" s="40">
        <f>BS!E109</f>
        <v>5487000000</v>
      </c>
      <c r="F16"/>
      <c r="G16"/>
      <c r="H16"/>
      <c r="I16"/>
      <c r="J16"/>
      <c r="K16"/>
      <c r="L16"/>
    </row>
    <row r="17" spans="1:12" ht="14.5" x14ac:dyDescent="0.35">
      <c r="A17" s="41" t="s">
        <v>102</v>
      </c>
      <c r="B17" s="41" t="s">
        <v>244</v>
      </c>
      <c r="C17" s="50">
        <f>(C14+C15)/C16</f>
        <v>1.8144109471883687</v>
      </c>
      <c r="D17" s="50">
        <f t="shared" ref="D17:E17" si="5">(D14+D15)/D16</f>
        <v>1.5142746164303749</v>
      </c>
      <c r="E17" s="50">
        <f t="shared" si="5"/>
        <v>1.7975214142518681</v>
      </c>
      <c r="F17"/>
      <c r="G17"/>
      <c r="H17"/>
      <c r="I17"/>
      <c r="J17"/>
      <c r="K17"/>
      <c r="L17"/>
    </row>
    <row r="18" spans="1:12" ht="48.65" customHeight="1" x14ac:dyDescent="0.35">
      <c r="A18" s="161" t="s">
        <v>245</v>
      </c>
      <c r="B18" s="161"/>
      <c r="C18" s="161"/>
      <c r="D18" s="161"/>
      <c r="E18" s="161"/>
      <c r="F18"/>
      <c r="G18"/>
      <c r="H18"/>
      <c r="I18"/>
      <c r="J18"/>
      <c r="K18"/>
      <c r="L18"/>
    </row>
    <row r="19" spans="1:12" ht="14.5" x14ac:dyDescent="0.35">
      <c r="A19" s="161" t="s">
        <v>250</v>
      </c>
      <c r="B19" s="161"/>
      <c r="C19" s="161"/>
      <c r="D19" s="161"/>
      <c r="E19" s="161"/>
      <c r="F19"/>
      <c r="G19"/>
      <c r="H19"/>
      <c r="I19"/>
      <c r="J19"/>
      <c r="K19"/>
      <c r="L19"/>
    </row>
    <row r="20" spans="1:12" ht="14.5" x14ac:dyDescent="0.35">
      <c r="A20" s="5" t="s">
        <v>82</v>
      </c>
      <c r="B20" s="5" t="s">
        <v>46</v>
      </c>
      <c r="C20" s="40">
        <f>'сок+фин.устойчивость'!B5</f>
        <v>148000000</v>
      </c>
      <c r="D20" s="40">
        <f>'сок+фин.устойчивость'!C5</f>
        <v>-359000000</v>
      </c>
      <c r="E20" s="40">
        <f>'сок+фин.устойчивость'!D5</f>
        <v>-170000000</v>
      </c>
      <c r="F20"/>
      <c r="G20"/>
      <c r="H20"/>
      <c r="I20"/>
      <c r="J20"/>
      <c r="K20"/>
      <c r="L20"/>
    </row>
    <row r="21" spans="1:12" ht="14.5" x14ac:dyDescent="0.35">
      <c r="A21" s="5" t="s">
        <v>2</v>
      </c>
      <c r="B21" s="5" t="s">
        <v>46</v>
      </c>
      <c r="C21" s="40">
        <f>BS!H12</f>
        <v>3022000000</v>
      </c>
      <c r="D21" s="40">
        <f>BS!I12</f>
        <v>2396000000</v>
      </c>
      <c r="E21" s="40">
        <f>BS!J12</f>
        <v>2922000000</v>
      </c>
      <c r="F21"/>
      <c r="G21"/>
      <c r="H21"/>
      <c r="I21"/>
      <c r="J21"/>
      <c r="K21"/>
      <c r="L21"/>
    </row>
    <row r="22" spans="1:12" ht="14.5" x14ac:dyDescent="0.35">
      <c r="A22" s="41" t="s">
        <v>103</v>
      </c>
      <c r="B22" s="41" t="s">
        <v>247</v>
      </c>
      <c r="C22" s="50">
        <f>C20/C21</f>
        <v>4.8974189278623431E-2</v>
      </c>
      <c r="D22" s="50">
        <f>D20/D21</f>
        <v>-0.14983305509181971</v>
      </c>
      <c r="E22" s="50">
        <f t="shared" ref="E22" si="6">E20/E21</f>
        <v>-5.817932922655715E-2</v>
      </c>
      <c r="F22"/>
      <c r="G22"/>
      <c r="H22"/>
      <c r="I22"/>
      <c r="J22"/>
      <c r="K22"/>
      <c r="L22"/>
    </row>
    <row r="23" spans="1:12" ht="33.65" customHeight="1" x14ac:dyDescent="0.35">
      <c r="A23" s="161" t="s">
        <v>251</v>
      </c>
      <c r="B23" s="161"/>
      <c r="C23" s="161"/>
      <c r="D23" s="161"/>
      <c r="E23" s="161"/>
      <c r="F23"/>
      <c r="G23"/>
      <c r="H23"/>
      <c r="I23"/>
      <c r="J23"/>
      <c r="K23"/>
      <c r="L23"/>
    </row>
    <row r="24" spans="1:12" ht="14.5" x14ac:dyDescent="0.35">
      <c r="A24" s="162" t="s">
        <v>246</v>
      </c>
      <c r="B24" s="162"/>
      <c r="C24" s="162"/>
      <c r="D24" s="162"/>
      <c r="E24" s="162"/>
      <c r="F24"/>
      <c r="G24"/>
      <c r="H24"/>
      <c r="I24"/>
      <c r="J24"/>
      <c r="K24"/>
      <c r="L24"/>
    </row>
    <row r="25" spans="1:12" ht="14.5" x14ac:dyDescent="0.35">
      <c r="A25" s="5" t="s">
        <v>82</v>
      </c>
      <c r="B25" s="5" t="s">
        <v>46</v>
      </c>
      <c r="C25" s="40">
        <f>C20</f>
        <v>148000000</v>
      </c>
      <c r="D25" s="40">
        <f t="shared" ref="D25:E25" si="7">D20</f>
        <v>-359000000</v>
      </c>
      <c r="E25" s="40">
        <f t="shared" si="7"/>
        <v>-170000000</v>
      </c>
      <c r="F25"/>
      <c r="G25"/>
      <c r="H25"/>
      <c r="I25"/>
      <c r="J25"/>
      <c r="K25"/>
      <c r="L25"/>
    </row>
    <row r="26" spans="1:12" ht="14.5" x14ac:dyDescent="0.35">
      <c r="A26" s="5" t="str">
        <f>A3</f>
        <v>Капитал</v>
      </c>
      <c r="B26" s="5" t="s">
        <v>46</v>
      </c>
      <c r="C26" s="40">
        <f>C16</f>
        <v>4677000000</v>
      </c>
      <c r="D26" s="40">
        <f t="shared" ref="D26:E26" si="8">D16</f>
        <v>5149000000</v>
      </c>
      <c r="E26" s="40">
        <f t="shared" si="8"/>
        <v>5487000000</v>
      </c>
      <c r="F26"/>
      <c r="G26"/>
      <c r="H26"/>
      <c r="I26"/>
      <c r="J26"/>
      <c r="K26"/>
      <c r="L26"/>
    </row>
    <row r="27" spans="1:12" ht="14.5" x14ac:dyDescent="0.35">
      <c r="A27" s="41" t="s">
        <v>104</v>
      </c>
      <c r="B27" s="41" t="s">
        <v>252</v>
      </c>
      <c r="C27" s="50">
        <f>C25/C26</f>
        <v>3.1644216378020097E-2</v>
      </c>
      <c r="D27" s="50">
        <f>D25/D26</f>
        <v>-6.9722276170130118E-2</v>
      </c>
      <c r="E27" s="50">
        <f t="shared" ref="E27" si="9">E25/E26</f>
        <v>-3.0982321851649352E-2</v>
      </c>
      <c r="F27"/>
      <c r="G27"/>
      <c r="H27"/>
      <c r="I27"/>
      <c r="J27"/>
      <c r="K27"/>
      <c r="L27"/>
    </row>
    <row r="28" spans="1:12" ht="30.65" customHeight="1" x14ac:dyDescent="0.35">
      <c r="A28" s="162" t="s">
        <v>253</v>
      </c>
      <c r="B28" s="162"/>
      <c r="C28" s="162"/>
      <c r="D28" s="162"/>
      <c r="E28" s="162"/>
      <c r="F28"/>
      <c r="G28"/>
      <c r="H28"/>
      <c r="I28"/>
      <c r="J28"/>
      <c r="K28"/>
      <c r="L28"/>
    </row>
    <row r="29" spans="1:12" ht="14.5" x14ac:dyDescent="0.35">
      <c r="A29" s="161" t="s">
        <v>254</v>
      </c>
      <c r="B29" s="161"/>
      <c r="C29" s="161"/>
      <c r="D29" s="161"/>
      <c r="E29" s="161"/>
      <c r="F29"/>
      <c r="G29"/>
      <c r="H29"/>
      <c r="I29"/>
      <c r="J29"/>
      <c r="K29"/>
      <c r="L29"/>
    </row>
    <row r="30" spans="1:12" x14ac:dyDescent="0.25">
      <c r="A30" s="5" t="s">
        <v>2</v>
      </c>
      <c r="B30" s="5" t="s">
        <v>46</v>
      </c>
      <c r="C30" s="40">
        <f>C21</f>
        <v>3022000000</v>
      </c>
      <c r="D30" s="40">
        <f>D21</f>
        <v>2396000000</v>
      </c>
      <c r="E30" s="40">
        <f>E21</f>
        <v>2922000000</v>
      </c>
      <c r="F30" s="13"/>
    </row>
    <row r="31" spans="1:12" x14ac:dyDescent="0.25">
      <c r="A31" s="5" t="s">
        <v>9</v>
      </c>
      <c r="B31" s="5" t="s">
        <v>46</v>
      </c>
      <c r="C31" s="40">
        <f>BS!H23</f>
        <v>10141000000</v>
      </c>
      <c r="D31" s="40">
        <f>BS!I23</f>
        <v>10550000000</v>
      </c>
      <c r="E31" s="40">
        <f>BS!J23</f>
        <v>12428000000</v>
      </c>
      <c r="F31" s="13"/>
    </row>
    <row r="32" spans="1:12" x14ac:dyDescent="0.25">
      <c r="A32" s="41" t="s">
        <v>105</v>
      </c>
      <c r="B32" s="41" t="s">
        <v>46</v>
      </c>
      <c r="C32" s="50">
        <f>C30/C31</f>
        <v>0.29799822502711765</v>
      </c>
      <c r="D32" s="50">
        <f t="shared" ref="D32:E32" si="10">D30/D31</f>
        <v>0.22710900473933648</v>
      </c>
      <c r="E32" s="50">
        <f t="shared" si="10"/>
        <v>0.23511425812681042</v>
      </c>
      <c r="F32" s="13"/>
    </row>
    <row r="33" spans="1:6" ht="30" customHeight="1" x14ac:dyDescent="0.25">
      <c r="A33" s="161" t="s">
        <v>106</v>
      </c>
      <c r="B33" s="161"/>
      <c r="C33" s="161"/>
      <c r="D33" s="161"/>
      <c r="E33" s="161"/>
      <c r="F33" s="13"/>
    </row>
    <row r="34" spans="1:6" x14ac:dyDescent="0.25">
      <c r="A34" s="161" t="s">
        <v>255</v>
      </c>
      <c r="B34" s="161"/>
      <c r="C34" s="161"/>
      <c r="D34" s="161"/>
      <c r="E34" s="161"/>
      <c r="F34" s="13"/>
    </row>
    <row r="35" spans="1:6" x14ac:dyDescent="0.25">
      <c r="A35" s="5" t="str">
        <f>A31</f>
        <v>Внеоборотные активы</v>
      </c>
      <c r="B35" s="5" t="s">
        <v>46</v>
      </c>
      <c r="C35" s="40">
        <f>C31</f>
        <v>10141000000</v>
      </c>
      <c r="D35" s="40">
        <f t="shared" ref="D35:E35" si="11">D31</f>
        <v>10550000000</v>
      </c>
      <c r="E35" s="40">
        <f t="shared" si="11"/>
        <v>12428000000</v>
      </c>
      <c r="F35" s="13"/>
    </row>
    <row r="36" spans="1:6" x14ac:dyDescent="0.25">
      <c r="A36" s="5" t="s">
        <v>88</v>
      </c>
      <c r="B36" s="5" t="s">
        <v>46</v>
      </c>
      <c r="C36" s="40">
        <f>'сок+фин.устойчивость'!B16</f>
        <v>393000000</v>
      </c>
      <c r="D36" s="40">
        <f>'сок+фин.устойчивость'!C16</f>
        <v>438000000</v>
      </c>
      <c r="E36" s="40">
        <f>'сок+фин.устойчивость'!D16</f>
        <v>361000000</v>
      </c>
      <c r="F36" s="13"/>
    </row>
    <row r="37" spans="1:6" x14ac:dyDescent="0.25">
      <c r="A37" s="51" t="str">
        <f>A4</f>
        <v>Активы</v>
      </c>
      <c r="B37" s="51" t="s">
        <v>46</v>
      </c>
      <c r="C37" s="40">
        <f>C4</f>
        <v>13163000000</v>
      </c>
      <c r="D37" s="40">
        <f>D4</f>
        <v>12946000000</v>
      </c>
      <c r="E37" s="40">
        <f>E4</f>
        <v>15350000000</v>
      </c>
      <c r="F37" s="13"/>
    </row>
    <row r="38" spans="1:6" x14ac:dyDescent="0.25">
      <c r="A38" s="41" t="s">
        <v>107</v>
      </c>
      <c r="B38" s="41" t="s">
        <v>256</v>
      </c>
      <c r="C38" s="50">
        <f>(C35+C36)/C37</f>
        <v>0.80027349388437286</v>
      </c>
      <c r="D38" s="50">
        <f>(D35+D36)/D37</f>
        <v>0.84875637262474901</v>
      </c>
      <c r="E38" s="50">
        <f t="shared" ref="E38" si="12">(E35+E36)/E37</f>
        <v>0.83315960912052123</v>
      </c>
      <c r="F38" s="13"/>
    </row>
    <row r="39" spans="1:6" ht="30" customHeight="1" x14ac:dyDescent="0.25">
      <c r="A39" s="161" t="s">
        <v>257</v>
      </c>
      <c r="B39" s="161"/>
      <c r="C39" s="161"/>
      <c r="D39" s="161"/>
      <c r="E39" s="161"/>
      <c r="F39" s="13"/>
    </row>
    <row r="40" spans="1:6" x14ac:dyDescent="0.25">
      <c r="A40" s="161" t="s">
        <v>248</v>
      </c>
      <c r="B40" s="161"/>
      <c r="C40" s="161"/>
      <c r="D40" s="161"/>
      <c r="E40" s="161"/>
    </row>
    <row r="41" spans="1:6" x14ac:dyDescent="0.25">
      <c r="A41" s="5" t="s">
        <v>82</v>
      </c>
      <c r="B41" s="5" t="s">
        <v>46</v>
      </c>
      <c r="C41" s="40">
        <f>C25</f>
        <v>148000000</v>
      </c>
      <c r="D41" s="40">
        <f t="shared" ref="D41:E41" si="13">D25</f>
        <v>-359000000</v>
      </c>
      <c r="E41" s="40">
        <f t="shared" si="13"/>
        <v>-170000000</v>
      </c>
    </row>
    <row r="42" spans="1:6" x14ac:dyDescent="0.25">
      <c r="A42" s="5" t="s">
        <v>88</v>
      </c>
      <c r="B42" s="5" t="s">
        <v>46</v>
      </c>
      <c r="C42" s="40">
        <f>'сок+фин.устойчивость'!B16</f>
        <v>393000000</v>
      </c>
      <c r="D42" s="40">
        <f>'сок+фин.устойчивость'!C16</f>
        <v>438000000</v>
      </c>
      <c r="E42" s="40">
        <f>'сок+фин.устойчивость'!D16</f>
        <v>361000000</v>
      </c>
    </row>
    <row r="43" spans="1:6" x14ac:dyDescent="0.25">
      <c r="A43" s="41" t="s">
        <v>153</v>
      </c>
      <c r="B43" s="41" t="s">
        <v>236</v>
      </c>
      <c r="C43" s="50">
        <f>C41/C42</f>
        <v>0.37659033078880405</v>
      </c>
      <c r="D43" s="50">
        <f t="shared" ref="D43:E43" si="14">D41/D42</f>
        <v>-0.81963470319634701</v>
      </c>
      <c r="E43" s="50">
        <f t="shared" si="14"/>
        <v>-0.47091412742382271</v>
      </c>
    </row>
    <row r="44" spans="1:6" ht="28.5" customHeight="1" x14ac:dyDescent="0.25">
      <c r="A44" s="161" t="s">
        <v>249</v>
      </c>
      <c r="B44" s="161"/>
      <c r="C44" s="161"/>
      <c r="D44" s="161"/>
      <c r="E44" s="161"/>
    </row>
    <row r="45" spans="1:6" x14ac:dyDescent="0.25">
      <c r="A45" s="161" t="s">
        <v>281</v>
      </c>
      <c r="B45" s="161"/>
      <c r="C45" s="161"/>
      <c r="D45" s="161"/>
      <c r="E45" s="161"/>
    </row>
    <row r="46" spans="1:6" x14ac:dyDescent="0.25">
      <c r="A46" s="5" t="s">
        <v>164</v>
      </c>
      <c r="B46" s="5" t="s">
        <v>46</v>
      </c>
      <c r="C46" s="40">
        <f>IS!H17</f>
        <v>1284000000</v>
      </c>
      <c r="D46" s="40">
        <f>IS!I17</f>
        <v>1305000000</v>
      </c>
      <c r="E46" s="40">
        <f>IS!J17</f>
        <v>378000000</v>
      </c>
    </row>
    <row r="47" spans="1:6" x14ac:dyDescent="0.25">
      <c r="A47" s="5" t="s">
        <v>282</v>
      </c>
      <c r="B47" s="5" t="s">
        <v>46</v>
      </c>
      <c r="C47" s="40">
        <f>ABS(IS!H19)</f>
        <v>290000000</v>
      </c>
      <c r="D47" s="40">
        <f>ABS(IS!I19)</f>
        <v>227000000</v>
      </c>
      <c r="E47" s="40">
        <f>ABS(IS!J19)</f>
        <v>220000000</v>
      </c>
    </row>
    <row r="48" spans="1:6" x14ac:dyDescent="0.25">
      <c r="A48" s="41" t="s">
        <v>283</v>
      </c>
      <c r="B48" s="41" t="s">
        <v>284</v>
      </c>
      <c r="C48" s="50">
        <f>C46/C47</f>
        <v>4.4275862068965521</v>
      </c>
      <c r="D48" s="50">
        <f t="shared" ref="D48:E48" si="15">D46/D47</f>
        <v>5.748898678414097</v>
      </c>
      <c r="E48" s="50">
        <f t="shared" si="15"/>
        <v>1.7181818181818183</v>
      </c>
    </row>
    <row r="49" spans="1:5" ht="38.5" customHeight="1" x14ac:dyDescent="0.25">
      <c r="A49" s="161" t="s">
        <v>285</v>
      </c>
      <c r="B49" s="161"/>
      <c r="C49" s="161"/>
      <c r="D49" s="161"/>
      <c r="E49" s="161"/>
    </row>
    <row r="63" spans="1:5" ht="34" customHeight="1" x14ac:dyDescent="0.25"/>
    <row r="67" ht="22.5" customHeight="1" x14ac:dyDescent="0.25"/>
  </sheetData>
  <mergeCells count="18">
    <mergeCell ref="A2:E2"/>
    <mergeCell ref="A6:E6"/>
    <mergeCell ref="A7:E7"/>
    <mergeCell ref="A12:E12"/>
    <mergeCell ref="A13:E13"/>
    <mergeCell ref="A45:E45"/>
    <mergeCell ref="A49:E49"/>
    <mergeCell ref="A40:E40"/>
    <mergeCell ref="A44:E44"/>
    <mergeCell ref="A18:E18"/>
    <mergeCell ref="A19:E19"/>
    <mergeCell ref="A23:E23"/>
    <mergeCell ref="A24:E24"/>
    <mergeCell ref="A28:E28"/>
    <mergeCell ref="A29:E29"/>
    <mergeCell ref="A33:E33"/>
    <mergeCell ref="A34:E34"/>
    <mergeCell ref="A39:E3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6DFC3-0974-43AB-B8F3-732E55F3DE4E}">
  <dimension ref="A1:N57"/>
  <sheetViews>
    <sheetView workbookViewId="0">
      <selection activeCell="E10" sqref="E10"/>
    </sheetView>
  </sheetViews>
  <sheetFormatPr defaultColWidth="8.7265625" defaultRowHeight="11.5" x14ac:dyDescent="0.25"/>
  <cols>
    <col min="1" max="1" width="12.26953125" style="13" customWidth="1"/>
    <col min="2" max="2" width="8.54296875" style="13" bestFit="1" customWidth="1"/>
    <col min="3" max="5" width="12.1796875" style="13" bestFit="1" customWidth="1"/>
    <col min="6" max="6" width="10.453125" style="13" customWidth="1"/>
    <col min="7" max="7" width="10.81640625" style="13" customWidth="1"/>
    <col min="8" max="8" width="11.54296875" style="13" customWidth="1"/>
    <col min="9" max="10" width="11.453125" style="13" bestFit="1" customWidth="1"/>
    <col min="11" max="11" width="8.7265625" style="13"/>
    <col min="12" max="14" width="11.453125" style="13" bestFit="1" customWidth="1"/>
    <col min="15" max="16384" width="8.7265625" style="13"/>
  </cols>
  <sheetData>
    <row r="1" spans="1:14" x14ac:dyDescent="0.25">
      <c r="A1" s="163" t="s">
        <v>110</v>
      </c>
      <c r="B1" s="163"/>
      <c r="C1" s="163"/>
      <c r="D1" s="163"/>
      <c r="E1" s="163"/>
      <c r="F1" s="163" t="s">
        <v>111</v>
      </c>
      <c r="G1" s="163"/>
      <c r="H1" s="163"/>
      <c r="I1" s="163"/>
      <c r="J1" s="163"/>
    </row>
    <row r="2" spans="1:14" x14ac:dyDescent="0.25">
      <c r="A2" s="163" t="s">
        <v>112</v>
      </c>
      <c r="B2" s="66"/>
      <c r="C2" s="66"/>
      <c r="D2" s="66"/>
      <c r="E2" s="66"/>
      <c r="F2" s="163" t="s">
        <v>112</v>
      </c>
      <c r="G2" s="66"/>
      <c r="H2" s="66"/>
      <c r="I2" s="66"/>
      <c r="J2" s="66"/>
    </row>
    <row r="3" spans="1:14" x14ac:dyDescent="0.25">
      <c r="A3" s="163"/>
      <c r="B3" s="66" t="s">
        <v>113</v>
      </c>
      <c r="C3" s="66">
        <v>2018</v>
      </c>
      <c r="D3" s="66">
        <v>2019</v>
      </c>
      <c r="E3" s="66">
        <v>2020</v>
      </c>
      <c r="F3" s="163"/>
      <c r="G3" s="66" t="s">
        <v>113</v>
      </c>
      <c r="H3" s="66">
        <v>2018</v>
      </c>
      <c r="I3" s="66">
        <v>2019</v>
      </c>
      <c r="J3" s="66">
        <v>2020</v>
      </c>
    </row>
    <row r="4" spans="1:14" ht="46" x14ac:dyDescent="0.25">
      <c r="A4" s="66" t="s">
        <v>114</v>
      </c>
      <c r="B4" s="66" t="s">
        <v>122</v>
      </c>
      <c r="C4" s="52">
        <f>BS!H5+BS!H6+BS!H7</f>
        <v>1477000000</v>
      </c>
      <c r="D4" s="52">
        <f>BS!I5+BS!I6+BS!I7</f>
        <v>739000000</v>
      </c>
      <c r="E4" s="52">
        <f>BS!J5+BS!J6+BS!J7</f>
        <v>1640000000</v>
      </c>
      <c r="F4" s="66" t="s">
        <v>115</v>
      </c>
      <c r="G4" s="66" t="s">
        <v>124</v>
      </c>
      <c r="H4" s="53">
        <f>BS!H28</f>
        <v>1130000000</v>
      </c>
      <c r="I4" s="53">
        <f>BS!I28</f>
        <v>1162000000</v>
      </c>
      <c r="J4" s="53">
        <f>BS!J28</f>
        <v>1546000000</v>
      </c>
      <c r="L4" s="54"/>
      <c r="M4" s="54"/>
      <c r="N4" s="54"/>
    </row>
    <row r="5" spans="1:14" ht="34.5" x14ac:dyDescent="0.25">
      <c r="A5" s="66" t="s">
        <v>116</v>
      </c>
      <c r="B5" s="66" t="s">
        <v>125</v>
      </c>
      <c r="C5" s="52">
        <f>BS!H8</f>
        <v>642000000</v>
      </c>
      <c r="D5" s="52">
        <f>BS!I8</f>
        <v>620000000</v>
      </c>
      <c r="E5" s="52">
        <f>BS!J8</f>
        <v>468000000</v>
      </c>
      <c r="F5" s="66" t="s">
        <v>117</v>
      </c>
      <c r="G5" s="66" t="s">
        <v>132</v>
      </c>
      <c r="H5" s="52">
        <f>BS!H35-BS!H28</f>
        <v>1744000000</v>
      </c>
      <c r="I5" s="52">
        <f>BS!I35-BS!I28</f>
        <v>1593000000</v>
      </c>
      <c r="J5" s="52">
        <f>BS!J35-BS!J28</f>
        <v>1546000000</v>
      </c>
      <c r="L5" s="54"/>
      <c r="M5" s="54"/>
      <c r="N5" s="54"/>
    </row>
    <row r="6" spans="1:14" ht="34.5" x14ac:dyDescent="0.25">
      <c r="A6" s="66" t="s">
        <v>118</v>
      </c>
      <c r="B6" s="66" t="s">
        <v>131</v>
      </c>
      <c r="C6" s="52">
        <f>BS!H10+BS!H17+BS!H18+BS!H19</f>
        <v>1606000000</v>
      </c>
      <c r="D6" s="52">
        <f>BS!I10+BS!I17+BS!I18+BS!I19</f>
        <v>1759000000</v>
      </c>
      <c r="E6" s="52">
        <f>BS!J10+BS!J17+BS!J18+BS!J19</f>
        <v>1845000000</v>
      </c>
      <c r="F6" s="66" t="s">
        <v>119</v>
      </c>
      <c r="G6" s="66" t="s">
        <v>29</v>
      </c>
      <c r="H6" s="52">
        <f>BS!H42</f>
        <v>5612000000</v>
      </c>
      <c r="I6" s="52">
        <f>BS!I42</f>
        <v>5042000000</v>
      </c>
      <c r="J6" s="52">
        <f>BS!J42</f>
        <v>6771000000</v>
      </c>
      <c r="L6" s="54"/>
      <c r="M6" s="54"/>
      <c r="N6" s="54"/>
    </row>
    <row r="7" spans="1:14" ht="34.5" x14ac:dyDescent="0.25">
      <c r="A7" s="66" t="s">
        <v>120</v>
      </c>
      <c r="B7" s="66" t="s">
        <v>123</v>
      </c>
      <c r="C7" s="52">
        <f>BS!H23</f>
        <v>10141000000</v>
      </c>
      <c r="D7" s="52">
        <f>BS!I23</f>
        <v>10550000000</v>
      </c>
      <c r="E7" s="52">
        <f>BS!J23</f>
        <v>12428000000</v>
      </c>
      <c r="F7" s="66" t="s">
        <v>121</v>
      </c>
      <c r="G7" s="66" t="s">
        <v>34</v>
      </c>
      <c r="H7" s="52">
        <f>BS!H52</f>
        <v>4677000000</v>
      </c>
      <c r="I7" s="52">
        <f>BS!I52</f>
        <v>5149000000</v>
      </c>
      <c r="J7" s="52">
        <f>BS!J52</f>
        <v>5487000000</v>
      </c>
      <c r="L7" s="54"/>
      <c r="M7" s="54"/>
      <c r="N7" s="54"/>
    </row>
    <row r="8" spans="1:14" ht="11.5" customHeight="1" x14ac:dyDescent="0.25">
      <c r="C8" s="13" t="s">
        <v>126</v>
      </c>
      <c r="D8" s="43" t="s">
        <v>129</v>
      </c>
      <c r="E8" s="13" t="s">
        <v>126</v>
      </c>
    </row>
    <row r="9" spans="1:14" ht="11.5" customHeight="1" x14ac:dyDescent="0.25">
      <c r="C9" s="43" t="s">
        <v>127</v>
      </c>
      <c r="D9" s="43" t="s">
        <v>127</v>
      </c>
      <c r="E9" s="43" t="s">
        <v>127</v>
      </c>
    </row>
    <row r="10" spans="1:14" ht="14.5" customHeight="1" x14ac:dyDescent="0.25">
      <c r="C10" s="43" t="s">
        <v>128</v>
      </c>
      <c r="D10" s="43" t="s">
        <v>128</v>
      </c>
      <c r="E10" s="43" t="s">
        <v>128</v>
      </c>
    </row>
    <row r="11" spans="1:14" ht="14.5" customHeight="1" x14ac:dyDescent="0.25">
      <c r="C11" s="43" t="s">
        <v>130</v>
      </c>
      <c r="D11" s="43" t="s">
        <v>130</v>
      </c>
      <c r="E11" s="43" t="s">
        <v>130</v>
      </c>
    </row>
    <row r="12" spans="1:14" ht="14.5" customHeight="1" x14ac:dyDescent="0.25">
      <c r="F12" s="43"/>
    </row>
    <row r="13" spans="1:14" ht="14.5" customHeight="1" x14ac:dyDescent="0.25"/>
    <row r="14" spans="1:14" ht="14.5" customHeight="1" x14ac:dyDescent="0.25"/>
    <row r="15" spans="1:14" ht="14.5" customHeight="1" x14ac:dyDescent="0.25"/>
    <row r="16" spans="1:14" ht="14.5" customHeight="1" x14ac:dyDescent="0.25"/>
    <row r="17" ht="14.5" customHeight="1" x14ac:dyDescent="0.25"/>
    <row r="18" ht="14.5" customHeight="1" x14ac:dyDescent="0.25"/>
    <row r="19" ht="14.5" customHeight="1" x14ac:dyDescent="0.25"/>
    <row r="20" ht="14.5" customHeight="1" x14ac:dyDescent="0.25"/>
    <row r="21" ht="14.5" customHeight="1" x14ac:dyDescent="0.25"/>
    <row r="22" ht="14.5" customHeight="1" x14ac:dyDescent="0.25"/>
    <row r="23" ht="14.5" customHeight="1" x14ac:dyDescent="0.25"/>
    <row r="24" ht="14.5" customHeight="1" x14ac:dyDescent="0.25"/>
    <row r="25" ht="14.5" customHeight="1" x14ac:dyDescent="0.25"/>
    <row r="26" ht="14.5" customHeight="1" x14ac:dyDescent="0.25"/>
    <row r="27" ht="14.5" customHeight="1" x14ac:dyDescent="0.25"/>
    <row r="28" ht="14.5" customHeight="1" x14ac:dyDescent="0.25"/>
    <row r="29" ht="14.5" customHeight="1" x14ac:dyDescent="0.25"/>
    <row r="30" ht="14.5" customHeight="1" x14ac:dyDescent="0.25"/>
    <row r="31" ht="14.5" customHeight="1" x14ac:dyDescent="0.25"/>
    <row r="32" ht="14.5" customHeight="1" x14ac:dyDescent="0.25"/>
    <row r="33" ht="14.5" customHeight="1" x14ac:dyDescent="0.25"/>
    <row r="34" ht="11.5" customHeight="1" x14ac:dyDescent="0.25"/>
    <row r="35" ht="11.5" customHeight="1" x14ac:dyDescent="0.25"/>
    <row r="36" ht="11.5" customHeight="1" x14ac:dyDescent="0.25"/>
    <row r="37" ht="11.5" customHeight="1" x14ac:dyDescent="0.25"/>
    <row r="38" ht="11.5" customHeight="1" x14ac:dyDescent="0.25"/>
    <row r="39" ht="11.5" customHeight="1" x14ac:dyDescent="0.25"/>
    <row r="40" ht="11.5" customHeight="1" x14ac:dyDescent="0.25"/>
    <row r="41" ht="11.5" customHeight="1" x14ac:dyDescent="0.25"/>
    <row r="42" ht="11.5" customHeight="1" x14ac:dyDescent="0.25"/>
    <row r="43" ht="11.5" customHeight="1" x14ac:dyDescent="0.25"/>
    <row r="44" ht="11.5" customHeight="1" x14ac:dyDescent="0.25"/>
    <row r="45" ht="11.5" customHeight="1" x14ac:dyDescent="0.25"/>
    <row r="46" ht="11.5" customHeight="1" x14ac:dyDescent="0.25"/>
    <row r="47" ht="11.5" customHeight="1" x14ac:dyDescent="0.25"/>
    <row r="48" ht="11.5" customHeight="1" x14ac:dyDescent="0.25"/>
    <row r="49" ht="11.5" customHeight="1" x14ac:dyDescent="0.25"/>
    <row r="50" ht="11.5" customHeight="1" x14ac:dyDescent="0.25"/>
    <row r="51" ht="11.5" customHeight="1" x14ac:dyDescent="0.25"/>
    <row r="52" ht="11.5" customHeight="1" x14ac:dyDescent="0.25"/>
    <row r="53" ht="11.5" customHeight="1" x14ac:dyDescent="0.25"/>
    <row r="54" ht="11.5" customHeight="1" x14ac:dyDescent="0.25"/>
    <row r="55" ht="11.5" customHeight="1" x14ac:dyDescent="0.25"/>
    <row r="56" ht="11.5" customHeight="1" x14ac:dyDescent="0.25"/>
    <row r="57" ht="11.5" customHeight="1" x14ac:dyDescent="0.25"/>
  </sheetData>
  <mergeCells count="4">
    <mergeCell ref="A1:E1"/>
    <mergeCell ref="F1:J1"/>
    <mergeCell ref="A2:A3"/>
    <mergeCell ref="F2:F3"/>
  </mergeCells>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D7D45-AD08-4FF4-8FAB-35B198E37013}">
  <dimension ref="A1:G31"/>
  <sheetViews>
    <sheetView workbookViewId="0">
      <selection activeCell="G12" sqref="G12:H12"/>
    </sheetView>
  </sheetViews>
  <sheetFormatPr defaultColWidth="9.1796875" defaultRowHeight="11.5" x14ac:dyDescent="0.25"/>
  <cols>
    <col min="1" max="1" width="31.453125" style="38" customWidth="1"/>
    <col min="2" max="2" width="18.7265625" style="38" bestFit="1" customWidth="1"/>
    <col min="3" max="5" width="10.453125" style="38" bestFit="1" customWidth="1"/>
    <col min="6" max="6" width="9.1796875" style="38"/>
    <col min="7" max="7" width="10.453125" style="38" bestFit="1" customWidth="1"/>
    <col min="8" max="16384" width="9.1796875" style="38"/>
  </cols>
  <sheetData>
    <row r="1" spans="1:7" x14ac:dyDescent="0.25">
      <c r="A1" s="5" t="s">
        <v>81</v>
      </c>
      <c r="B1" s="5" t="s">
        <v>235</v>
      </c>
      <c r="C1" s="5">
        <v>2018</v>
      </c>
      <c r="D1" s="5">
        <v>2019</v>
      </c>
      <c r="E1" s="5">
        <v>2020</v>
      </c>
    </row>
    <row r="2" spans="1:7" x14ac:dyDescent="0.25">
      <c r="A2" s="170" t="s">
        <v>133</v>
      </c>
      <c r="B2" s="171"/>
      <c r="C2" s="171"/>
      <c r="D2" s="171"/>
      <c r="E2" s="172"/>
    </row>
    <row r="3" spans="1:7" x14ac:dyDescent="0.25">
      <c r="A3" s="5" t="s">
        <v>138</v>
      </c>
      <c r="B3" s="5"/>
      <c r="C3" s="40">
        <f>BS!H5</f>
        <v>832000000</v>
      </c>
      <c r="D3" s="40">
        <f>BS!I5</f>
        <v>228000000</v>
      </c>
      <c r="E3" s="40">
        <f>BS!J5</f>
        <v>806000000</v>
      </c>
    </row>
    <row r="4" spans="1:7" x14ac:dyDescent="0.25">
      <c r="A4" s="5" t="s">
        <v>139</v>
      </c>
      <c r="B4" s="5"/>
      <c r="C4" s="40">
        <f>BS!H7</f>
        <v>633000000</v>
      </c>
      <c r="D4" s="40">
        <f>BS!I7</f>
        <v>501000000</v>
      </c>
      <c r="E4" s="40">
        <f>BS!J7</f>
        <v>817000000</v>
      </c>
    </row>
    <row r="5" spans="1:7" x14ac:dyDescent="0.25">
      <c r="A5" s="5" t="s">
        <v>125</v>
      </c>
      <c r="B5" s="5"/>
      <c r="C5" s="40">
        <f>BS!H8</f>
        <v>642000000</v>
      </c>
      <c r="D5" s="40">
        <f>BS!I8</f>
        <v>620000000</v>
      </c>
      <c r="E5" s="40">
        <f>BS!J8</f>
        <v>468000000</v>
      </c>
    </row>
    <row r="6" spans="1:7" x14ac:dyDescent="0.25">
      <c r="A6" s="5" t="s">
        <v>140</v>
      </c>
      <c r="B6" s="5"/>
      <c r="C6" s="40">
        <f>BS!H10</f>
        <v>393000000</v>
      </c>
      <c r="D6" s="40">
        <f>BS!I10</f>
        <v>438000000</v>
      </c>
      <c r="E6" s="40">
        <f>BS!J10</f>
        <v>361000000</v>
      </c>
    </row>
    <row r="7" spans="1:7" x14ac:dyDescent="0.25">
      <c r="A7" s="5" t="s">
        <v>21</v>
      </c>
      <c r="B7" s="5"/>
      <c r="C7" s="40">
        <f>BS!H35</f>
        <v>2874000000</v>
      </c>
      <c r="D7" s="40">
        <f>BS!I35</f>
        <v>2755000000</v>
      </c>
      <c r="E7" s="40">
        <f>BS!J35</f>
        <v>3092000000</v>
      </c>
    </row>
    <row r="8" spans="1:7" x14ac:dyDescent="0.25">
      <c r="A8" s="5" t="s">
        <v>134</v>
      </c>
      <c r="B8" s="5"/>
      <c r="C8" s="70">
        <f>(C3+C4+C5+C6)/C7</f>
        <v>0.86986778009742516</v>
      </c>
      <c r="D8" s="70">
        <f t="shared" ref="D8:E8" si="0">(D3+D4+D5+D6)/D7</f>
        <v>0.64863883847549908</v>
      </c>
      <c r="E8" s="70">
        <f t="shared" si="0"/>
        <v>0.79301423027166884</v>
      </c>
      <c r="G8" s="45"/>
    </row>
    <row r="9" spans="1:7" x14ac:dyDescent="0.25">
      <c r="A9" s="164" t="s">
        <v>141</v>
      </c>
      <c r="B9" s="165"/>
      <c r="C9" s="165"/>
      <c r="D9" s="165"/>
      <c r="E9" s="166"/>
    </row>
    <row r="10" spans="1:7" ht="14.15" customHeight="1" x14ac:dyDescent="0.25">
      <c r="A10" s="167"/>
      <c r="B10" s="168"/>
      <c r="C10" s="168"/>
      <c r="D10" s="168"/>
      <c r="E10" s="169"/>
    </row>
    <row r="11" spans="1:7" ht="14.15" customHeight="1" x14ac:dyDescent="0.25">
      <c r="A11" s="71"/>
      <c r="B11" s="72"/>
      <c r="C11" s="72"/>
      <c r="D11" s="72"/>
      <c r="E11" s="73"/>
    </row>
    <row r="12" spans="1:7" ht="14.15" customHeight="1" x14ac:dyDescent="0.25">
      <c r="A12" s="5" t="s">
        <v>81</v>
      </c>
      <c r="B12" s="5" t="s">
        <v>235</v>
      </c>
      <c r="C12" s="5">
        <v>2018</v>
      </c>
      <c r="D12" s="5">
        <v>2019</v>
      </c>
      <c r="E12" s="5">
        <v>2020</v>
      </c>
    </row>
    <row r="13" spans="1:7" x14ac:dyDescent="0.25">
      <c r="A13" s="161" t="s">
        <v>266</v>
      </c>
      <c r="B13" s="161"/>
      <c r="C13" s="161"/>
      <c r="D13" s="161"/>
      <c r="E13" s="161"/>
    </row>
    <row r="14" spans="1:7" x14ac:dyDescent="0.25">
      <c r="A14" s="5" t="str">
        <f>A3</f>
        <v>ДС</v>
      </c>
      <c r="B14" s="5" t="s">
        <v>46</v>
      </c>
      <c r="C14" s="40">
        <f t="shared" ref="C14:E15" si="1">C3</f>
        <v>832000000</v>
      </c>
      <c r="D14" s="40">
        <f t="shared" si="1"/>
        <v>228000000</v>
      </c>
      <c r="E14" s="40">
        <f t="shared" si="1"/>
        <v>806000000</v>
      </c>
    </row>
    <row r="15" spans="1:7" x14ac:dyDescent="0.25">
      <c r="A15" s="51" t="str">
        <f>A4</f>
        <v>Прочие оборотные фин активы</v>
      </c>
      <c r="B15" s="51" t="s">
        <v>46</v>
      </c>
      <c r="C15" s="40">
        <f t="shared" si="1"/>
        <v>633000000</v>
      </c>
      <c r="D15" s="40">
        <f t="shared" si="1"/>
        <v>501000000</v>
      </c>
      <c r="E15" s="40">
        <f t="shared" si="1"/>
        <v>817000000</v>
      </c>
    </row>
    <row r="16" spans="1:7" x14ac:dyDescent="0.25">
      <c r="A16" s="5" t="str">
        <f>A7</f>
        <v>Краткосрочные обязательства</v>
      </c>
      <c r="B16" s="5" t="s">
        <v>46</v>
      </c>
      <c r="C16" s="40">
        <f>C7</f>
        <v>2874000000</v>
      </c>
      <c r="D16" s="40">
        <f>D7</f>
        <v>2755000000</v>
      </c>
      <c r="E16" s="40">
        <f>E7</f>
        <v>3092000000</v>
      </c>
    </row>
    <row r="17" spans="1:5" x14ac:dyDescent="0.25">
      <c r="A17" s="41" t="s">
        <v>135</v>
      </c>
      <c r="B17" s="41" t="s">
        <v>264</v>
      </c>
      <c r="C17" s="50">
        <f>(C14+C15)/C16</f>
        <v>0.50974251913709112</v>
      </c>
      <c r="D17" s="50">
        <f>(D14+D15)/D16</f>
        <v>0.26460980036297643</v>
      </c>
      <c r="E17" s="50">
        <f t="shared" ref="E17" si="2">(E14+E15)/E16</f>
        <v>0.52490297542043984</v>
      </c>
    </row>
    <row r="18" spans="1:5" ht="34.5" customHeight="1" x14ac:dyDescent="0.25">
      <c r="A18" s="161" t="s">
        <v>265</v>
      </c>
      <c r="B18" s="161"/>
      <c r="C18" s="161"/>
      <c r="D18" s="161"/>
      <c r="E18" s="161"/>
    </row>
    <row r="19" spans="1:5" x14ac:dyDescent="0.25">
      <c r="A19" s="161" t="s">
        <v>262</v>
      </c>
      <c r="B19" s="161"/>
      <c r="C19" s="161"/>
      <c r="D19" s="161"/>
      <c r="E19" s="161"/>
    </row>
    <row r="20" spans="1:5" x14ac:dyDescent="0.25">
      <c r="A20" s="5" t="str">
        <f>A3</f>
        <v>ДС</v>
      </c>
      <c r="B20" s="5" t="s">
        <v>46</v>
      </c>
      <c r="C20" s="40">
        <f t="shared" ref="C20:E21" si="3">C14</f>
        <v>832000000</v>
      </c>
      <c r="D20" s="40">
        <f t="shared" si="3"/>
        <v>228000000</v>
      </c>
      <c r="E20" s="40">
        <f t="shared" si="3"/>
        <v>806000000</v>
      </c>
    </row>
    <row r="21" spans="1:5" x14ac:dyDescent="0.25">
      <c r="A21" s="51" t="str">
        <f>A4</f>
        <v>Прочие оборотные фин активы</v>
      </c>
      <c r="B21" s="51" t="s">
        <v>46</v>
      </c>
      <c r="C21" s="40">
        <f t="shared" si="3"/>
        <v>633000000</v>
      </c>
      <c r="D21" s="40">
        <f t="shared" si="3"/>
        <v>501000000</v>
      </c>
      <c r="E21" s="40">
        <f t="shared" si="3"/>
        <v>817000000</v>
      </c>
    </row>
    <row r="22" spans="1:5" x14ac:dyDescent="0.25">
      <c r="A22" s="51" t="str">
        <f>A5</f>
        <v>ДЗ</v>
      </c>
      <c r="B22" s="51" t="s">
        <v>46</v>
      </c>
      <c r="C22" s="40">
        <f>C5</f>
        <v>642000000</v>
      </c>
      <c r="D22" s="40">
        <f>D5</f>
        <v>620000000</v>
      </c>
      <c r="E22" s="40">
        <f>E5</f>
        <v>468000000</v>
      </c>
    </row>
    <row r="23" spans="1:5" x14ac:dyDescent="0.25">
      <c r="A23" s="5" t="str">
        <f>A7</f>
        <v>Краткосрочные обязательства</v>
      </c>
      <c r="B23" s="5" t="s">
        <v>46</v>
      </c>
      <c r="C23" s="40">
        <f>C16</f>
        <v>2874000000</v>
      </c>
      <c r="D23" s="40">
        <f>D16</f>
        <v>2755000000</v>
      </c>
      <c r="E23" s="40">
        <f>E16</f>
        <v>3092000000</v>
      </c>
    </row>
    <row r="24" spans="1:5" x14ac:dyDescent="0.25">
      <c r="A24" s="41" t="s">
        <v>136</v>
      </c>
      <c r="B24" s="41" t="s">
        <v>261</v>
      </c>
      <c r="C24" s="50">
        <f>(C20+C21+C22)/C23</f>
        <v>0.7331245650661099</v>
      </c>
      <c r="D24" s="50">
        <f>(D20+D21+D22)/D23</f>
        <v>0.48965517241379308</v>
      </c>
      <c r="E24" s="50">
        <f t="shared" ref="E24" si="4">(E20+E21+E22)/E23</f>
        <v>0.67626131953428203</v>
      </c>
    </row>
    <row r="25" spans="1:5" ht="37" customHeight="1" x14ac:dyDescent="0.25">
      <c r="A25" s="161" t="s">
        <v>263</v>
      </c>
      <c r="B25" s="161"/>
      <c r="C25" s="161"/>
      <c r="D25" s="161"/>
      <c r="E25" s="161"/>
    </row>
    <row r="26" spans="1:5" x14ac:dyDescent="0.25">
      <c r="A26" s="161" t="s">
        <v>258</v>
      </c>
      <c r="B26" s="161"/>
      <c r="C26" s="161"/>
      <c r="D26" s="161"/>
      <c r="E26" s="161"/>
    </row>
    <row r="27" spans="1:5" x14ac:dyDescent="0.25">
      <c r="A27" s="5" t="s">
        <v>142</v>
      </c>
      <c r="B27" s="5" t="s">
        <v>46</v>
      </c>
      <c r="C27" s="40">
        <f>BS!H12</f>
        <v>3022000000</v>
      </c>
      <c r="D27" s="40">
        <f>BS!I12</f>
        <v>2396000000</v>
      </c>
      <c r="E27" s="40">
        <f>BS!J12</f>
        <v>2922000000</v>
      </c>
    </row>
    <row r="28" spans="1:5" x14ac:dyDescent="0.25">
      <c r="A28" s="5" t="str">
        <f>A7</f>
        <v>Краткосрочные обязательства</v>
      </c>
      <c r="B28" s="5" t="s">
        <v>46</v>
      </c>
      <c r="C28" s="40">
        <f>C7</f>
        <v>2874000000</v>
      </c>
      <c r="D28" s="40">
        <f>D7</f>
        <v>2755000000</v>
      </c>
      <c r="E28" s="40">
        <f>E7</f>
        <v>3092000000</v>
      </c>
    </row>
    <row r="29" spans="1:5" x14ac:dyDescent="0.25">
      <c r="A29" s="41" t="s">
        <v>137</v>
      </c>
      <c r="B29" s="41" t="s">
        <v>259</v>
      </c>
      <c r="C29" s="50">
        <f>C27/C28</f>
        <v>1.0514961725817675</v>
      </c>
      <c r="D29" s="50">
        <f>D27/D28</f>
        <v>0.86969147005444647</v>
      </c>
      <c r="E29" s="50">
        <f t="shared" ref="E29" si="5">E27/E28</f>
        <v>0.94501940491591208</v>
      </c>
    </row>
    <row r="30" spans="1:5" ht="29.5" customHeight="1" x14ac:dyDescent="0.25">
      <c r="A30" s="161" t="s">
        <v>260</v>
      </c>
      <c r="B30" s="161"/>
      <c r="C30" s="161"/>
      <c r="D30" s="161"/>
      <c r="E30" s="161"/>
    </row>
    <row r="31" spans="1:5" ht="14.5" x14ac:dyDescent="0.35">
      <c r="A31"/>
      <c r="B31"/>
      <c r="C31"/>
      <c r="D31"/>
      <c r="E31"/>
    </row>
  </sheetData>
  <mergeCells count="8">
    <mergeCell ref="A9:E10"/>
    <mergeCell ref="A2:E2"/>
    <mergeCell ref="A26:E26"/>
    <mergeCell ref="A30:E30"/>
    <mergeCell ref="A13:E13"/>
    <mergeCell ref="A18:E18"/>
    <mergeCell ref="A19:E19"/>
    <mergeCell ref="A25:E2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72C02-6F25-406B-BD48-306246785480}">
  <dimension ref="A1:H49"/>
  <sheetViews>
    <sheetView workbookViewId="0">
      <selection activeCell="E53" sqref="E53"/>
    </sheetView>
  </sheetViews>
  <sheetFormatPr defaultColWidth="9.1796875" defaultRowHeight="11.5" x14ac:dyDescent="0.25"/>
  <cols>
    <col min="1" max="1" width="27.54296875" style="38" customWidth="1"/>
    <col min="2" max="2" width="12.54296875" style="38" customWidth="1"/>
    <col min="3" max="4" width="12.7265625" style="38" bestFit="1" customWidth="1"/>
    <col min="5" max="5" width="9.26953125" style="38" bestFit="1" customWidth="1"/>
    <col min="6" max="6" width="16.54296875" style="38" customWidth="1"/>
    <col min="7" max="7" width="13.54296875" style="38" customWidth="1"/>
    <col min="8" max="8" width="16.81640625" style="38" customWidth="1"/>
    <col min="9" max="16384" width="9.1796875" style="38"/>
  </cols>
  <sheetData>
    <row r="1" spans="1:4" x14ac:dyDescent="0.25">
      <c r="A1" s="5" t="s">
        <v>81</v>
      </c>
      <c r="B1" s="5">
        <v>2018</v>
      </c>
      <c r="C1" s="5">
        <v>2019</v>
      </c>
      <c r="D1" s="5">
        <v>2020</v>
      </c>
    </row>
    <row r="2" spans="1:4" ht="11.5" customHeight="1" x14ac:dyDescent="0.25">
      <c r="A2" s="173" t="s">
        <v>267</v>
      </c>
      <c r="B2" s="173"/>
      <c r="C2" s="173"/>
      <c r="D2" s="173"/>
    </row>
    <row r="3" spans="1:4" x14ac:dyDescent="0.25">
      <c r="A3" s="5" t="s">
        <v>80</v>
      </c>
      <c r="B3" s="55">
        <f>IS!H6</f>
        <v>8238000000</v>
      </c>
      <c r="C3" s="55">
        <f>IS!I6</f>
        <v>8676000000</v>
      </c>
      <c r="D3" s="55">
        <f>IS!J6</f>
        <v>5757000000</v>
      </c>
    </row>
    <row r="4" spans="1:4" x14ac:dyDescent="0.25">
      <c r="A4" s="5" t="s">
        <v>99</v>
      </c>
      <c r="B4" s="40">
        <f>BS!H25</f>
        <v>13163000000</v>
      </c>
      <c r="C4" s="40">
        <f>BS!I25</f>
        <v>12946000000</v>
      </c>
      <c r="D4" s="40">
        <f>BS!J25</f>
        <v>15350000000</v>
      </c>
    </row>
    <row r="5" spans="1:4" x14ac:dyDescent="0.25">
      <c r="A5" s="41" t="s">
        <v>143</v>
      </c>
      <c r="B5" s="50">
        <f>B3/B4</f>
        <v>0.62584517207323553</v>
      </c>
      <c r="C5" s="50">
        <f>C3/C4</f>
        <v>0.67016839178124521</v>
      </c>
      <c r="D5" s="50">
        <f>D3/D4</f>
        <v>0.37504885993485343</v>
      </c>
    </row>
    <row r="6" spans="1:4" x14ac:dyDescent="0.25">
      <c r="A6" s="41" t="s">
        <v>144</v>
      </c>
      <c r="B6" s="56">
        <f>365/B5</f>
        <v>583.21133770332608</v>
      </c>
      <c r="C6" s="56">
        <f t="shared" ref="C6:D6" si="0">365/C5</f>
        <v>544.63923467035499</v>
      </c>
      <c r="D6" s="56">
        <f t="shared" si="0"/>
        <v>973.20653117943368</v>
      </c>
    </row>
    <row r="7" spans="1:4" ht="11.5" customHeight="1" x14ac:dyDescent="0.25">
      <c r="A7" s="174" t="s">
        <v>268</v>
      </c>
      <c r="B7" s="174"/>
      <c r="C7" s="174"/>
      <c r="D7" s="174"/>
    </row>
    <row r="8" spans="1:4" x14ac:dyDescent="0.25">
      <c r="A8" s="5" t="s">
        <v>80</v>
      </c>
      <c r="B8" s="55">
        <f>B3</f>
        <v>8238000000</v>
      </c>
      <c r="C8" s="55">
        <f>C3</f>
        <v>8676000000</v>
      </c>
      <c r="D8" s="55">
        <f>D3</f>
        <v>5757000000</v>
      </c>
    </row>
    <row r="9" spans="1:4" x14ac:dyDescent="0.25">
      <c r="A9" s="5" t="s">
        <v>109</v>
      </c>
      <c r="B9" s="39">
        <f>BS!H52</f>
        <v>4677000000</v>
      </c>
      <c r="C9" s="39">
        <f>BS!I52</f>
        <v>5149000000</v>
      </c>
      <c r="D9" s="39">
        <f>BS!J52</f>
        <v>5487000000</v>
      </c>
    </row>
    <row r="10" spans="1:4" x14ac:dyDescent="0.25">
      <c r="A10" s="41" t="s">
        <v>145</v>
      </c>
      <c r="B10" s="50">
        <f>B8/B9</f>
        <v>1.7613855035279025</v>
      </c>
      <c r="C10" s="50">
        <f>C8/C9</f>
        <v>1.6849873761895513</v>
      </c>
      <c r="D10" s="50">
        <f t="shared" ref="D10" si="1">D8/D9</f>
        <v>1.0492072170585018</v>
      </c>
    </row>
    <row r="11" spans="1:4" x14ac:dyDescent="0.25">
      <c r="A11" s="41" t="s">
        <v>146</v>
      </c>
      <c r="B11" s="56">
        <f>365/B10</f>
        <v>207.22323379461034</v>
      </c>
      <c r="C11" s="56">
        <f t="shared" ref="C11:D11" si="2">365/C10</f>
        <v>216.61883356385431</v>
      </c>
      <c r="D11" s="56">
        <f t="shared" si="2"/>
        <v>347.88170922355397</v>
      </c>
    </row>
    <row r="12" spans="1:4" ht="11.5" customHeight="1" x14ac:dyDescent="0.25">
      <c r="A12" s="174" t="s">
        <v>269</v>
      </c>
      <c r="B12" s="174"/>
      <c r="C12" s="174"/>
      <c r="D12" s="174"/>
    </row>
    <row r="13" spans="1:4" x14ac:dyDescent="0.25">
      <c r="A13" s="5" t="s">
        <v>80</v>
      </c>
      <c r="B13" s="55">
        <f>B3</f>
        <v>8238000000</v>
      </c>
      <c r="C13" s="55">
        <f>C3</f>
        <v>8676000000</v>
      </c>
      <c r="D13" s="55">
        <f>D3</f>
        <v>5757000000</v>
      </c>
    </row>
    <row r="14" spans="1:4" x14ac:dyDescent="0.25">
      <c r="A14" s="5" t="s">
        <v>123</v>
      </c>
      <c r="B14" s="39">
        <f>BS!H23</f>
        <v>10141000000</v>
      </c>
      <c r="C14" s="39">
        <f>BS!I23</f>
        <v>10550000000</v>
      </c>
      <c r="D14" s="39">
        <f>BS!J23</f>
        <v>12428000000</v>
      </c>
    </row>
    <row r="15" spans="1:4" x14ac:dyDescent="0.25">
      <c r="A15" s="41" t="s">
        <v>147</v>
      </c>
      <c r="B15" s="50">
        <f>B13/B14</f>
        <v>0.81234592249285076</v>
      </c>
      <c r="C15" s="50">
        <f>C13/C14</f>
        <v>0.82236966824644553</v>
      </c>
      <c r="D15" s="50">
        <f t="shared" ref="D15" si="3">D13/D14</f>
        <v>0.4632281943997425</v>
      </c>
    </row>
    <row r="16" spans="1:4" x14ac:dyDescent="0.25">
      <c r="A16" s="41" t="s">
        <v>148</v>
      </c>
      <c r="B16" s="56">
        <f>365/B15</f>
        <v>449.31597475115319</v>
      </c>
      <c r="C16" s="56">
        <f t="shared" ref="C16:D16" si="4">365/C15</f>
        <v>443.83932687874596</v>
      </c>
      <c r="D16" s="56">
        <f t="shared" si="4"/>
        <v>787.94858433211743</v>
      </c>
    </row>
    <row r="17" spans="1:8" ht="11.5" customHeight="1" x14ac:dyDescent="0.25">
      <c r="A17" s="174" t="s">
        <v>270</v>
      </c>
      <c r="B17" s="174"/>
      <c r="C17" s="174"/>
      <c r="D17" s="174"/>
    </row>
    <row r="18" spans="1:8" x14ac:dyDescent="0.25">
      <c r="A18" s="5" t="s">
        <v>80</v>
      </c>
      <c r="B18" s="55">
        <f>B3</f>
        <v>8238000000</v>
      </c>
      <c r="C18" s="55">
        <f>C3</f>
        <v>8676000000</v>
      </c>
      <c r="D18" s="55">
        <f>D3</f>
        <v>5757000000</v>
      </c>
    </row>
    <row r="19" spans="1:8" x14ac:dyDescent="0.25">
      <c r="A19" s="5" t="s">
        <v>142</v>
      </c>
      <c r="B19" s="39">
        <f>BS!H12</f>
        <v>3022000000</v>
      </c>
      <c r="C19" s="39">
        <f>BS!I12</f>
        <v>2396000000</v>
      </c>
      <c r="D19" s="39">
        <f>BS!J12</f>
        <v>2922000000</v>
      </c>
    </row>
    <row r="20" spans="1:8" x14ac:dyDescent="0.25">
      <c r="A20" s="41" t="s">
        <v>149</v>
      </c>
      <c r="B20" s="50">
        <f>B18/B19</f>
        <v>2.726009265387161</v>
      </c>
      <c r="C20" s="50">
        <f>C18/C19</f>
        <v>3.621035058430718</v>
      </c>
      <c r="D20" s="50">
        <f t="shared" ref="D20" si="5">D18/D19</f>
        <v>1.9702258726899384</v>
      </c>
    </row>
    <row r="21" spans="1:8" x14ac:dyDescent="0.25">
      <c r="A21" s="41" t="s">
        <v>150</v>
      </c>
      <c r="B21" s="56">
        <f>365/B20</f>
        <v>133.89536295217286</v>
      </c>
      <c r="C21" s="56">
        <f t="shared" ref="C21:D21" si="6">365/C20</f>
        <v>100.79990779160903</v>
      </c>
      <c r="D21" s="56">
        <f t="shared" si="6"/>
        <v>185.2579468473163</v>
      </c>
    </row>
    <row r="22" spans="1:8" ht="11.5" customHeight="1" x14ac:dyDescent="0.25">
      <c r="A22" s="174" t="s">
        <v>271</v>
      </c>
      <c r="B22" s="174"/>
      <c r="C22" s="174"/>
      <c r="D22" s="174"/>
    </row>
    <row r="23" spans="1:8" x14ac:dyDescent="0.25">
      <c r="A23" s="5" t="s">
        <v>80</v>
      </c>
      <c r="B23" s="55">
        <f>B18</f>
        <v>8238000000</v>
      </c>
      <c r="C23" s="55">
        <f>C18</f>
        <v>8676000000</v>
      </c>
      <c r="D23" s="55">
        <f>D18</f>
        <v>5757000000</v>
      </c>
    </row>
    <row r="24" spans="1:8" x14ac:dyDescent="0.25">
      <c r="A24" s="5" t="s">
        <v>10</v>
      </c>
      <c r="B24" s="39">
        <f>BS!H14</f>
        <v>8445000000</v>
      </c>
      <c r="C24" s="39">
        <f>BS!I14</f>
        <v>8706000000</v>
      </c>
      <c r="D24" s="39">
        <f>BS!J14</f>
        <v>10401000000</v>
      </c>
    </row>
    <row r="25" spans="1:8" x14ac:dyDescent="0.25">
      <c r="A25" s="41" t="s">
        <v>151</v>
      </c>
      <c r="B25" s="50">
        <f>B23/B24</f>
        <v>0.97548845470692713</v>
      </c>
      <c r="C25" s="50">
        <f>C23/C24</f>
        <v>0.99655410062026184</v>
      </c>
      <c r="D25" s="50">
        <f t="shared" ref="D25" si="7">D23/D24</f>
        <v>0.5535044707239688</v>
      </c>
    </row>
    <row r="26" spans="1:8" x14ac:dyDescent="0.25">
      <c r="A26" s="41" t="s">
        <v>152</v>
      </c>
      <c r="B26" s="56">
        <f>365/B25</f>
        <v>374.17152221412965</v>
      </c>
      <c r="C26" s="56">
        <f t="shared" ref="C26:D26" si="8">365/C25</f>
        <v>366.26210235131401</v>
      </c>
      <c r="D26" s="56">
        <f t="shared" si="8"/>
        <v>659.43460135487237</v>
      </c>
    </row>
    <row r="27" spans="1:8" ht="11.5" customHeight="1" x14ac:dyDescent="0.25">
      <c r="A27" s="161" t="s">
        <v>273</v>
      </c>
      <c r="B27" s="161"/>
      <c r="C27" s="161"/>
      <c r="D27" s="161"/>
    </row>
    <row r="28" spans="1:8" x14ac:dyDescent="0.25">
      <c r="A28" s="5" t="s">
        <v>80</v>
      </c>
      <c r="B28" s="55">
        <f>B23</f>
        <v>8238000000</v>
      </c>
      <c r="C28" s="55">
        <f>C23</f>
        <v>8676000000</v>
      </c>
      <c r="D28" s="55">
        <f>D23</f>
        <v>5757000000</v>
      </c>
    </row>
    <row r="29" spans="1:8" x14ac:dyDescent="0.25">
      <c r="A29" s="5" t="s">
        <v>84</v>
      </c>
      <c r="B29" s="40">
        <f>'сок+фин.устойчивость'!B8</f>
        <v>5760000000</v>
      </c>
      <c r="C29" s="40">
        <f>'сок+фин.устойчивость'!C8</f>
        <v>4683000000</v>
      </c>
      <c r="D29" s="40">
        <f>'сок+фин.устойчивость'!D8</f>
        <v>6601000000</v>
      </c>
      <c r="H29" s="45"/>
    </row>
    <row r="30" spans="1:8" x14ac:dyDescent="0.25">
      <c r="A30" s="41" t="s">
        <v>155</v>
      </c>
      <c r="B30" s="50">
        <f>B28/B29</f>
        <v>1.4302083333333333</v>
      </c>
      <c r="C30" s="50">
        <f>C28/C29</f>
        <v>1.8526585522101218</v>
      </c>
      <c r="D30" s="50">
        <f t="shared" ref="D30" si="9">D28/D29</f>
        <v>0.87214058475988487</v>
      </c>
    </row>
    <row r="31" spans="1:8" x14ac:dyDescent="0.25">
      <c r="A31" s="41" t="s">
        <v>156</v>
      </c>
      <c r="B31" s="56">
        <f>365/B30</f>
        <v>255.20757465404225</v>
      </c>
      <c r="C31" s="56">
        <f t="shared" ref="C31:D31" si="10">365/C30</f>
        <v>197.01417704011064</v>
      </c>
      <c r="D31" s="56">
        <f t="shared" si="10"/>
        <v>418.51050894563139</v>
      </c>
    </row>
    <row r="32" spans="1:8" x14ac:dyDescent="0.25">
      <c r="A32" s="174" t="s">
        <v>272</v>
      </c>
      <c r="B32" s="174"/>
      <c r="C32" s="174"/>
      <c r="D32" s="174"/>
    </row>
    <row r="33" spans="1:4" x14ac:dyDescent="0.25">
      <c r="A33" s="5" t="str">
        <f>A28</f>
        <v>Выручка</v>
      </c>
      <c r="B33" s="55">
        <f>B28</f>
        <v>8238000000</v>
      </c>
      <c r="C33" s="55">
        <f t="shared" ref="C33:D33" si="11">C28</f>
        <v>8676000000</v>
      </c>
      <c r="D33" s="55">
        <f t="shared" si="11"/>
        <v>5757000000</v>
      </c>
    </row>
    <row r="34" spans="1:4" x14ac:dyDescent="0.25">
      <c r="A34" s="5" t="s">
        <v>88</v>
      </c>
      <c r="B34" s="39">
        <f>BS!H10</f>
        <v>393000000</v>
      </c>
      <c r="C34" s="39">
        <f>BS!I10</f>
        <v>438000000</v>
      </c>
      <c r="D34" s="39">
        <f>BS!J10</f>
        <v>361000000</v>
      </c>
    </row>
    <row r="35" spans="1:4" x14ac:dyDescent="0.25">
      <c r="A35" s="41" t="s">
        <v>153</v>
      </c>
      <c r="B35" s="50">
        <f>B33/B34</f>
        <v>20.961832061068701</v>
      </c>
      <c r="C35" s="50">
        <f t="shared" ref="C35:D35" si="12">C33/C34</f>
        <v>19.80821917808219</v>
      </c>
      <c r="D35" s="50">
        <f t="shared" si="12"/>
        <v>15.947368421052632</v>
      </c>
    </row>
    <row r="36" spans="1:4" x14ac:dyDescent="0.25">
      <c r="A36" s="41" t="s">
        <v>154</v>
      </c>
      <c r="B36" s="56">
        <f>365/B35</f>
        <v>17.412600145666424</v>
      </c>
      <c r="C36" s="56">
        <f t="shared" ref="C36:D36" si="13">365/C35</f>
        <v>18.426694329183956</v>
      </c>
      <c r="D36" s="56">
        <f t="shared" si="13"/>
        <v>22.887788778877887</v>
      </c>
    </row>
    <row r="37" spans="1:4" x14ac:dyDescent="0.25">
      <c r="A37" s="41" t="s">
        <v>276</v>
      </c>
      <c r="B37" s="175">
        <f>AVERAGE(B36:D36)</f>
        <v>19.575694417909421</v>
      </c>
      <c r="C37" s="176"/>
      <c r="D37" s="177"/>
    </row>
    <row r="38" spans="1:4" ht="11.5" customHeight="1" x14ac:dyDescent="0.25">
      <c r="A38" s="174" t="s">
        <v>274</v>
      </c>
      <c r="B38" s="174"/>
      <c r="C38" s="174"/>
      <c r="D38" s="174"/>
    </row>
    <row r="39" spans="1:4" x14ac:dyDescent="0.25">
      <c r="A39" s="5" t="s">
        <v>80</v>
      </c>
      <c r="B39" s="55">
        <f>B28</f>
        <v>8238000000</v>
      </c>
      <c r="C39" s="55">
        <f t="shared" ref="C39:D39" si="14">C28</f>
        <v>8676000000</v>
      </c>
      <c r="D39" s="55">
        <f t="shared" si="14"/>
        <v>5757000000</v>
      </c>
    </row>
    <row r="40" spans="1:4" x14ac:dyDescent="0.25">
      <c r="A40" s="5" t="s">
        <v>5</v>
      </c>
      <c r="B40" s="39">
        <f>BS!H8</f>
        <v>642000000</v>
      </c>
      <c r="C40" s="39">
        <f>BS!I8</f>
        <v>620000000</v>
      </c>
      <c r="D40" s="39">
        <f>BS!J8</f>
        <v>468000000</v>
      </c>
    </row>
    <row r="41" spans="1:4" x14ac:dyDescent="0.25">
      <c r="A41" s="41" t="s">
        <v>157</v>
      </c>
      <c r="B41" s="50">
        <f>B39/B40</f>
        <v>12.83177570093458</v>
      </c>
      <c r="C41" s="50">
        <f t="shared" ref="C41:D41" si="15">C39/C40</f>
        <v>13.993548387096775</v>
      </c>
      <c r="D41" s="50">
        <f t="shared" si="15"/>
        <v>12.301282051282051</v>
      </c>
    </row>
    <row r="42" spans="1:4" x14ac:dyDescent="0.25">
      <c r="A42" s="41" t="s">
        <v>158</v>
      </c>
      <c r="B42" s="56">
        <f>365/B41</f>
        <v>28.445010924981791</v>
      </c>
      <c r="C42" s="56">
        <f t="shared" ref="C42:D42" si="16">365/C41</f>
        <v>26.083448593822038</v>
      </c>
      <c r="D42" s="56">
        <f t="shared" si="16"/>
        <v>29.671704012506513</v>
      </c>
    </row>
    <row r="43" spans="1:4" x14ac:dyDescent="0.25">
      <c r="A43" s="41" t="s">
        <v>276</v>
      </c>
      <c r="B43" s="175">
        <f>AVERAGE(B42:D42)</f>
        <v>28.066721177103446</v>
      </c>
      <c r="C43" s="176"/>
      <c r="D43" s="177"/>
    </row>
    <row r="44" spans="1:4" ht="11.5" customHeight="1" x14ac:dyDescent="0.25">
      <c r="A44" s="174" t="s">
        <v>275</v>
      </c>
      <c r="B44" s="174"/>
      <c r="C44" s="174"/>
      <c r="D44" s="174"/>
    </row>
    <row r="45" spans="1:4" x14ac:dyDescent="0.25">
      <c r="A45" s="5" t="s">
        <v>80</v>
      </c>
      <c r="B45" s="55">
        <f>B39</f>
        <v>8238000000</v>
      </c>
      <c r="C45" s="55">
        <f>C39</f>
        <v>8676000000</v>
      </c>
      <c r="D45" s="55">
        <f>D39</f>
        <v>5757000000</v>
      </c>
    </row>
    <row r="46" spans="1:4" x14ac:dyDescent="0.25">
      <c r="A46" s="5" t="s">
        <v>108</v>
      </c>
      <c r="B46" s="39">
        <f>BS!H28</f>
        <v>1130000000</v>
      </c>
      <c r="C46" s="39">
        <f>BS!I28</f>
        <v>1162000000</v>
      </c>
      <c r="D46" s="39">
        <f>BS!J28</f>
        <v>1546000000</v>
      </c>
    </row>
    <row r="47" spans="1:4" x14ac:dyDescent="0.25">
      <c r="A47" s="41" t="s">
        <v>157</v>
      </c>
      <c r="B47" s="50">
        <f>B45/B46</f>
        <v>7.290265486725664</v>
      </c>
      <c r="C47" s="50">
        <f>C45/C46</f>
        <v>7.4664371772805511</v>
      </c>
      <c r="D47" s="50">
        <f t="shared" ref="D47" si="17">D45/D46</f>
        <v>3.723803363518758</v>
      </c>
    </row>
    <row r="48" spans="1:4" x14ac:dyDescent="0.25">
      <c r="A48" s="41" t="s">
        <v>158</v>
      </c>
      <c r="B48" s="56">
        <f>365/B47</f>
        <v>50.066763777615925</v>
      </c>
      <c r="C48" s="56">
        <f t="shared" ref="C48:D48" si="18">365/C47</f>
        <v>48.885431074227753</v>
      </c>
      <c r="D48" s="56">
        <f t="shared" si="18"/>
        <v>98.018064964391186</v>
      </c>
    </row>
    <row r="49" spans="1:4" x14ac:dyDescent="0.25">
      <c r="A49" s="41" t="s">
        <v>276</v>
      </c>
      <c r="B49" s="175">
        <f>AVERAGE(B48:D48)</f>
        <v>65.656753272078291</v>
      </c>
      <c r="C49" s="176"/>
      <c r="D49" s="177"/>
    </row>
  </sheetData>
  <mergeCells count="12">
    <mergeCell ref="B49:D49"/>
    <mergeCell ref="A32:D32"/>
    <mergeCell ref="B37:D37"/>
    <mergeCell ref="A27:D27"/>
    <mergeCell ref="A38:D38"/>
    <mergeCell ref="A44:D44"/>
    <mergeCell ref="B43:D43"/>
    <mergeCell ref="A2:D2"/>
    <mergeCell ref="A7:D7"/>
    <mergeCell ref="A12:D12"/>
    <mergeCell ref="A17:D17"/>
    <mergeCell ref="A22:D2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29B85-64DB-4A69-92E2-8F880B68A817}">
  <dimension ref="A1:Q36"/>
  <sheetViews>
    <sheetView workbookViewId="0">
      <selection activeCell="G40" sqref="G40"/>
    </sheetView>
  </sheetViews>
  <sheetFormatPr defaultColWidth="8.7265625" defaultRowHeight="11.5" x14ac:dyDescent="0.25"/>
  <cols>
    <col min="1" max="1" width="27.453125" style="38" customWidth="1"/>
    <col min="2" max="2" width="14" style="38" customWidth="1"/>
    <col min="3" max="3" width="14.54296875" style="38" customWidth="1"/>
    <col min="4" max="4" width="15.1796875" style="38" customWidth="1"/>
    <col min="5" max="5" width="18.1796875" style="38" customWidth="1"/>
    <col min="6" max="6" width="17.1796875" style="38" customWidth="1"/>
    <col min="7" max="7" width="17.81640625" style="38" customWidth="1"/>
    <col min="8" max="8" width="20.81640625" style="38" customWidth="1"/>
    <col min="9" max="9" width="18.26953125" style="38" customWidth="1"/>
    <col min="10" max="11" width="19.453125" style="38" customWidth="1"/>
    <col min="12" max="14" width="18.7265625" style="38" customWidth="1"/>
    <col min="15" max="16384" width="8.7265625" style="38"/>
  </cols>
  <sheetData>
    <row r="1" spans="1:17" x14ac:dyDescent="0.25">
      <c r="A1" s="5" t="s">
        <v>81</v>
      </c>
      <c r="B1" s="5">
        <v>2018</v>
      </c>
      <c r="C1" s="5">
        <v>2019</v>
      </c>
      <c r="D1" s="5">
        <v>2020</v>
      </c>
    </row>
    <row r="2" spans="1:17" ht="15" customHeight="1" x14ac:dyDescent="0.25">
      <c r="A2" s="161" t="s">
        <v>159</v>
      </c>
      <c r="B2" s="161"/>
      <c r="C2" s="161"/>
      <c r="D2" s="161"/>
      <c r="E2" s="178" t="s">
        <v>171</v>
      </c>
      <c r="F2" s="179"/>
      <c r="G2" s="179"/>
      <c r="H2" s="179"/>
      <c r="I2" s="179"/>
      <c r="J2" s="179"/>
      <c r="K2" s="179"/>
      <c r="L2" s="179"/>
      <c r="M2" s="179"/>
      <c r="N2" s="179"/>
      <c r="O2" s="179"/>
      <c r="P2" s="179"/>
      <c r="Q2" s="179"/>
    </row>
    <row r="3" spans="1:17" x14ac:dyDescent="0.25">
      <c r="A3" s="5" t="s">
        <v>164</v>
      </c>
      <c r="B3" s="10">
        <f>IS!H17</f>
        <v>1284000000</v>
      </c>
      <c r="C3" s="10">
        <f>IS!I17</f>
        <v>1305000000</v>
      </c>
      <c r="D3" s="10">
        <f>IS!J17</f>
        <v>378000000</v>
      </c>
      <c r="E3" s="178"/>
      <c r="F3" s="179"/>
      <c r="G3" s="179"/>
      <c r="H3" s="179"/>
      <c r="I3" s="179"/>
      <c r="J3" s="179"/>
      <c r="K3" s="179"/>
      <c r="L3" s="179"/>
      <c r="M3" s="179"/>
      <c r="N3" s="179"/>
      <c r="O3" s="179"/>
      <c r="P3" s="179"/>
      <c r="Q3" s="179"/>
    </row>
    <row r="4" spans="1:17" x14ac:dyDescent="0.25">
      <c r="A4" s="5" t="s">
        <v>80</v>
      </c>
      <c r="B4" s="10">
        <f>IS!H6</f>
        <v>8238000000</v>
      </c>
      <c r="C4" s="10">
        <f>IS!I6</f>
        <v>8676000000</v>
      </c>
      <c r="D4" s="10">
        <f>IS!J6</f>
        <v>5757000000</v>
      </c>
      <c r="E4" s="178"/>
      <c r="F4" s="179"/>
      <c r="G4" s="179"/>
      <c r="H4" s="179"/>
      <c r="I4" s="179"/>
      <c r="J4" s="179"/>
      <c r="K4" s="179"/>
      <c r="L4" s="179"/>
      <c r="M4" s="179"/>
      <c r="N4" s="179"/>
      <c r="O4" s="179"/>
      <c r="P4" s="179"/>
      <c r="Q4" s="179"/>
    </row>
    <row r="5" spans="1:17" x14ac:dyDescent="0.25">
      <c r="A5" s="5" t="str">
        <f>A13</f>
        <v>Чистая прибыль</v>
      </c>
      <c r="B5" s="10">
        <f>B13</f>
        <v>649000000</v>
      </c>
      <c r="C5" s="10">
        <f t="shared" ref="C5:D5" si="0">C13</f>
        <v>802000000</v>
      </c>
      <c r="D5" s="10">
        <f t="shared" si="0"/>
        <v>181000000</v>
      </c>
      <c r="E5" s="178"/>
      <c r="F5" s="179"/>
      <c r="G5" s="179"/>
      <c r="H5" s="179"/>
      <c r="I5" s="179"/>
      <c r="J5" s="179"/>
      <c r="K5" s="179"/>
      <c r="L5" s="179"/>
      <c r="M5" s="179"/>
      <c r="N5" s="179"/>
      <c r="O5" s="179"/>
      <c r="P5" s="179"/>
      <c r="Q5" s="179"/>
    </row>
    <row r="6" spans="1:17" x14ac:dyDescent="0.25">
      <c r="A6" s="41" t="s">
        <v>279</v>
      </c>
      <c r="B6" s="57">
        <f>B3/B4</f>
        <v>0.15586307356154405</v>
      </c>
      <c r="C6" s="57">
        <f>C3/C4</f>
        <v>0.15041493775933609</v>
      </c>
      <c r="D6" s="57">
        <f>D3/D4</f>
        <v>6.5659197498697239E-2</v>
      </c>
      <c r="E6" s="178"/>
      <c r="F6" s="179"/>
      <c r="G6" s="179"/>
      <c r="H6" s="179"/>
      <c r="I6" s="179"/>
      <c r="J6" s="179"/>
      <c r="K6" s="179"/>
      <c r="L6" s="179"/>
      <c r="M6" s="179"/>
      <c r="N6" s="179"/>
      <c r="O6" s="179"/>
      <c r="P6" s="179"/>
      <c r="Q6" s="179"/>
    </row>
    <row r="7" spans="1:17" x14ac:dyDescent="0.25">
      <c r="A7" s="41" t="s">
        <v>280</v>
      </c>
      <c r="B7" s="57">
        <f>B5/B4</f>
        <v>7.8781257586792913E-2</v>
      </c>
      <c r="C7" s="57">
        <f t="shared" ref="C7:D7" si="1">C5/C4</f>
        <v>9.2438911940986634E-2</v>
      </c>
      <c r="D7" s="57">
        <f t="shared" si="1"/>
        <v>3.1439986103873545E-2</v>
      </c>
      <c r="E7" s="68"/>
      <c r="F7" s="69"/>
      <c r="G7" s="69"/>
      <c r="H7" s="69"/>
      <c r="I7" s="69"/>
      <c r="J7" s="69"/>
      <c r="K7" s="69"/>
      <c r="L7" s="69"/>
      <c r="M7" s="69"/>
      <c r="N7" s="69"/>
      <c r="O7" s="69"/>
      <c r="P7" s="69"/>
      <c r="Q7" s="69"/>
    </row>
    <row r="8" spans="1:17" ht="15" customHeight="1" x14ac:dyDescent="0.25">
      <c r="A8" s="161" t="s">
        <v>160</v>
      </c>
      <c r="B8" s="161"/>
      <c r="C8" s="161"/>
      <c r="D8" s="161"/>
      <c r="E8" s="178" t="s">
        <v>169</v>
      </c>
      <c r="F8" s="179"/>
      <c r="G8" s="179"/>
      <c r="H8" s="179"/>
      <c r="I8" s="179"/>
      <c r="J8" s="179"/>
      <c r="K8" s="179"/>
      <c r="L8" s="179"/>
      <c r="M8" s="179"/>
      <c r="N8" s="179"/>
      <c r="O8" s="179"/>
      <c r="P8" s="179"/>
      <c r="Q8" s="179"/>
    </row>
    <row r="9" spans="1:17" x14ac:dyDescent="0.25">
      <c r="A9" s="5" t="s">
        <v>73</v>
      </c>
      <c r="B9" s="10">
        <f>IS!H26</f>
        <v>649000000</v>
      </c>
      <c r="C9" s="10">
        <f>IS!I26</f>
        <v>802000000</v>
      </c>
      <c r="D9" s="10">
        <f>IS!J26</f>
        <v>181000000</v>
      </c>
      <c r="E9" s="178"/>
      <c r="F9" s="179"/>
      <c r="G9" s="179"/>
      <c r="H9" s="179"/>
      <c r="I9" s="179"/>
      <c r="J9" s="179"/>
      <c r="K9" s="179"/>
      <c r="L9" s="179"/>
      <c r="M9" s="179"/>
      <c r="N9" s="179"/>
      <c r="O9" s="179"/>
      <c r="P9" s="179"/>
      <c r="Q9" s="179"/>
    </row>
    <row r="10" spans="1:17" x14ac:dyDescent="0.25">
      <c r="A10" s="5" t="s">
        <v>34</v>
      </c>
      <c r="B10" s="10">
        <f>BS!H52</f>
        <v>4677000000</v>
      </c>
      <c r="C10" s="10">
        <f>BS!I52</f>
        <v>5149000000</v>
      </c>
      <c r="D10" s="10">
        <f>BS!J52</f>
        <v>5487000000</v>
      </c>
      <c r="E10" s="178"/>
      <c r="F10" s="179"/>
      <c r="G10" s="179"/>
      <c r="H10" s="179"/>
      <c r="I10" s="179"/>
      <c r="J10" s="179"/>
      <c r="K10" s="179"/>
      <c r="L10" s="179"/>
      <c r="M10" s="179"/>
      <c r="N10" s="179"/>
      <c r="O10" s="179"/>
      <c r="P10" s="179"/>
      <c r="Q10" s="179"/>
    </row>
    <row r="11" spans="1:17" x14ac:dyDescent="0.25">
      <c r="A11" s="41" t="s">
        <v>161</v>
      </c>
      <c r="B11" s="57">
        <f>B9/B10</f>
        <v>0.13876416506307462</v>
      </c>
      <c r="C11" s="57">
        <f>C9/C10</f>
        <v>0.15575839968926006</v>
      </c>
      <c r="D11" s="57">
        <f>D9/D10</f>
        <v>3.2987060324403135E-2</v>
      </c>
      <c r="E11" s="178"/>
      <c r="F11" s="179"/>
      <c r="G11" s="179"/>
      <c r="H11" s="179"/>
      <c r="I11" s="179"/>
      <c r="J11" s="179"/>
      <c r="K11" s="179"/>
      <c r="L11" s="179"/>
      <c r="M11" s="179"/>
      <c r="N11" s="179"/>
      <c r="O11" s="179"/>
      <c r="P11" s="179"/>
      <c r="Q11" s="179"/>
    </row>
    <row r="12" spans="1:17" ht="15.75" customHeight="1" x14ac:dyDescent="0.25">
      <c r="A12" s="161" t="s">
        <v>162</v>
      </c>
      <c r="B12" s="161"/>
      <c r="C12" s="161"/>
      <c r="D12" s="161"/>
      <c r="E12" s="178" t="s">
        <v>168</v>
      </c>
      <c r="F12" s="179"/>
      <c r="G12" s="179"/>
      <c r="H12" s="179"/>
      <c r="I12" s="179"/>
      <c r="J12" s="179"/>
      <c r="K12" s="179"/>
      <c r="L12" s="179"/>
      <c r="M12" s="179"/>
      <c r="N12" s="179"/>
      <c r="O12" s="179"/>
      <c r="P12" s="179"/>
      <c r="Q12" s="179"/>
    </row>
    <row r="13" spans="1:17" x14ac:dyDescent="0.25">
      <c r="A13" s="5" t="s">
        <v>73</v>
      </c>
      <c r="B13" s="10">
        <f>IS!H26</f>
        <v>649000000</v>
      </c>
      <c r="C13" s="10">
        <f>IS!I26</f>
        <v>802000000</v>
      </c>
      <c r="D13" s="10">
        <f>IS!J26</f>
        <v>181000000</v>
      </c>
      <c r="E13" s="178"/>
      <c r="F13" s="179"/>
      <c r="G13" s="179"/>
      <c r="H13" s="179"/>
      <c r="I13" s="179"/>
      <c r="J13" s="179"/>
      <c r="K13" s="179"/>
      <c r="L13" s="179"/>
      <c r="M13" s="179"/>
      <c r="N13" s="179"/>
      <c r="O13" s="179"/>
      <c r="P13" s="179"/>
      <c r="Q13" s="179"/>
    </row>
    <row r="14" spans="1:17" x14ac:dyDescent="0.25">
      <c r="A14" s="5" t="s">
        <v>99</v>
      </c>
      <c r="B14" s="10">
        <f>BS!H25</f>
        <v>13163000000</v>
      </c>
      <c r="C14" s="10">
        <f>BS!I25</f>
        <v>12946000000</v>
      </c>
      <c r="D14" s="10">
        <f>BS!J25</f>
        <v>15350000000</v>
      </c>
      <c r="E14" s="178"/>
      <c r="F14" s="179"/>
      <c r="G14" s="179"/>
      <c r="H14" s="179"/>
      <c r="I14" s="179"/>
      <c r="J14" s="179"/>
      <c r="K14" s="179"/>
      <c r="L14" s="179"/>
      <c r="M14" s="179"/>
      <c r="N14" s="179"/>
      <c r="O14" s="179"/>
      <c r="P14" s="179"/>
      <c r="Q14" s="179"/>
    </row>
    <row r="15" spans="1:17" x14ac:dyDescent="0.25">
      <c r="A15" s="41" t="s">
        <v>163</v>
      </c>
      <c r="B15" s="57">
        <f>B13/B14</f>
        <v>4.9304869710552306E-2</v>
      </c>
      <c r="C15" s="57">
        <f>C13/C14</f>
        <v>6.194963695349915E-2</v>
      </c>
      <c r="D15" s="57">
        <f>D13/D14</f>
        <v>1.1791530944625407E-2</v>
      </c>
      <c r="E15" s="178"/>
      <c r="F15" s="179"/>
      <c r="G15" s="179"/>
      <c r="H15" s="179"/>
      <c r="I15" s="179"/>
      <c r="J15" s="179"/>
      <c r="K15" s="179"/>
      <c r="L15" s="179"/>
      <c r="M15" s="179"/>
      <c r="N15" s="179"/>
      <c r="O15" s="179"/>
      <c r="P15" s="179"/>
      <c r="Q15" s="179"/>
    </row>
    <row r="16" spans="1:17" x14ac:dyDescent="0.25">
      <c r="A16" s="161" t="s">
        <v>165</v>
      </c>
      <c r="B16" s="161"/>
      <c r="C16" s="161"/>
      <c r="D16" s="161"/>
      <c r="E16" s="178" t="s">
        <v>170</v>
      </c>
      <c r="F16" s="179"/>
      <c r="G16" s="179"/>
      <c r="H16" s="179"/>
      <c r="I16" s="179"/>
      <c r="J16" s="179"/>
      <c r="K16" s="179"/>
      <c r="L16" s="179"/>
      <c r="M16" s="179"/>
      <c r="N16" s="179"/>
      <c r="O16" s="179"/>
      <c r="P16" s="179"/>
      <c r="Q16" s="179"/>
    </row>
    <row r="17" spans="1:17" x14ac:dyDescent="0.25">
      <c r="A17" s="5" t="s">
        <v>73</v>
      </c>
      <c r="B17" s="10">
        <f>B9</f>
        <v>649000000</v>
      </c>
      <c r="C17" s="10">
        <f t="shared" ref="C17:D17" si="2">C9</f>
        <v>802000000</v>
      </c>
      <c r="D17" s="10">
        <f t="shared" si="2"/>
        <v>181000000</v>
      </c>
      <c r="E17" s="178"/>
      <c r="F17" s="179"/>
      <c r="G17" s="179"/>
      <c r="H17" s="179"/>
      <c r="I17" s="179"/>
      <c r="J17" s="179"/>
      <c r="K17" s="179"/>
      <c r="L17" s="179"/>
      <c r="M17" s="179"/>
      <c r="N17" s="179"/>
      <c r="O17" s="179"/>
      <c r="P17" s="179"/>
      <c r="Q17" s="179"/>
    </row>
    <row r="18" spans="1:17" x14ac:dyDescent="0.25">
      <c r="A18" s="5" t="s">
        <v>34</v>
      </c>
      <c r="B18" s="10">
        <f>B10</f>
        <v>4677000000</v>
      </c>
      <c r="C18" s="10">
        <f t="shared" ref="C18:D18" si="3">C10</f>
        <v>5149000000</v>
      </c>
      <c r="D18" s="10">
        <f t="shared" si="3"/>
        <v>5487000000</v>
      </c>
      <c r="E18" s="178"/>
      <c r="F18" s="179"/>
      <c r="G18" s="179"/>
      <c r="H18" s="179"/>
      <c r="I18" s="179"/>
      <c r="J18" s="179"/>
      <c r="K18" s="179"/>
      <c r="L18" s="179"/>
      <c r="M18" s="179"/>
      <c r="N18" s="179"/>
      <c r="O18" s="179"/>
      <c r="P18" s="179"/>
      <c r="Q18" s="179"/>
    </row>
    <row r="19" spans="1:17" x14ac:dyDescent="0.25">
      <c r="A19" s="5" t="s">
        <v>166</v>
      </c>
      <c r="B19" s="10">
        <f>BS!H42</f>
        <v>5612000000</v>
      </c>
      <c r="C19" s="10">
        <f>BS!I42</f>
        <v>5042000000</v>
      </c>
      <c r="D19" s="10">
        <f>BS!J42</f>
        <v>6771000000</v>
      </c>
      <c r="E19" s="178"/>
      <c r="F19" s="179"/>
      <c r="G19" s="179"/>
      <c r="H19" s="179"/>
      <c r="I19" s="179"/>
      <c r="J19" s="179"/>
      <c r="K19" s="179"/>
      <c r="L19" s="179"/>
      <c r="M19" s="179"/>
      <c r="N19" s="179"/>
      <c r="O19" s="179"/>
      <c r="P19" s="179"/>
      <c r="Q19" s="179"/>
    </row>
    <row r="20" spans="1:17" x14ac:dyDescent="0.25">
      <c r="A20" s="41" t="s">
        <v>167</v>
      </c>
      <c r="B20" s="57">
        <f>B17/(B18+B19)</f>
        <v>6.3077072601807754E-2</v>
      </c>
      <c r="C20" s="57">
        <f t="shared" ref="C20:D20" si="4">C17/(C18+C19)</f>
        <v>7.8696889412226481E-2</v>
      </c>
      <c r="D20" s="57">
        <f t="shared" si="4"/>
        <v>1.4765867188774678E-2</v>
      </c>
      <c r="E20" s="178"/>
      <c r="F20" s="179"/>
      <c r="G20" s="179"/>
      <c r="H20" s="179"/>
      <c r="I20" s="179"/>
      <c r="J20" s="179"/>
      <c r="K20" s="179"/>
      <c r="L20" s="179"/>
      <c r="M20" s="179"/>
      <c r="N20" s="179"/>
      <c r="O20" s="179"/>
      <c r="P20" s="179"/>
      <c r="Q20" s="179"/>
    </row>
    <row r="21" spans="1:17" ht="14.5" x14ac:dyDescent="0.35">
      <c r="A21" s="161" t="s">
        <v>331</v>
      </c>
      <c r="B21" s="161"/>
      <c r="C21" s="161"/>
      <c r="D21" s="161"/>
      <c r="E21"/>
      <c r="F21"/>
    </row>
    <row r="22" spans="1:17" ht="14.5" x14ac:dyDescent="0.35">
      <c r="A22" s="5" t="str">
        <f>IS!A17</f>
        <v>Операционная прибыль</v>
      </c>
      <c r="B22" s="10">
        <f>IS!H17</f>
        <v>1284000000</v>
      </c>
      <c r="C22" s="10">
        <f>IS!I17</f>
        <v>1305000000</v>
      </c>
      <c r="D22" s="10">
        <f>IS!J17</f>
        <v>378000000</v>
      </c>
      <c r="E22"/>
      <c r="F22"/>
    </row>
    <row r="23" spans="1:17" ht="14.5" x14ac:dyDescent="0.35">
      <c r="A23" s="5" t="s">
        <v>332</v>
      </c>
      <c r="B23" s="10">
        <f>B22*(1-0.2)</f>
        <v>1027200000</v>
      </c>
      <c r="C23" s="10">
        <f t="shared" ref="C23:D23" si="5">C22*(1-0.2)</f>
        <v>1044000000</v>
      </c>
      <c r="D23" s="10">
        <f t="shared" si="5"/>
        <v>302400000</v>
      </c>
      <c r="E23"/>
      <c r="F23"/>
    </row>
    <row r="24" spans="1:17" ht="14.5" x14ac:dyDescent="0.35">
      <c r="A24" s="5" t="s">
        <v>325</v>
      </c>
      <c r="B24" s="10">
        <f>BS!H29+BS!H29+BS!H52</f>
        <v>6633000000</v>
      </c>
      <c r="C24" s="10">
        <f>BS!I29+BS!I29+BS!I52</f>
        <v>6739000000</v>
      </c>
      <c r="D24" s="10">
        <f>BS!J29+BS!J29+BS!J52</f>
        <v>7083000000</v>
      </c>
      <c r="E24"/>
      <c r="F24"/>
    </row>
    <row r="25" spans="1:17" ht="14.5" x14ac:dyDescent="0.35">
      <c r="A25" s="41" t="s">
        <v>333</v>
      </c>
      <c r="B25" s="57">
        <f>B23/B24</f>
        <v>0.15486205336951606</v>
      </c>
      <c r="C25" s="57">
        <f t="shared" ref="C25:D25" si="6">C23/C24</f>
        <v>0.15491912746698322</v>
      </c>
      <c r="D25" s="57">
        <f t="shared" si="6"/>
        <v>4.2693773824650574E-2</v>
      </c>
      <c r="E25" s="67"/>
      <c r="F25"/>
    </row>
    <row r="26" spans="1:17" ht="14.5" x14ac:dyDescent="0.35">
      <c r="A26"/>
      <c r="B26"/>
      <c r="C26"/>
      <c r="D26"/>
      <c r="E26"/>
      <c r="F26"/>
    </row>
    <row r="27" spans="1:17" ht="14.5" x14ac:dyDescent="0.35">
      <c r="A27"/>
      <c r="B27" s="67"/>
      <c r="C27"/>
      <c r="D27"/>
      <c r="E27"/>
      <c r="F27"/>
    </row>
    <row r="28" spans="1:17" ht="14.5" x14ac:dyDescent="0.35">
      <c r="A28"/>
      <c r="B28"/>
      <c r="C28"/>
      <c r="D28"/>
      <c r="E28"/>
      <c r="F28"/>
    </row>
    <row r="29" spans="1:17" ht="14.5" x14ac:dyDescent="0.35">
      <c r="A29"/>
      <c r="B29"/>
      <c r="C29"/>
      <c r="D29"/>
      <c r="E29"/>
      <c r="F29"/>
    </row>
    <row r="30" spans="1:17" ht="14.5" x14ac:dyDescent="0.35">
      <c r="A30"/>
      <c r="B30" s="67"/>
      <c r="C30" s="67"/>
      <c r="D30" s="67"/>
      <c r="E30" s="67"/>
      <c r="F30"/>
    </row>
    <row r="33" spans="2:5" x14ac:dyDescent="0.25">
      <c r="B33" s="104"/>
      <c r="C33" s="104"/>
      <c r="D33" s="104"/>
      <c r="E33" s="104"/>
    </row>
    <row r="36" spans="2:5" x14ac:dyDescent="0.25">
      <c r="B36" s="104"/>
    </row>
  </sheetData>
  <mergeCells count="9">
    <mergeCell ref="E12:Q15"/>
    <mergeCell ref="E8:Q11"/>
    <mergeCell ref="E16:Q20"/>
    <mergeCell ref="E2:Q6"/>
    <mergeCell ref="A21:D21"/>
    <mergeCell ref="A2:D2"/>
    <mergeCell ref="A8:D8"/>
    <mergeCell ref="A12:D12"/>
    <mergeCell ref="A16:D1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E5A2D-F17A-4668-B153-195D24E410C5}">
  <dimension ref="A1:K67"/>
  <sheetViews>
    <sheetView workbookViewId="0">
      <selection activeCell="H12" sqref="H12"/>
    </sheetView>
  </sheetViews>
  <sheetFormatPr defaultColWidth="8.7265625" defaultRowHeight="11.5" x14ac:dyDescent="0.25"/>
  <cols>
    <col min="1" max="1" width="11.26953125" style="38" customWidth="1"/>
    <col min="2" max="2" width="27.453125" style="38" customWidth="1"/>
    <col min="3" max="3" width="26.453125" style="38" customWidth="1"/>
    <col min="4" max="4" width="16" style="38" customWidth="1"/>
    <col min="5" max="5" width="15.1796875" style="38" customWidth="1"/>
    <col min="6" max="6" width="15.7265625" style="38" customWidth="1"/>
    <col min="7" max="7" width="12.26953125" style="38" bestFit="1" customWidth="1"/>
    <col min="8" max="8" width="19.54296875" style="38" customWidth="1"/>
    <col min="9" max="9" width="17.1796875" style="38" customWidth="1"/>
    <col min="10" max="10" width="24.1796875" style="38" customWidth="1"/>
    <col min="11" max="16384" width="8.7265625" style="38"/>
  </cols>
  <sheetData>
    <row r="1" spans="1:11" x14ac:dyDescent="0.25">
      <c r="A1" s="38" t="s">
        <v>211</v>
      </c>
    </row>
    <row r="2" spans="1:11" ht="12" thickBot="1" x14ac:dyDescent="0.3">
      <c r="D2" s="13" t="s">
        <v>196</v>
      </c>
      <c r="E2" s="13"/>
    </row>
    <row r="3" spans="1:11" ht="12" thickBot="1" x14ac:dyDescent="0.3">
      <c r="A3" s="59" t="s">
        <v>178</v>
      </c>
      <c r="B3" s="59" t="s">
        <v>179</v>
      </c>
      <c r="C3" s="59" t="s">
        <v>180</v>
      </c>
      <c r="D3" s="51">
        <v>2018</v>
      </c>
      <c r="E3" s="51">
        <v>2019</v>
      </c>
      <c r="F3" s="51">
        <v>2020</v>
      </c>
      <c r="K3" s="60"/>
    </row>
    <row r="4" spans="1:11" ht="12" thickBot="1" x14ac:dyDescent="0.3">
      <c r="A4" s="59" t="s">
        <v>181</v>
      </c>
      <c r="B4" s="59" t="s">
        <v>182</v>
      </c>
      <c r="C4" s="59" t="s">
        <v>183</v>
      </c>
      <c r="D4" s="58">
        <f>BS!H12/BS!H25</f>
        <v>0.22958292182633139</v>
      </c>
      <c r="E4" s="58">
        <f>BS!I12/BS!I25</f>
        <v>0.1850764714969875</v>
      </c>
      <c r="F4" s="58">
        <f>BS!J12/BS!J25</f>
        <v>0.19035830618892507</v>
      </c>
      <c r="K4" s="61"/>
    </row>
    <row r="5" spans="1:11" ht="23.5" thickBot="1" x14ac:dyDescent="0.3">
      <c r="A5" s="59" t="s">
        <v>184</v>
      </c>
      <c r="B5" s="59" t="s">
        <v>185</v>
      </c>
      <c r="C5" s="59" t="s">
        <v>186</v>
      </c>
      <c r="D5" s="58">
        <f>BS!H49/BS!H25</f>
        <v>0.2742535896072324</v>
      </c>
      <c r="E5" s="58">
        <f>BS!I49/BS!I25</f>
        <v>0.31144755136721769</v>
      </c>
      <c r="F5" s="58">
        <f>BS!J49/BS!J25</f>
        <v>0.26104234527687298</v>
      </c>
      <c r="K5" s="61"/>
    </row>
    <row r="6" spans="1:11" ht="23.5" thickBot="1" x14ac:dyDescent="0.3">
      <c r="A6" s="59" t="s">
        <v>187</v>
      </c>
      <c r="B6" s="59" t="s">
        <v>188</v>
      </c>
      <c r="C6" s="59" t="s">
        <v>189</v>
      </c>
      <c r="D6" s="58">
        <f>IS!H17/BS!H25</f>
        <v>9.754615209298792E-2</v>
      </c>
      <c r="E6" s="58">
        <f>IS!I17/BS!I25</f>
        <v>0.10080333693805037</v>
      </c>
      <c r="F6" s="58">
        <f>IS!J17/BS!J25</f>
        <v>2.462540716612378E-2</v>
      </c>
      <c r="K6" s="61"/>
    </row>
    <row r="7" spans="1:11" ht="23.5" thickBot="1" x14ac:dyDescent="0.3">
      <c r="A7" s="59" t="s">
        <v>190</v>
      </c>
      <c r="B7" s="59" t="s">
        <v>191</v>
      </c>
      <c r="C7" s="59" t="s">
        <v>192</v>
      </c>
      <c r="D7" s="58">
        <f>H7/(BS!H35+BS!H42)</f>
        <v>0.36401131275041243</v>
      </c>
      <c r="E7" s="58">
        <f>I7/(BS!I35+BS!I42)</f>
        <v>0.61126074131076058</v>
      </c>
      <c r="F7" s="58">
        <f>J7/(BS!J35+BS!J42)</f>
        <v>0.4376964412450573</v>
      </c>
      <c r="H7" s="38">
        <v>3089000000</v>
      </c>
      <c r="I7" s="38">
        <v>4766000000</v>
      </c>
      <c r="J7" s="38">
        <v>4317000000</v>
      </c>
      <c r="K7" s="61"/>
    </row>
    <row r="8" spans="1:11" ht="12" thickBot="1" x14ac:dyDescent="0.3">
      <c r="A8" s="59" t="s">
        <v>193</v>
      </c>
      <c r="B8" s="59" t="s">
        <v>194</v>
      </c>
      <c r="C8" s="59" t="s">
        <v>195</v>
      </c>
      <c r="D8" s="58">
        <f>IS!H6/BS!H25</f>
        <v>0.62584517207323553</v>
      </c>
      <c r="E8" s="58">
        <f>IS!I6/BS!I25</f>
        <v>0.67016839178124521</v>
      </c>
      <c r="F8" s="58">
        <f>IS!J6/BS!J25</f>
        <v>0.37504885993485343</v>
      </c>
      <c r="K8" s="61"/>
    </row>
    <row r="9" spans="1:11" x14ac:dyDescent="0.25">
      <c r="A9" s="51" t="s">
        <v>172</v>
      </c>
      <c r="B9" s="51" t="s">
        <v>46</v>
      </c>
      <c r="C9" s="51" t="s">
        <v>46</v>
      </c>
      <c r="D9" s="58">
        <f>1.2*D4+1.4*D5+3.3*D6+0.6*D7+D8</f>
        <v>1.8256087932720662</v>
      </c>
      <c r="E9" s="58">
        <f t="shared" ref="E9:F9" si="0">1.2*E4+1.4*E5+3.3*E6+0.6*E7+E8</f>
        <v>2.0276941861737576</v>
      </c>
      <c r="F9" s="58">
        <f t="shared" si="0"/>
        <v>1.3128198191444285</v>
      </c>
    </row>
    <row r="10" spans="1:11" x14ac:dyDescent="0.25">
      <c r="A10" s="13"/>
      <c r="B10" s="13"/>
      <c r="C10" s="13"/>
      <c r="D10" s="13"/>
      <c r="E10" s="13"/>
      <c r="F10" s="13"/>
    </row>
    <row r="11" spans="1:11" x14ac:dyDescent="0.25">
      <c r="A11" s="13"/>
      <c r="B11" s="13"/>
      <c r="C11" s="13"/>
      <c r="D11" s="13" t="s">
        <v>173</v>
      </c>
      <c r="E11" s="13"/>
      <c r="F11" s="13"/>
      <c r="G11" s="13"/>
    </row>
    <row r="12" spans="1:11" x14ac:dyDescent="0.25">
      <c r="A12" s="13"/>
      <c r="B12" s="13"/>
      <c r="C12" s="13"/>
      <c r="D12" s="13" t="s">
        <v>174</v>
      </c>
      <c r="E12" s="13"/>
      <c r="F12" s="13"/>
      <c r="G12" s="13"/>
    </row>
    <row r="13" spans="1:11" x14ac:dyDescent="0.25">
      <c r="A13" s="13"/>
      <c r="B13" s="13"/>
      <c r="C13" s="13"/>
      <c r="D13" s="13" t="s">
        <v>175</v>
      </c>
      <c r="E13" s="13"/>
      <c r="F13" s="13"/>
      <c r="G13" s="13"/>
    </row>
    <row r="14" spans="1:11" x14ac:dyDescent="0.25">
      <c r="A14" s="13"/>
      <c r="B14" s="13"/>
      <c r="C14" s="13"/>
      <c r="D14" s="13" t="s">
        <v>176</v>
      </c>
      <c r="E14" s="13"/>
      <c r="F14" s="13"/>
      <c r="G14" s="13"/>
    </row>
    <row r="15" spans="1:11" x14ac:dyDescent="0.25">
      <c r="A15" s="13"/>
      <c r="B15" s="13"/>
      <c r="C15" s="13"/>
      <c r="D15" s="13" t="s">
        <v>177</v>
      </c>
      <c r="E15" s="13"/>
      <c r="F15" s="13"/>
      <c r="G15" s="13"/>
      <c r="H15" s="13"/>
    </row>
    <row r="16" spans="1:11" x14ac:dyDescent="0.25">
      <c r="A16" s="13"/>
      <c r="B16" s="13"/>
      <c r="C16" s="13"/>
      <c r="D16" s="13"/>
      <c r="E16" s="13"/>
      <c r="F16" s="13"/>
      <c r="G16" s="13"/>
      <c r="H16" s="13"/>
    </row>
    <row r="18" spans="1:11" ht="12" thickBot="1" x14ac:dyDescent="0.3">
      <c r="A18" s="38" t="s">
        <v>197</v>
      </c>
    </row>
    <row r="19" spans="1:11" ht="12" thickBot="1" x14ac:dyDescent="0.3">
      <c r="D19" s="38" t="s">
        <v>198</v>
      </c>
      <c r="K19" s="62"/>
    </row>
    <row r="20" spans="1:11" ht="15.65" customHeight="1" thickBot="1" x14ac:dyDescent="0.3">
      <c r="A20" s="59" t="s">
        <v>178</v>
      </c>
      <c r="B20" s="59" t="s">
        <v>179</v>
      </c>
      <c r="C20" s="59" t="s">
        <v>180</v>
      </c>
      <c r="D20" s="51">
        <v>2018</v>
      </c>
      <c r="E20" s="51">
        <v>2019</v>
      </c>
      <c r="F20" s="51">
        <v>2020</v>
      </c>
      <c r="K20" s="62"/>
    </row>
    <row r="21" spans="1:11" ht="14" thickBot="1" x14ac:dyDescent="0.3">
      <c r="A21" s="59" t="s">
        <v>202</v>
      </c>
      <c r="B21" s="59" t="s">
        <v>203</v>
      </c>
      <c r="C21" s="59" t="s">
        <v>183</v>
      </c>
      <c r="D21" s="58">
        <f>D4</f>
        <v>0.22958292182633139</v>
      </c>
      <c r="E21" s="58">
        <f t="shared" ref="E21:F21" si="1">E4</f>
        <v>0.1850764714969875</v>
      </c>
      <c r="F21" s="58">
        <f t="shared" si="1"/>
        <v>0.19035830618892507</v>
      </c>
      <c r="K21" s="62"/>
    </row>
    <row r="22" spans="1:11" ht="25.5" thickBot="1" x14ac:dyDescent="0.3">
      <c r="A22" s="59" t="s">
        <v>204</v>
      </c>
      <c r="B22" s="59" t="s">
        <v>205</v>
      </c>
      <c r="C22" s="59" t="s">
        <v>199</v>
      </c>
      <c r="D22" s="58">
        <f>D6</f>
        <v>9.754615209298792E-2</v>
      </c>
      <c r="E22" s="58">
        <f t="shared" ref="E22:F22" si="2">E6</f>
        <v>0.10080333693805037</v>
      </c>
      <c r="F22" s="58">
        <f t="shared" si="2"/>
        <v>2.462540716612378E-2</v>
      </c>
      <c r="K22" s="62"/>
    </row>
    <row r="23" spans="1:11" ht="25" x14ac:dyDescent="0.25">
      <c r="A23" s="59" t="s">
        <v>206</v>
      </c>
      <c r="B23" s="59" t="s">
        <v>207</v>
      </c>
      <c r="C23" s="59" t="s">
        <v>200</v>
      </c>
      <c r="D23" s="58">
        <f>D5</f>
        <v>0.2742535896072324</v>
      </c>
      <c r="E23" s="58">
        <f t="shared" ref="E23:F23" si="3">E5</f>
        <v>0.31144755136721769</v>
      </c>
      <c r="F23" s="58">
        <f t="shared" si="3"/>
        <v>0.26104234527687298</v>
      </c>
    </row>
    <row r="24" spans="1:11" ht="36.5" x14ac:dyDescent="0.25">
      <c r="A24" s="59" t="s">
        <v>208</v>
      </c>
      <c r="B24" s="59" t="s">
        <v>209</v>
      </c>
      <c r="C24" s="59" t="s">
        <v>201</v>
      </c>
      <c r="D24" s="58">
        <f>D7</f>
        <v>0.36401131275041243</v>
      </c>
      <c r="E24" s="58">
        <f t="shared" ref="E24:F24" si="4">E7</f>
        <v>0.61126074131076058</v>
      </c>
      <c r="F24" s="58">
        <f t="shared" si="4"/>
        <v>0.4376964412450573</v>
      </c>
    </row>
    <row r="25" spans="1:11" x14ac:dyDescent="0.25">
      <c r="A25" s="51" t="s">
        <v>172</v>
      </c>
      <c r="B25" s="51" t="s">
        <v>46</v>
      </c>
      <c r="C25" s="51" t="s">
        <v>46</v>
      </c>
      <c r="D25" s="58">
        <f>0.063*D21+0.092*D22+0.057*D23+0.001*D24</f>
        <v>3.943443598797642E-2</v>
      </c>
      <c r="E25" s="58">
        <f t="shared" ref="E25:F25" si="5">0.063*E21+0.092*E22+0.057*E23+0.001*E24</f>
        <v>3.9297495871853015E-2</v>
      </c>
      <c r="F25" s="58">
        <f t="shared" si="5"/>
        <v>2.9575220871212483E-2</v>
      </c>
    </row>
    <row r="27" spans="1:11" x14ac:dyDescent="0.25">
      <c r="D27" s="38" t="s">
        <v>218</v>
      </c>
    </row>
    <row r="28" spans="1:11" x14ac:dyDescent="0.25">
      <c r="D28" s="38" t="s">
        <v>219</v>
      </c>
    </row>
    <row r="30" spans="1:11" x14ac:dyDescent="0.25">
      <c r="A30" s="180"/>
      <c r="B30" s="180"/>
      <c r="C30" s="180"/>
      <c r="D30" s="180"/>
      <c r="E30" s="180"/>
    </row>
    <row r="32" spans="1:11" x14ac:dyDescent="0.25">
      <c r="A32" s="38" t="s">
        <v>210</v>
      </c>
    </row>
    <row r="33" spans="1:5" x14ac:dyDescent="0.25">
      <c r="C33" s="38" t="s">
        <v>212</v>
      </c>
    </row>
    <row r="34" spans="1:5" x14ac:dyDescent="0.25">
      <c r="A34" s="59" t="s">
        <v>178</v>
      </c>
      <c r="B34" s="59" t="s">
        <v>179</v>
      </c>
      <c r="C34" s="51">
        <v>2018</v>
      </c>
      <c r="D34" s="51">
        <v>2019</v>
      </c>
      <c r="E34" s="51">
        <v>2020</v>
      </c>
    </row>
    <row r="35" spans="1:5" ht="13.5" x14ac:dyDescent="0.25">
      <c r="A35" s="59" t="s">
        <v>202</v>
      </c>
      <c r="B35" s="59" t="s">
        <v>203</v>
      </c>
      <c r="C35" s="58">
        <f>D21</f>
        <v>0.22958292182633139</v>
      </c>
      <c r="D35" s="58">
        <f t="shared" ref="D35:E35" si="6">E21</f>
        <v>0.1850764714969875</v>
      </c>
      <c r="E35" s="58">
        <f t="shared" si="6"/>
        <v>0.19035830618892507</v>
      </c>
    </row>
    <row r="36" spans="1:5" ht="25" x14ac:dyDescent="0.25">
      <c r="A36" s="59" t="s">
        <v>204</v>
      </c>
      <c r="B36" s="59" t="s">
        <v>205</v>
      </c>
      <c r="C36" s="58">
        <f>D22</f>
        <v>9.754615209298792E-2</v>
      </c>
      <c r="D36" s="58">
        <f t="shared" ref="D36:E36" si="7">E22</f>
        <v>0.10080333693805037</v>
      </c>
      <c r="E36" s="58">
        <f t="shared" si="7"/>
        <v>2.462540716612378E-2</v>
      </c>
    </row>
    <row r="37" spans="1:5" ht="25" x14ac:dyDescent="0.25">
      <c r="A37" s="59" t="s">
        <v>206</v>
      </c>
      <c r="B37" s="59" t="s">
        <v>207</v>
      </c>
      <c r="C37" s="58">
        <f>D23</f>
        <v>0.2742535896072324</v>
      </c>
      <c r="D37" s="58">
        <f t="shared" ref="D37:E37" si="8">E23</f>
        <v>0.31144755136721769</v>
      </c>
      <c r="E37" s="58">
        <f t="shared" si="8"/>
        <v>0.26104234527687298</v>
      </c>
    </row>
    <row r="38" spans="1:5" ht="36.5" x14ac:dyDescent="0.25">
      <c r="A38" s="59" t="s">
        <v>208</v>
      </c>
      <c r="B38" s="59" t="s">
        <v>209</v>
      </c>
      <c r="C38" s="58">
        <f>BS!H52/(BS!H42+BS!H35)</f>
        <v>0.55114305915625739</v>
      </c>
      <c r="D38" s="58">
        <f>BS!I52/(BS!I42+BS!I35)</f>
        <v>0.66038219828139033</v>
      </c>
      <c r="E38" s="58">
        <f>BS!J52/(BS!J42+BS!J35)</f>
        <v>0.55632160600223057</v>
      </c>
    </row>
    <row r="39" spans="1:5" x14ac:dyDescent="0.25">
      <c r="A39" s="51" t="s">
        <v>172</v>
      </c>
      <c r="B39" s="51" t="s">
        <v>46</v>
      </c>
      <c r="C39" s="58">
        <f>8.38*C35+1*C36+0.054*C37+0.63*C38</f>
        <v>2.3834808581048779</v>
      </c>
      <c r="D39" s="58">
        <f t="shared" ref="D39:E39" si="9">8.38*D35+1*D36+0.054*D37+0.63*D38</f>
        <v>2.0846031207739113</v>
      </c>
      <c r="E39" s="58">
        <f t="shared" si="9"/>
        <v>1.9844069114556726</v>
      </c>
    </row>
    <row r="43" spans="1:5" x14ac:dyDescent="0.25">
      <c r="C43" s="38" t="s">
        <v>213</v>
      </c>
    </row>
    <row r="44" spans="1:5" x14ac:dyDescent="0.25">
      <c r="C44" s="38" t="s">
        <v>214</v>
      </c>
    </row>
    <row r="45" spans="1:5" x14ac:dyDescent="0.25">
      <c r="C45" s="38" t="s">
        <v>215</v>
      </c>
    </row>
    <row r="46" spans="1:5" x14ac:dyDescent="0.25">
      <c r="C46" s="38" t="s">
        <v>216</v>
      </c>
    </row>
    <row r="47" spans="1:5" x14ac:dyDescent="0.25">
      <c r="C47" s="38" t="s">
        <v>217</v>
      </c>
    </row>
    <row r="51" spans="1:5" x14ac:dyDescent="0.25">
      <c r="A51" s="38" t="s">
        <v>220</v>
      </c>
    </row>
    <row r="52" spans="1:5" x14ac:dyDescent="0.25">
      <c r="B52" s="38" t="s">
        <v>221</v>
      </c>
    </row>
    <row r="53" spans="1:5" x14ac:dyDescent="0.25">
      <c r="A53" s="59" t="s">
        <v>178</v>
      </c>
      <c r="B53" s="59" t="s">
        <v>179</v>
      </c>
      <c r="C53" s="51">
        <v>2018</v>
      </c>
      <c r="D53" s="51">
        <v>2019</v>
      </c>
      <c r="E53" s="51">
        <v>2020</v>
      </c>
    </row>
    <row r="54" spans="1:5" ht="25" x14ac:dyDescent="0.25">
      <c r="A54" s="59" t="s">
        <v>202</v>
      </c>
      <c r="B54" s="59" t="s">
        <v>223</v>
      </c>
      <c r="C54" s="58">
        <f>BS!H52/BS!H12</f>
        <v>1.5476505625413632</v>
      </c>
      <c r="D54" s="58">
        <f>BS!I52/BS!I12</f>
        <v>2.1489983305509184</v>
      </c>
      <c r="E54" s="58">
        <f>BS!J52/BS!J12</f>
        <v>1.87782340862423</v>
      </c>
    </row>
    <row r="55" spans="1:5" ht="13.5" x14ac:dyDescent="0.25">
      <c r="A55" s="59" t="s">
        <v>204</v>
      </c>
      <c r="B55" s="59" t="s">
        <v>224</v>
      </c>
      <c r="C55" s="58">
        <f>'сок+фин.устойчивость'!B5/BS!H52</f>
        <v>3.1644216378020097E-2</v>
      </c>
      <c r="D55" s="58">
        <f>'сок+фин.устойчивость'!C5/BS!I52</f>
        <v>-6.9722276170130118E-2</v>
      </c>
      <c r="E55" s="58">
        <f>'сок+фин.устойчивость'!D5/BS!J52</f>
        <v>-3.0982321851649352E-2</v>
      </c>
    </row>
    <row r="56" spans="1:5" ht="23" x14ac:dyDescent="0.25">
      <c r="A56" s="59" t="s">
        <v>206</v>
      </c>
      <c r="B56" s="59" t="s">
        <v>222</v>
      </c>
      <c r="C56" s="58">
        <f>IS!H6/BS!H25</f>
        <v>0.62584517207323553</v>
      </c>
      <c r="D56" s="58">
        <f>IS!I6/BS!I25</f>
        <v>0.67016839178124521</v>
      </c>
      <c r="E56" s="58">
        <f>IS!J6/BS!J25</f>
        <v>0.37504885993485343</v>
      </c>
    </row>
    <row r="57" spans="1:5" ht="13.5" x14ac:dyDescent="0.25">
      <c r="A57" s="59" t="s">
        <v>208</v>
      </c>
      <c r="B57" s="59" t="s">
        <v>225</v>
      </c>
      <c r="C57" s="58">
        <f>IS!H26/BS!H25</f>
        <v>4.9304869710552306E-2</v>
      </c>
      <c r="D57" s="58">
        <f>IS!I26/BS!I25</f>
        <v>6.194963695349915E-2</v>
      </c>
      <c r="E57" s="58">
        <f>IS!J26/BS!J25</f>
        <v>1.1791530944625407E-2</v>
      </c>
    </row>
    <row r="58" spans="1:5" ht="13.5" x14ac:dyDescent="0.25">
      <c r="A58" s="59" t="s">
        <v>226</v>
      </c>
      <c r="B58" s="59" t="s">
        <v>227</v>
      </c>
      <c r="C58" s="58">
        <f>BS!H52/BS!H25</f>
        <v>0.35531413811441159</v>
      </c>
      <c r="D58" s="58">
        <f>BS!I52/BS!I25</f>
        <v>0.3977290282712807</v>
      </c>
      <c r="E58" s="58">
        <f>BS!J52/BS!J25</f>
        <v>0.35745928338762217</v>
      </c>
    </row>
    <row r="59" spans="1:5" x14ac:dyDescent="0.25">
      <c r="A59" s="51" t="s">
        <v>172</v>
      </c>
      <c r="B59" s="51" t="s">
        <v>46</v>
      </c>
      <c r="C59" s="58">
        <f>0.111*C54+13.23*C55+1.67*C56+0.515*C57+3.8*C58</f>
        <v>3.0111893652212989</v>
      </c>
      <c r="D59" s="58">
        <f t="shared" ref="D59:E59" si="10">0.111*D54+13.23*D55+1.67*D56+0.515*D57+3.8*D58</f>
        <v>1.9785686856969287</v>
      </c>
      <c r="E59" s="58">
        <f t="shared" si="10"/>
        <v>1.7892917916606201</v>
      </c>
    </row>
    <row r="63" spans="1:5" x14ac:dyDescent="0.25">
      <c r="C63" s="38" t="s">
        <v>228</v>
      </c>
    </row>
    <row r="64" spans="1:5" x14ac:dyDescent="0.25">
      <c r="C64" s="38" t="s">
        <v>229</v>
      </c>
    </row>
    <row r="65" spans="3:3" x14ac:dyDescent="0.25">
      <c r="C65" s="38" t="s">
        <v>230</v>
      </c>
    </row>
    <row r="66" spans="3:3" x14ac:dyDescent="0.25">
      <c r="C66" s="38" t="s">
        <v>231</v>
      </c>
    </row>
    <row r="67" spans="3:3" x14ac:dyDescent="0.25">
      <c r="C67" s="38" t="s">
        <v>232</v>
      </c>
    </row>
  </sheetData>
  <mergeCells count="1">
    <mergeCell ref="A30:E3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6D33C-078C-46DB-9A21-B4926158B4C1}">
  <dimension ref="A1:AB97"/>
  <sheetViews>
    <sheetView workbookViewId="0">
      <selection activeCell="Q55" sqref="Q55"/>
    </sheetView>
  </sheetViews>
  <sheetFormatPr defaultRowHeight="14.5" x14ac:dyDescent="0.35"/>
  <cols>
    <col min="2" max="2" width="9.81640625" bestFit="1" customWidth="1"/>
    <col min="4" max="4" width="11" bestFit="1" customWidth="1"/>
    <col min="7" max="7" width="9.81640625" bestFit="1" customWidth="1"/>
    <col min="9" max="9" width="11" bestFit="1" customWidth="1"/>
    <col min="10" max="10" width="9.81640625" bestFit="1" customWidth="1"/>
    <col min="17" max="17" width="24.81640625" bestFit="1" customWidth="1"/>
    <col min="18" max="18" width="18.54296875" bestFit="1" customWidth="1"/>
    <col min="19" max="19" width="21.54296875" customWidth="1"/>
    <col min="20" max="20" width="11.1796875" customWidth="1"/>
    <col min="21" max="21" width="35.1796875" customWidth="1"/>
    <col min="22" max="22" width="13.54296875" bestFit="1" customWidth="1"/>
    <col min="23" max="23" width="12.54296875" bestFit="1" customWidth="1"/>
    <col min="24" max="24" width="14" customWidth="1"/>
    <col min="25" max="25" width="14.1796875" bestFit="1" customWidth="1"/>
    <col min="26" max="26" width="23.54296875" customWidth="1"/>
  </cols>
  <sheetData>
    <row r="1" spans="1:22" x14ac:dyDescent="0.35">
      <c r="A1" t="s">
        <v>311</v>
      </c>
      <c r="B1" t="s">
        <v>312</v>
      </c>
      <c r="C1" t="s">
        <v>313</v>
      </c>
      <c r="D1" t="s">
        <v>316</v>
      </c>
      <c r="F1" t="s">
        <v>311</v>
      </c>
      <c r="G1" t="s">
        <v>312</v>
      </c>
      <c r="H1" t="s">
        <v>313</v>
      </c>
      <c r="I1" t="s">
        <v>316</v>
      </c>
    </row>
    <row r="2" spans="1:22" x14ac:dyDescent="0.35">
      <c r="A2" t="s">
        <v>314</v>
      </c>
      <c r="B2" s="103">
        <v>42370</v>
      </c>
      <c r="C2" s="95">
        <v>272.45</v>
      </c>
      <c r="F2" t="s">
        <v>315</v>
      </c>
      <c r="G2" s="103">
        <v>42370</v>
      </c>
      <c r="H2">
        <v>1784.92</v>
      </c>
    </row>
    <row r="3" spans="1:22" x14ac:dyDescent="0.35">
      <c r="A3" t="s">
        <v>314</v>
      </c>
      <c r="B3" s="103">
        <v>42401</v>
      </c>
      <c r="C3" s="95">
        <v>287.60000000000002</v>
      </c>
      <c r="D3" s="67">
        <f>C3/C2-1</f>
        <v>5.5606533308864226E-2</v>
      </c>
      <c r="F3" t="s">
        <v>315</v>
      </c>
      <c r="G3" s="103">
        <v>42401</v>
      </c>
      <c r="H3">
        <v>1840.17</v>
      </c>
      <c r="I3" s="67">
        <f>H3/H2-1</f>
        <v>3.0953768236111401E-2</v>
      </c>
    </row>
    <row r="4" spans="1:22" x14ac:dyDescent="0.35">
      <c r="A4" t="s">
        <v>314</v>
      </c>
      <c r="B4" s="103">
        <v>42430</v>
      </c>
      <c r="C4" s="95">
        <v>305.2</v>
      </c>
      <c r="D4" s="67">
        <f t="shared" ref="D4:D66" si="0">C4/C3-1</f>
        <v>6.1196105702364223E-2</v>
      </c>
      <c r="F4" t="s">
        <v>315</v>
      </c>
      <c r="G4" s="103">
        <v>42430</v>
      </c>
      <c r="H4">
        <v>1871.15</v>
      </c>
      <c r="I4" s="67">
        <f t="shared" ref="I4:I66" si="1">H4/H3-1</f>
        <v>1.6835401077074374E-2</v>
      </c>
      <c r="Q4" t="s">
        <v>288</v>
      </c>
    </row>
    <row r="5" spans="1:22" ht="15" thickBot="1" x14ac:dyDescent="0.4">
      <c r="A5" t="s">
        <v>314</v>
      </c>
      <c r="B5" s="103">
        <v>42461</v>
      </c>
      <c r="C5" s="95">
        <v>351</v>
      </c>
      <c r="D5" s="67">
        <f t="shared" si="0"/>
        <v>0.15006553079947582</v>
      </c>
      <c r="F5" t="s">
        <v>315</v>
      </c>
      <c r="G5" s="103">
        <v>42461</v>
      </c>
      <c r="H5">
        <v>1953.05</v>
      </c>
      <c r="I5" s="67">
        <f t="shared" si="1"/>
        <v>4.376987414157063E-2</v>
      </c>
    </row>
    <row r="6" spans="1:22" x14ac:dyDescent="0.35">
      <c r="A6" t="s">
        <v>314</v>
      </c>
      <c r="B6" s="103">
        <v>42491</v>
      </c>
      <c r="C6" s="95">
        <v>316</v>
      </c>
      <c r="D6" s="67">
        <f t="shared" si="0"/>
        <v>-9.9715099715099731E-2</v>
      </c>
      <c r="F6" t="s">
        <v>315</v>
      </c>
      <c r="G6" s="103">
        <v>42491</v>
      </c>
      <c r="H6">
        <v>1899.01</v>
      </c>
      <c r="I6" s="67">
        <f t="shared" si="1"/>
        <v>-2.766954251043241E-2</v>
      </c>
      <c r="Q6" s="98" t="s">
        <v>289</v>
      </c>
      <c r="R6" s="98"/>
    </row>
    <row r="7" spans="1:22" x14ac:dyDescent="0.35">
      <c r="A7" t="s">
        <v>314</v>
      </c>
      <c r="B7" s="103">
        <v>42522</v>
      </c>
      <c r="C7" s="95">
        <v>330</v>
      </c>
      <c r="D7" s="67">
        <f t="shared" si="0"/>
        <v>4.4303797468354444E-2</v>
      </c>
      <c r="F7" t="s">
        <v>315</v>
      </c>
      <c r="G7" s="103">
        <v>42522</v>
      </c>
      <c r="H7">
        <v>1891.09</v>
      </c>
      <c r="I7" s="67">
        <f t="shared" si="1"/>
        <v>-4.1705941516896328E-3</v>
      </c>
      <c r="Q7" t="s">
        <v>290</v>
      </c>
      <c r="R7">
        <v>0.68214099787308302</v>
      </c>
    </row>
    <row r="8" spans="1:22" x14ac:dyDescent="0.35">
      <c r="A8" t="s">
        <v>314</v>
      </c>
      <c r="B8" s="103">
        <v>42552</v>
      </c>
      <c r="C8" s="95">
        <v>325.5</v>
      </c>
      <c r="D8" s="67">
        <f t="shared" si="0"/>
        <v>-1.3636363636363669E-2</v>
      </c>
      <c r="F8" t="s">
        <v>315</v>
      </c>
      <c r="G8" s="103">
        <v>42552</v>
      </c>
      <c r="H8">
        <v>1944.62</v>
      </c>
      <c r="I8" s="67">
        <f t="shared" si="1"/>
        <v>2.830642645246928E-2</v>
      </c>
      <c r="Q8" t="s">
        <v>291</v>
      </c>
      <c r="R8">
        <v>0.46531634097928543</v>
      </c>
    </row>
    <row r="9" spans="1:22" x14ac:dyDescent="0.35">
      <c r="A9" t="s">
        <v>314</v>
      </c>
      <c r="B9" s="103">
        <v>42583</v>
      </c>
      <c r="C9" s="95">
        <v>344.7</v>
      </c>
      <c r="D9" s="67">
        <f t="shared" si="0"/>
        <v>5.8986175115207429E-2</v>
      </c>
      <c r="F9" t="s">
        <v>315</v>
      </c>
      <c r="G9" s="103">
        <v>42583</v>
      </c>
      <c r="H9">
        <v>1971.59</v>
      </c>
      <c r="I9" s="67">
        <f t="shared" si="1"/>
        <v>1.3869033538686182E-2</v>
      </c>
      <c r="Q9" t="s">
        <v>292</v>
      </c>
      <c r="R9">
        <v>0.45669241099508034</v>
      </c>
    </row>
    <row r="10" spans="1:22" x14ac:dyDescent="0.35">
      <c r="A10" t="s">
        <v>314</v>
      </c>
      <c r="B10" s="103">
        <v>42614</v>
      </c>
      <c r="C10" s="95">
        <v>342.8</v>
      </c>
      <c r="D10" s="67">
        <f t="shared" si="0"/>
        <v>-5.5120394545981055E-3</v>
      </c>
      <c r="F10" t="s">
        <v>315</v>
      </c>
      <c r="G10" s="103">
        <v>42614</v>
      </c>
      <c r="H10">
        <v>1978</v>
      </c>
      <c r="I10" s="67">
        <f t="shared" si="1"/>
        <v>3.2511830553005883E-3</v>
      </c>
      <c r="Q10" t="s">
        <v>293</v>
      </c>
      <c r="R10">
        <v>6.3923328720098552E-2</v>
      </c>
    </row>
    <row r="11" spans="1:22" ht="15" thickBot="1" x14ac:dyDescent="0.4">
      <c r="A11" t="s">
        <v>314</v>
      </c>
      <c r="B11" s="103">
        <v>42644</v>
      </c>
      <c r="C11" s="95">
        <v>347.65</v>
      </c>
      <c r="D11" s="67">
        <f t="shared" si="0"/>
        <v>1.4148191365227492E-2</v>
      </c>
      <c r="F11" t="s">
        <v>315</v>
      </c>
      <c r="G11" s="103">
        <v>42644</v>
      </c>
      <c r="H11">
        <v>1989.64</v>
      </c>
      <c r="I11" s="67">
        <f t="shared" si="1"/>
        <v>5.8847320525783342E-3</v>
      </c>
      <c r="Q11" s="96" t="s">
        <v>294</v>
      </c>
      <c r="R11" s="96">
        <v>64</v>
      </c>
    </row>
    <row r="12" spans="1:22" x14ac:dyDescent="0.35">
      <c r="A12" t="s">
        <v>314</v>
      </c>
      <c r="B12" s="103">
        <v>42675</v>
      </c>
      <c r="C12" s="95">
        <v>340.2</v>
      </c>
      <c r="D12" s="67">
        <f t="shared" si="0"/>
        <v>-2.1429598734359234E-2</v>
      </c>
      <c r="F12" t="s">
        <v>315</v>
      </c>
      <c r="G12" s="103">
        <v>42675</v>
      </c>
      <c r="H12">
        <v>2104.91</v>
      </c>
      <c r="I12" s="67">
        <f t="shared" si="1"/>
        <v>5.7935103837880142E-2</v>
      </c>
    </row>
    <row r="13" spans="1:22" ht="15" thickBot="1" x14ac:dyDescent="0.4">
      <c r="A13" t="s">
        <v>314</v>
      </c>
      <c r="B13" s="103">
        <v>42705</v>
      </c>
      <c r="C13" s="95">
        <v>402.8</v>
      </c>
      <c r="D13" s="67">
        <f t="shared" si="0"/>
        <v>0.18400940623162843</v>
      </c>
      <c r="F13" t="s">
        <v>315</v>
      </c>
      <c r="G13" s="103">
        <v>42705</v>
      </c>
      <c r="H13">
        <v>2232.7199999999998</v>
      </c>
      <c r="I13" s="67">
        <f t="shared" si="1"/>
        <v>6.0719935769225186E-2</v>
      </c>
      <c r="Q13" t="s">
        <v>295</v>
      </c>
    </row>
    <row r="14" spans="1:22" x14ac:dyDescent="0.35">
      <c r="A14" t="s">
        <v>314</v>
      </c>
      <c r="B14" s="103">
        <v>42736</v>
      </c>
      <c r="C14" s="95">
        <v>400.6</v>
      </c>
      <c r="D14" s="67">
        <f t="shared" si="0"/>
        <v>-5.4617676266136561E-3</v>
      </c>
      <c r="F14" t="s">
        <v>315</v>
      </c>
      <c r="G14" s="103">
        <v>42736</v>
      </c>
      <c r="H14">
        <v>2217.39</v>
      </c>
      <c r="I14" s="67">
        <f t="shared" si="1"/>
        <v>-6.8660647103084838E-3</v>
      </c>
      <c r="Q14" s="97"/>
      <c r="R14" s="97" t="s">
        <v>299</v>
      </c>
      <c r="S14" s="97" t="s">
        <v>300</v>
      </c>
      <c r="T14" s="97" t="s">
        <v>301</v>
      </c>
      <c r="U14" s="97" t="s">
        <v>302</v>
      </c>
      <c r="V14" s="97" t="s">
        <v>303</v>
      </c>
    </row>
    <row r="15" spans="1:22" x14ac:dyDescent="0.35">
      <c r="A15" t="s">
        <v>314</v>
      </c>
      <c r="B15" s="103">
        <v>42767</v>
      </c>
      <c r="C15" s="95">
        <v>331.1</v>
      </c>
      <c r="D15" s="67">
        <f t="shared" si="0"/>
        <v>-0.17348976535197203</v>
      </c>
      <c r="F15" t="s">
        <v>315</v>
      </c>
      <c r="G15" s="103">
        <v>42767</v>
      </c>
      <c r="H15">
        <v>2035.77</v>
      </c>
      <c r="I15" s="67">
        <f t="shared" si="1"/>
        <v>-8.1907107004180579E-2</v>
      </c>
      <c r="Q15" t="s">
        <v>296</v>
      </c>
      <c r="R15">
        <v>1</v>
      </c>
      <c r="S15">
        <v>0.22047626689487937</v>
      </c>
      <c r="T15">
        <v>0.22047626689487937</v>
      </c>
      <c r="U15">
        <v>53.956414515368628</v>
      </c>
      <c r="V15">
        <v>5.4154922337921788E-10</v>
      </c>
    </row>
    <row r="16" spans="1:22" x14ac:dyDescent="0.35">
      <c r="A16" t="s">
        <v>314</v>
      </c>
      <c r="B16" s="103">
        <v>42795</v>
      </c>
      <c r="C16" s="95">
        <v>323.5</v>
      </c>
      <c r="D16" s="67">
        <f t="shared" si="0"/>
        <v>-2.295379039565093E-2</v>
      </c>
      <c r="F16" t="s">
        <v>315</v>
      </c>
      <c r="G16" s="103">
        <v>42795</v>
      </c>
      <c r="H16">
        <v>1995.9</v>
      </c>
      <c r="I16" s="67">
        <f t="shared" si="1"/>
        <v>-1.9584727154835724E-2</v>
      </c>
      <c r="Q16" t="s">
        <v>297</v>
      </c>
      <c r="R16">
        <v>62</v>
      </c>
      <c r="S16">
        <v>0.25334390118878214</v>
      </c>
      <c r="T16">
        <v>4.0861919546577767E-3</v>
      </c>
    </row>
    <row r="17" spans="1:27" ht="15" thickBot="1" x14ac:dyDescent="0.4">
      <c r="A17" t="s">
        <v>314</v>
      </c>
      <c r="B17" s="103">
        <v>42826</v>
      </c>
      <c r="C17" s="95">
        <v>317.25</v>
      </c>
      <c r="D17" s="67">
        <f t="shared" si="0"/>
        <v>-1.9319938176197815E-2</v>
      </c>
      <c r="F17" t="s">
        <v>315</v>
      </c>
      <c r="G17" s="103">
        <v>42826</v>
      </c>
      <c r="H17">
        <v>2016.71</v>
      </c>
      <c r="I17" s="67">
        <f t="shared" si="1"/>
        <v>1.0426374066836885E-2</v>
      </c>
      <c r="Q17" s="96" t="s">
        <v>286</v>
      </c>
      <c r="R17" s="96">
        <v>63</v>
      </c>
      <c r="S17" s="96">
        <v>0.47382016808366151</v>
      </c>
      <c r="T17" s="96"/>
      <c r="U17" s="96"/>
      <c r="V17" s="96"/>
    </row>
    <row r="18" spans="1:27" ht="15" thickBot="1" x14ac:dyDescent="0.4">
      <c r="A18" t="s">
        <v>314</v>
      </c>
      <c r="B18" s="103">
        <v>42856</v>
      </c>
      <c r="C18" s="95">
        <v>301.55</v>
      </c>
      <c r="D18" s="67">
        <f t="shared" si="0"/>
        <v>-4.9487785657998384E-2</v>
      </c>
      <c r="F18" t="s">
        <v>315</v>
      </c>
      <c r="G18" s="103">
        <v>42856</v>
      </c>
      <c r="H18">
        <v>1900.38</v>
      </c>
      <c r="I18" s="67">
        <f t="shared" si="1"/>
        <v>-5.7683058049992297E-2</v>
      </c>
    </row>
    <row r="19" spans="1:27" x14ac:dyDescent="0.35">
      <c r="A19" t="s">
        <v>314</v>
      </c>
      <c r="B19" s="103">
        <v>42887</v>
      </c>
      <c r="C19" s="95">
        <v>323</v>
      </c>
      <c r="D19" s="67">
        <f t="shared" si="0"/>
        <v>7.1132482175426892E-2</v>
      </c>
      <c r="F19" t="s">
        <v>315</v>
      </c>
      <c r="G19" s="103">
        <v>42887</v>
      </c>
      <c r="H19">
        <v>1879.5</v>
      </c>
      <c r="I19" s="67">
        <f t="shared" si="1"/>
        <v>-1.0987276228964782E-2</v>
      </c>
      <c r="Q19" s="97"/>
      <c r="R19" s="97" t="s">
        <v>304</v>
      </c>
      <c r="S19" s="97" t="s">
        <v>293</v>
      </c>
      <c r="T19" s="97" t="s">
        <v>305</v>
      </c>
      <c r="U19" s="97" t="s">
        <v>306</v>
      </c>
      <c r="V19" s="97" t="s">
        <v>307</v>
      </c>
      <c r="W19" s="97" t="s">
        <v>308</v>
      </c>
      <c r="X19" s="97" t="s">
        <v>309</v>
      </c>
      <c r="Y19" s="97" t="s">
        <v>310</v>
      </c>
    </row>
    <row r="20" spans="1:27" x14ac:dyDescent="0.35">
      <c r="A20" t="s">
        <v>314</v>
      </c>
      <c r="B20" s="103">
        <v>42917</v>
      </c>
      <c r="C20" s="95">
        <v>311.3</v>
      </c>
      <c r="D20" s="67">
        <f t="shared" si="0"/>
        <v>-3.6222910216718196E-2</v>
      </c>
      <c r="F20" t="s">
        <v>315</v>
      </c>
      <c r="G20" s="103">
        <v>42917</v>
      </c>
      <c r="H20">
        <v>1919.53</v>
      </c>
      <c r="I20" s="67">
        <f t="shared" si="1"/>
        <v>2.1298217611066761E-2</v>
      </c>
      <c r="Q20" t="s">
        <v>298</v>
      </c>
      <c r="R20">
        <v>-3.0037383974611427E-3</v>
      </c>
      <c r="S20">
        <v>8.3212758445217489E-3</v>
      </c>
      <c r="T20">
        <v>-0.36097089600011661</v>
      </c>
      <c r="U20">
        <v>0.71934827922258315</v>
      </c>
      <c r="V20">
        <v>-1.9637731796037998E-2</v>
      </c>
      <c r="W20">
        <v>1.3630255001115713E-2</v>
      </c>
      <c r="X20">
        <v>-1.9637731796037998E-2</v>
      </c>
      <c r="Y20">
        <v>1.3630255001115713E-2</v>
      </c>
    </row>
    <row r="21" spans="1:27" ht="15" thickBot="1" x14ac:dyDescent="0.4">
      <c r="A21" t="s">
        <v>314</v>
      </c>
      <c r="B21" s="103">
        <v>42948</v>
      </c>
      <c r="C21" s="95">
        <v>304</v>
      </c>
      <c r="D21" s="67">
        <f t="shared" si="0"/>
        <v>-2.3450048185030603E-2</v>
      </c>
      <c r="F21" t="s">
        <v>315</v>
      </c>
      <c r="G21" s="103">
        <v>42948</v>
      </c>
      <c r="H21">
        <v>2022.22</v>
      </c>
      <c r="I21" s="67">
        <f t="shared" si="1"/>
        <v>5.3497470735023755E-2</v>
      </c>
      <c r="Q21" s="96" t="s">
        <v>317</v>
      </c>
      <c r="R21" s="101">
        <v>1.419137295375712</v>
      </c>
      <c r="S21" s="96">
        <v>0.19319810948903482</v>
      </c>
      <c r="T21" s="96">
        <v>7.3455030130937011</v>
      </c>
      <c r="U21" s="96">
        <v>5.4154922337921788E-10</v>
      </c>
      <c r="V21" s="96">
        <v>1.0329397773624351</v>
      </c>
      <c r="W21" s="96">
        <v>1.8053348133889888</v>
      </c>
      <c r="X21" s="96">
        <v>1.0329397773624351</v>
      </c>
      <c r="Y21" s="96">
        <v>1.8053348133889888</v>
      </c>
    </row>
    <row r="22" spans="1:27" x14ac:dyDescent="0.35">
      <c r="A22" t="s">
        <v>314</v>
      </c>
      <c r="B22" s="103">
        <v>42979</v>
      </c>
      <c r="C22" s="95">
        <v>318.95</v>
      </c>
      <c r="D22" s="67">
        <f t="shared" si="0"/>
        <v>4.9177631578947389E-2</v>
      </c>
      <c r="F22" t="s">
        <v>315</v>
      </c>
      <c r="G22" s="103">
        <v>42979</v>
      </c>
      <c r="H22">
        <v>2077.19</v>
      </c>
      <c r="I22" s="67">
        <f t="shared" si="1"/>
        <v>2.7182996904392187E-2</v>
      </c>
    </row>
    <row r="23" spans="1:27" x14ac:dyDescent="0.35">
      <c r="A23" t="s">
        <v>314</v>
      </c>
      <c r="B23" s="103">
        <v>43009</v>
      </c>
      <c r="C23" s="95">
        <v>318.7</v>
      </c>
      <c r="D23" s="67">
        <f t="shared" si="0"/>
        <v>-7.8382191566073178E-4</v>
      </c>
      <c r="F23" t="s">
        <v>315</v>
      </c>
      <c r="G23" s="103">
        <v>43009</v>
      </c>
      <c r="H23">
        <v>2064.31</v>
      </c>
      <c r="I23" s="67">
        <f t="shared" si="1"/>
        <v>-6.2006845786857223E-3</v>
      </c>
    </row>
    <row r="24" spans="1:27" x14ac:dyDescent="0.35">
      <c r="A24" t="s">
        <v>314</v>
      </c>
      <c r="B24" s="103">
        <v>43040</v>
      </c>
      <c r="C24" s="95">
        <v>293.60000000000002</v>
      </c>
      <c r="D24" s="67">
        <f t="shared" si="0"/>
        <v>-7.8757452149356699E-2</v>
      </c>
      <c r="F24" t="s">
        <v>315</v>
      </c>
      <c r="G24" s="103">
        <v>43040</v>
      </c>
      <c r="H24">
        <v>2100.62</v>
      </c>
      <c r="I24" s="67">
        <f t="shared" si="1"/>
        <v>1.7589412442898578E-2</v>
      </c>
    </row>
    <row r="25" spans="1:27" x14ac:dyDescent="0.35">
      <c r="A25" t="s">
        <v>314</v>
      </c>
      <c r="B25" s="103">
        <v>43070</v>
      </c>
      <c r="C25" s="95">
        <v>291.5</v>
      </c>
      <c r="D25" s="67">
        <f t="shared" si="0"/>
        <v>-7.1525885558584301E-3</v>
      </c>
      <c r="F25" t="s">
        <v>315</v>
      </c>
      <c r="G25" s="103">
        <v>43070</v>
      </c>
      <c r="H25">
        <v>2109.7399999999998</v>
      </c>
      <c r="I25" s="67">
        <f t="shared" si="1"/>
        <v>4.3415753444220329E-3</v>
      </c>
      <c r="Q25" s="5" t="s">
        <v>318</v>
      </c>
      <c r="R25" s="18">
        <v>6.7500000000000004E-2</v>
      </c>
      <c r="S25" s="99" t="s">
        <v>322</v>
      </c>
    </row>
    <row r="26" spans="1:27" x14ac:dyDescent="0.35">
      <c r="A26" t="s">
        <v>314</v>
      </c>
      <c r="B26" s="103">
        <v>43101</v>
      </c>
      <c r="C26" s="95">
        <v>343.2</v>
      </c>
      <c r="D26" s="67">
        <f t="shared" si="0"/>
        <v>0.1773584905660377</v>
      </c>
      <c r="F26" t="s">
        <v>315</v>
      </c>
      <c r="G26" s="103">
        <v>43101</v>
      </c>
      <c r="H26">
        <v>2289.9899999999998</v>
      </c>
      <c r="I26" s="67">
        <f t="shared" si="1"/>
        <v>8.5437068074739164E-2</v>
      </c>
      <c r="Q26" s="5" t="s">
        <v>319</v>
      </c>
      <c r="R26" s="102">
        <f>R21</f>
        <v>1.419137295375712</v>
      </c>
    </row>
    <row r="27" spans="1:27" x14ac:dyDescent="0.35">
      <c r="A27" t="s">
        <v>314</v>
      </c>
      <c r="B27" s="103">
        <v>43132</v>
      </c>
      <c r="C27" s="95">
        <v>330.5</v>
      </c>
      <c r="D27" s="67">
        <f t="shared" si="0"/>
        <v>-3.7004662004662014E-2</v>
      </c>
      <c r="F27" t="s">
        <v>315</v>
      </c>
      <c r="G27" s="103">
        <v>43132</v>
      </c>
      <c r="H27">
        <v>2296.8000000000002</v>
      </c>
      <c r="I27" s="67">
        <f t="shared" si="1"/>
        <v>2.9738121127167449E-3</v>
      </c>
      <c r="Q27" s="5" t="s">
        <v>320</v>
      </c>
      <c r="R27" s="18">
        <f>AVERAGE(I3:I66)*12</f>
        <v>0.14429452424511235</v>
      </c>
    </row>
    <row r="28" spans="1:27" x14ac:dyDescent="0.35">
      <c r="A28" t="s">
        <v>314</v>
      </c>
      <c r="B28" s="103">
        <v>43160</v>
      </c>
      <c r="C28" s="95">
        <v>313.89999999999998</v>
      </c>
      <c r="D28" s="67">
        <f t="shared" si="0"/>
        <v>-5.0226928895612755E-2</v>
      </c>
      <c r="F28" t="s">
        <v>315</v>
      </c>
      <c r="G28" s="103">
        <v>43160</v>
      </c>
      <c r="H28">
        <v>2270.98</v>
      </c>
      <c r="I28" s="67">
        <f t="shared" si="1"/>
        <v>-1.1241727621038033E-2</v>
      </c>
      <c r="Q28" s="5" t="s">
        <v>321</v>
      </c>
      <c r="R28" s="18">
        <f>R25+R26*(R27-R25)</f>
        <v>0.17648197343687327</v>
      </c>
    </row>
    <row r="29" spans="1:27" x14ac:dyDescent="0.35">
      <c r="A29" t="s">
        <v>314</v>
      </c>
      <c r="B29" s="103">
        <v>43191</v>
      </c>
      <c r="C29" s="95">
        <v>383</v>
      </c>
      <c r="D29" s="67">
        <f t="shared" si="0"/>
        <v>0.22013380057343102</v>
      </c>
      <c r="F29" t="s">
        <v>315</v>
      </c>
      <c r="G29" s="103">
        <v>43191</v>
      </c>
      <c r="H29">
        <v>2307.02</v>
      </c>
      <c r="I29" s="67">
        <f t="shared" si="1"/>
        <v>1.5869800702780212E-2</v>
      </c>
    </row>
    <row r="30" spans="1:27" x14ac:dyDescent="0.35">
      <c r="A30" t="s">
        <v>314</v>
      </c>
      <c r="B30" s="103">
        <v>43221</v>
      </c>
      <c r="C30" s="95">
        <v>385.3</v>
      </c>
      <c r="D30" s="67">
        <f t="shared" si="0"/>
        <v>6.0052219321149458E-3</v>
      </c>
      <c r="F30" t="s">
        <v>315</v>
      </c>
      <c r="G30" s="103">
        <v>43221</v>
      </c>
      <c r="H30">
        <v>2302.88</v>
      </c>
      <c r="I30" s="67">
        <f t="shared" si="1"/>
        <v>-1.7945228043102501E-3</v>
      </c>
    </row>
    <row r="31" spans="1:27" x14ac:dyDescent="0.35">
      <c r="A31" t="s">
        <v>314</v>
      </c>
      <c r="B31" s="103">
        <v>43252</v>
      </c>
      <c r="C31" s="95">
        <v>396.15</v>
      </c>
      <c r="D31" s="67">
        <f t="shared" si="0"/>
        <v>2.8159875421749136E-2</v>
      </c>
      <c r="F31" t="s">
        <v>315</v>
      </c>
      <c r="G31" s="103">
        <v>43252</v>
      </c>
      <c r="H31">
        <v>2295.9499999999998</v>
      </c>
      <c r="I31" s="67">
        <f t="shared" si="1"/>
        <v>-3.0092753421803176E-3</v>
      </c>
      <c r="U31" t="s">
        <v>480</v>
      </c>
      <c r="Z31" t="s">
        <v>481</v>
      </c>
      <c r="AA31" s="67">
        <v>3.3999999999999998E-3</v>
      </c>
    </row>
    <row r="32" spans="1:27" x14ac:dyDescent="0.35">
      <c r="A32" t="s">
        <v>314</v>
      </c>
      <c r="B32" s="103">
        <v>43282</v>
      </c>
      <c r="C32" s="95">
        <v>419</v>
      </c>
      <c r="D32" s="67">
        <f t="shared" si="0"/>
        <v>5.7680171652152001E-2</v>
      </c>
      <c r="F32" t="s">
        <v>315</v>
      </c>
      <c r="G32" s="103">
        <v>43282</v>
      </c>
      <c r="H32">
        <v>2321.11</v>
      </c>
      <c r="I32" s="67">
        <f t="shared" si="1"/>
        <v>1.0958426795008691E-2</v>
      </c>
      <c r="Q32" s="5" t="s">
        <v>323</v>
      </c>
      <c r="R32" s="53">
        <f>BS!J29+BS!J37</f>
        <v>4608000000</v>
      </c>
    </row>
    <row r="33" spans="1:28" x14ac:dyDescent="0.35">
      <c r="A33" t="s">
        <v>314</v>
      </c>
      <c r="B33" s="103">
        <v>43313</v>
      </c>
      <c r="C33" s="95">
        <v>435.7</v>
      </c>
      <c r="D33" s="67">
        <f t="shared" si="0"/>
        <v>3.985680190930796E-2</v>
      </c>
      <c r="F33" t="s">
        <v>315</v>
      </c>
      <c r="G33" s="103">
        <v>43313</v>
      </c>
      <c r="H33">
        <v>2345.85</v>
      </c>
      <c r="I33" s="67">
        <f t="shared" si="1"/>
        <v>1.0658693469934644E-2</v>
      </c>
      <c r="Q33" s="5" t="s">
        <v>326</v>
      </c>
      <c r="R33" s="102">
        <f>R32/R38</f>
        <v>0.45646359583952451</v>
      </c>
      <c r="U33" t="s">
        <v>482</v>
      </c>
      <c r="AA33" s="67">
        <v>2.5999999999999999E-2</v>
      </c>
      <c r="AB33" s="67">
        <f>AVERAGE(AA33:AA34)</f>
        <v>3.4999999999999996E-2</v>
      </c>
    </row>
    <row r="34" spans="1:28" x14ac:dyDescent="0.35">
      <c r="A34" t="s">
        <v>314</v>
      </c>
      <c r="B34" s="103">
        <v>43344</v>
      </c>
      <c r="C34" s="95">
        <v>493</v>
      </c>
      <c r="D34" s="67">
        <f t="shared" si="0"/>
        <v>0.13151250860683961</v>
      </c>
      <c r="F34" t="s">
        <v>315</v>
      </c>
      <c r="G34" s="103">
        <v>43344</v>
      </c>
      <c r="H34">
        <v>2475.36</v>
      </c>
      <c r="I34" s="67">
        <f t="shared" si="1"/>
        <v>5.5208133512373081E-2</v>
      </c>
      <c r="Q34" s="5" t="s">
        <v>328</v>
      </c>
      <c r="R34" s="18">
        <f>W70</f>
        <v>6.3521093431252562E-2</v>
      </c>
      <c r="T34" s="100"/>
      <c r="U34" s="100">
        <v>801</v>
      </c>
      <c r="V34" s="67">
        <f>AB33+AA31</f>
        <v>3.8399999999999997E-2</v>
      </c>
      <c r="W34">
        <f>U34/$U$70</f>
        <v>0.32680538555691552</v>
      </c>
      <c r="X34" s="67">
        <f>W34*V34</f>
        <v>1.2549326805385555E-2</v>
      </c>
      <c r="AA34" s="67">
        <v>4.3999999999999997E-2</v>
      </c>
    </row>
    <row r="35" spans="1:28" x14ac:dyDescent="0.35">
      <c r="A35" t="s">
        <v>314</v>
      </c>
      <c r="B35" s="103">
        <v>43374</v>
      </c>
      <c r="C35" s="95">
        <v>460.45</v>
      </c>
      <c r="D35" s="67">
        <f t="shared" si="0"/>
        <v>-6.6024340770791112E-2</v>
      </c>
      <c r="F35" t="s">
        <v>315</v>
      </c>
      <c r="G35" s="103">
        <v>43374</v>
      </c>
      <c r="H35">
        <v>2352.71</v>
      </c>
      <c r="I35" s="67">
        <f t="shared" si="1"/>
        <v>-4.9548348523043129E-2</v>
      </c>
      <c r="Q35" s="5" t="s">
        <v>324</v>
      </c>
      <c r="R35" s="53">
        <f>BS!J52</f>
        <v>5487000000</v>
      </c>
      <c r="T35" s="100">
        <f>U34+U35+U36</f>
        <v>1720</v>
      </c>
      <c r="U35" s="100">
        <v>112</v>
      </c>
      <c r="V35" s="67">
        <f>AB37</f>
        <v>2.2749999999999999E-2</v>
      </c>
      <c r="W35">
        <f t="shared" ref="W35:W68" si="2">U35/$U$70</f>
        <v>4.5695634434924519E-2</v>
      </c>
      <c r="X35" s="67">
        <f t="shared" ref="X35:X68" si="3">W35*V35</f>
        <v>1.0395756833945329E-3</v>
      </c>
    </row>
    <row r="36" spans="1:28" x14ac:dyDescent="0.35">
      <c r="A36" t="s">
        <v>314</v>
      </c>
      <c r="B36" s="103">
        <v>43405</v>
      </c>
      <c r="C36" s="95">
        <v>423.1</v>
      </c>
      <c r="D36" s="67">
        <f t="shared" si="0"/>
        <v>-8.1116299272450787E-2</v>
      </c>
      <c r="F36" t="s">
        <v>315</v>
      </c>
      <c r="G36" s="103">
        <v>43405</v>
      </c>
      <c r="H36">
        <v>2392.5</v>
      </c>
      <c r="I36" s="67">
        <f t="shared" si="1"/>
        <v>1.6912411644444125E-2</v>
      </c>
      <c r="Q36" s="5" t="s">
        <v>327</v>
      </c>
      <c r="R36" s="102">
        <f>R35/R38</f>
        <v>0.54353640416047544</v>
      </c>
      <c r="T36" s="100"/>
      <c r="U36" s="100">
        <v>807</v>
      </c>
      <c r="V36" s="67">
        <v>8.5000000000000006E-2</v>
      </c>
      <c r="W36">
        <f t="shared" si="2"/>
        <v>0.3292533659730722</v>
      </c>
      <c r="X36" s="67">
        <f t="shared" si="3"/>
        <v>2.7986536107711138E-2</v>
      </c>
    </row>
    <row r="37" spans="1:28" x14ac:dyDescent="0.35">
      <c r="A37" t="s">
        <v>314</v>
      </c>
      <c r="B37" s="103">
        <v>43435</v>
      </c>
      <c r="C37" s="95">
        <v>432.5</v>
      </c>
      <c r="D37" s="67">
        <f t="shared" si="0"/>
        <v>2.2216969983455348E-2</v>
      </c>
      <c r="F37" t="s">
        <v>315</v>
      </c>
      <c r="G37" s="103">
        <v>43435</v>
      </c>
      <c r="H37">
        <v>2369.17</v>
      </c>
      <c r="I37" s="67">
        <f t="shared" si="1"/>
        <v>-9.7513061650992272E-3</v>
      </c>
      <c r="Q37" s="5" t="s">
        <v>329</v>
      </c>
      <c r="R37" s="18">
        <f>R28</f>
        <v>0.17648197343687327</v>
      </c>
      <c r="T37" s="140">
        <f>SUM(U37:U67)</f>
        <v>581</v>
      </c>
      <c r="U37" s="140">
        <v>20</v>
      </c>
      <c r="V37" s="67">
        <v>7.9000000000000001E-2</v>
      </c>
      <c r="W37">
        <f t="shared" si="2"/>
        <v>8.1599347205222363E-3</v>
      </c>
      <c r="X37" s="67">
        <f t="shared" si="3"/>
        <v>6.4463484292125671E-4</v>
      </c>
      <c r="AA37" s="67">
        <v>0.02</v>
      </c>
      <c r="AB37" s="67">
        <f>AVERAGE(AA37:AA38)</f>
        <v>2.2749999999999999E-2</v>
      </c>
    </row>
    <row r="38" spans="1:28" x14ac:dyDescent="0.35">
      <c r="A38" t="s">
        <v>314</v>
      </c>
      <c r="B38" s="103">
        <v>43466</v>
      </c>
      <c r="C38" s="95">
        <v>411.25</v>
      </c>
      <c r="D38" s="67">
        <f t="shared" si="0"/>
        <v>-4.9132947976878616E-2</v>
      </c>
      <c r="F38" t="s">
        <v>315</v>
      </c>
      <c r="G38" s="103">
        <v>43466</v>
      </c>
      <c r="H38">
        <v>2521.1</v>
      </c>
      <c r="I38" s="67">
        <f t="shared" si="1"/>
        <v>6.4127943541409049E-2</v>
      </c>
      <c r="Q38" s="5" t="s">
        <v>325</v>
      </c>
      <c r="R38" s="53">
        <f>R32+R35</f>
        <v>10095000000</v>
      </c>
      <c r="T38" s="140"/>
      <c r="U38" s="140">
        <v>31</v>
      </c>
      <c r="V38" s="67">
        <v>7.2999999999999995E-2</v>
      </c>
      <c r="W38">
        <f t="shared" si="2"/>
        <v>1.2647898816809465E-2</v>
      </c>
      <c r="X38" s="67">
        <f t="shared" si="3"/>
        <v>9.2329661362709086E-4</v>
      </c>
      <c r="AA38" s="67">
        <v>2.5499999999999998E-2</v>
      </c>
    </row>
    <row r="39" spans="1:28" x14ac:dyDescent="0.35">
      <c r="A39" t="s">
        <v>314</v>
      </c>
      <c r="B39" s="103">
        <v>43497</v>
      </c>
      <c r="C39" s="95">
        <v>398.8</v>
      </c>
      <c r="D39" s="67">
        <f t="shared" si="0"/>
        <v>-3.0273556231003029E-2</v>
      </c>
      <c r="F39" t="s">
        <v>315</v>
      </c>
      <c r="G39" s="103">
        <v>43497</v>
      </c>
      <c r="H39">
        <v>2485.27</v>
      </c>
      <c r="I39" s="67">
        <f t="shared" si="1"/>
        <v>-1.4212050295505874E-2</v>
      </c>
      <c r="Q39" s="5" t="s">
        <v>330</v>
      </c>
      <c r="R39" s="18">
        <f>R36*R37+R33*R34*0.8</f>
        <v>0.119120430616453</v>
      </c>
      <c r="T39" s="140"/>
      <c r="U39" s="140">
        <v>5</v>
      </c>
      <c r="V39" s="67">
        <v>7.0000000000000007E-2</v>
      </c>
      <c r="W39">
        <f t="shared" si="2"/>
        <v>2.0399836801305591E-3</v>
      </c>
      <c r="X39" s="67">
        <f t="shared" si="3"/>
        <v>1.4279885760913914E-4</v>
      </c>
    </row>
    <row r="40" spans="1:28" x14ac:dyDescent="0.35">
      <c r="A40" t="s">
        <v>314</v>
      </c>
      <c r="B40" s="103">
        <v>43525</v>
      </c>
      <c r="C40" s="95">
        <v>412</v>
      </c>
      <c r="D40" s="67">
        <f t="shared" si="0"/>
        <v>3.3099297893681046E-2</v>
      </c>
      <c r="F40" t="s">
        <v>315</v>
      </c>
      <c r="G40" s="103">
        <v>43525</v>
      </c>
      <c r="H40">
        <v>2497.1</v>
      </c>
      <c r="I40" s="67">
        <f t="shared" si="1"/>
        <v>4.7600461921641912E-3</v>
      </c>
      <c r="T40" s="140"/>
      <c r="U40" s="140">
        <v>26</v>
      </c>
      <c r="V40" s="67">
        <v>6.6500000000000004E-2</v>
      </c>
      <c r="W40">
        <f t="shared" si="2"/>
        <v>1.0607915136678907E-2</v>
      </c>
      <c r="X40" s="67">
        <f t="shared" si="3"/>
        <v>7.0542635658914731E-4</v>
      </c>
    </row>
    <row r="41" spans="1:28" x14ac:dyDescent="0.35">
      <c r="A41" t="s">
        <v>314</v>
      </c>
      <c r="B41" s="103">
        <v>43556</v>
      </c>
      <c r="C41" s="95">
        <v>428.8</v>
      </c>
      <c r="D41" s="67">
        <f t="shared" si="0"/>
        <v>4.0776699029126284E-2</v>
      </c>
      <c r="F41" t="s">
        <v>315</v>
      </c>
      <c r="G41" s="103">
        <v>43556</v>
      </c>
      <c r="H41">
        <v>2559.3200000000002</v>
      </c>
      <c r="I41" s="67">
        <f t="shared" si="1"/>
        <v>2.4916903608185548E-2</v>
      </c>
      <c r="T41" s="140"/>
      <c r="U41" s="140">
        <v>36</v>
      </c>
      <c r="V41" s="67">
        <v>8.900000000000001E-2</v>
      </c>
      <c r="W41">
        <f t="shared" si="2"/>
        <v>1.4687882496940025E-2</v>
      </c>
      <c r="X41" s="67">
        <f t="shared" si="3"/>
        <v>1.3072215422276624E-3</v>
      </c>
    </row>
    <row r="42" spans="1:28" x14ac:dyDescent="0.35">
      <c r="A42" t="s">
        <v>314</v>
      </c>
      <c r="B42" s="103">
        <v>43586</v>
      </c>
      <c r="C42" s="95">
        <v>433</v>
      </c>
      <c r="D42" s="67">
        <f t="shared" si="0"/>
        <v>9.794776119403048E-3</v>
      </c>
      <c r="F42" t="s">
        <v>315</v>
      </c>
      <c r="G42" s="103">
        <v>43586</v>
      </c>
      <c r="H42">
        <v>2665.33</v>
      </c>
      <c r="I42" s="67">
        <f t="shared" si="1"/>
        <v>4.1421158745291731E-2</v>
      </c>
      <c r="T42" s="140"/>
      <c r="U42" s="140">
        <v>55</v>
      </c>
      <c r="V42" s="67">
        <v>9.4E-2</v>
      </c>
      <c r="W42">
        <f t="shared" si="2"/>
        <v>2.2439820481436147E-2</v>
      </c>
      <c r="X42" s="67">
        <f t="shared" si="3"/>
        <v>2.1093431252549978E-3</v>
      </c>
    </row>
    <row r="43" spans="1:28" x14ac:dyDescent="0.35">
      <c r="A43" t="s">
        <v>314</v>
      </c>
      <c r="B43" s="103">
        <v>43617</v>
      </c>
      <c r="C43" s="95">
        <v>414.5</v>
      </c>
      <c r="D43" s="67">
        <f t="shared" si="0"/>
        <v>-4.2725173210161671E-2</v>
      </c>
      <c r="F43" t="s">
        <v>315</v>
      </c>
      <c r="G43" s="103">
        <v>43617</v>
      </c>
      <c r="H43">
        <v>2765.85</v>
      </c>
      <c r="I43" s="67">
        <f t="shared" si="1"/>
        <v>3.7713904094427431E-2</v>
      </c>
      <c r="T43" s="140"/>
      <c r="U43" s="140">
        <v>30</v>
      </c>
      <c r="V43" s="67">
        <v>9.3900000000000011E-2</v>
      </c>
      <c r="W43">
        <f t="shared" si="2"/>
        <v>1.2239902080783354E-2</v>
      </c>
      <c r="X43" s="67">
        <f t="shared" si="3"/>
        <v>1.1493268053855571E-3</v>
      </c>
    </row>
    <row r="44" spans="1:28" x14ac:dyDescent="0.35">
      <c r="A44" t="s">
        <v>314</v>
      </c>
      <c r="B44" s="103">
        <v>43647</v>
      </c>
      <c r="C44" s="95">
        <v>421.95</v>
      </c>
      <c r="D44" s="67">
        <f t="shared" si="0"/>
        <v>1.7973462002412566E-2</v>
      </c>
      <c r="F44" t="s">
        <v>315</v>
      </c>
      <c r="G44" s="103">
        <v>43647</v>
      </c>
      <c r="H44">
        <v>2739.5</v>
      </c>
      <c r="I44" s="67">
        <f t="shared" si="1"/>
        <v>-9.5269085452934776E-3</v>
      </c>
      <c r="T44" s="140"/>
      <c r="U44" s="140">
        <v>20</v>
      </c>
      <c r="V44" s="67">
        <v>9.5000000000000001E-2</v>
      </c>
      <c r="W44">
        <f t="shared" si="2"/>
        <v>8.1599347205222363E-3</v>
      </c>
      <c r="X44" s="67">
        <f t="shared" si="3"/>
        <v>7.751937984496125E-4</v>
      </c>
    </row>
    <row r="45" spans="1:28" x14ac:dyDescent="0.35">
      <c r="A45" t="s">
        <v>314</v>
      </c>
      <c r="B45" s="103">
        <v>43678</v>
      </c>
      <c r="C45" s="95">
        <v>406.95</v>
      </c>
      <c r="D45" s="67">
        <f t="shared" si="0"/>
        <v>-3.5549235691432646E-2</v>
      </c>
      <c r="F45" t="s">
        <v>315</v>
      </c>
      <c r="G45" s="103">
        <v>43678</v>
      </c>
      <c r="H45">
        <v>2740.04</v>
      </c>
      <c r="I45" s="67">
        <f t="shared" si="1"/>
        <v>1.9711626209151234E-4</v>
      </c>
      <c r="T45" s="140"/>
      <c r="U45" s="140">
        <v>41</v>
      </c>
      <c r="V45" s="67">
        <v>8.6500000000000007E-2</v>
      </c>
      <c r="W45">
        <f t="shared" si="2"/>
        <v>1.6727866177070585E-2</v>
      </c>
      <c r="X45" s="67">
        <f t="shared" si="3"/>
        <v>1.4469604243166057E-3</v>
      </c>
    </row>
    <row r="46" spans="1:28" x14ac:dyDescent="0.35">
      <c r="A46" t="s">
        <v>314</v>
      </c>
      <c r="B46" s="103">
        <v>43709</v>
      </c>
      <c r="C46" s="95">
        <v>419.3</v>
      </c>
      <c r="D46" s="67">
        <f t="shared" si="0"/>
        <v>3.0347708563705611E-2</v>
      </c>
      <c r="F46" t="s">
        <v>315</v>
      </c>
      <c r="G46" s="103">
        <v>43709</v>
      </c>
      <c r="H46">
        <v>2747.18</v>
      </c>
      <c r="I46" s="67">
        <f t="shared" si="1"/>
        <v>2.6058013751624198E-3</v>
      </c>
      <c r="T46" s="140"/>
      <c r="U46" s="140">
        <v>15</v>
      </c>
      <c r="V46" s="67">
        <v>8.5999999999999993E-2</v>
      </c>
      <c r="W46">
        <f t="shared" si="2"/>
        <v>6.1199510403916772E-3</v>
      </c>
      <c r="X46" s="67">
        <f t="shared" si="3"/>
        <v>5.263157894736842E-4</v>
      </c>
    </row>
    <row r="47" spans="1:28" x14ac:dyDescent="0.35">
      <c r="A47" t="s">
        <v>314</v>
      </c>
      <c r="B47" s="103">
        <v>43739</v>
      </c>
      <c r="C47" s="95">
        <v>426</v>
      </c>
      <c r="D47" s="67">
        <f t="shared" si="0"/>
        <v>1.5979012640114476E-2</v>
      </c>
      <c r="F47" t="s">
        <v>315</v>
      </c>
      <c r="G47" s="103">
        <v>43739</v>
      </c>
      <c r="H47">
        <v>2893.98</v>
      </c>
      <c r="I47" s="67">
        <f t="shared" si="1"/>
        <v>5.3436615001565269E-2</v>
      </c>
      <c r="T47" s="140"/>
      <c r="U47" s="140">
        <v>30</v>
      </c>
      <c r="V47" s="67">
        <v>7.7499999999999999E-2</v>
      </c>
      <c r="W47">
        <f t="shared" si="2"/>
        <v>1.2239902080783354E-2</v>
      </c>
      <c r="X47" s="67">
        <f t="shared" si="3"/>
        <v>9.4859241126071E-4</v>
      </c>
    </row>
    <row r="48" spans="1:28" x14ac:dyDescent="0.35">
      <c r="A48" t="s">
        <v>314</v>
      </c>
      <c r="B48" s="103">
        <v>43770</v>
      </c>
      <c r="C48" s="95">
        <v>441</v>
      </c>
      <c r="D48" s="67">
        <f t="shared" si="0"/>
        <v>3.5211267605633756E-2</v>
      </c>
      <c r="F48" t="s">
        <v>315</v>
      </c>
      <c r="G48" s="103">
        <v>43770</v>
      </c>
      <c r="H48">
        <v>2935.37</v>
      </c>
      <c r="I48" s="67">
        <f t="shared" si="1"/>
        <v>1.4302102986198939E-2</v>
      </c>
      <c r="T48" s="140"/>
      <c r="U48" s="140">
        <v>51</v>
      </c>
      <c r="V48" s="67">
        <v>7.4999999999999997E-2</v>
      </c>
      <c r="W48">
        <f t="shared" si="2"/>
        <v>2.0807833537331701E-2</v>
      </c>
      <c r="X48" s="67">
        <f t="shared" si="3"/>
        <v>1.5605875152998776E-3</v>
      </c>
    </row>
    <row r="49" spans="1:26" x14ac:dyDescent="0.35">
      <c r="A49" t="s">
        <v>314</v>
      </c>
      <c r="B49" s="103">
        <v>43800</v>
      </c>
      <c r="C49" s="95">
        <v>449.7</v>
      </c>
      <c r="D49" s="67">
        <f t="shared" si="0"/>
        <v>1.9727891156462452E-2</v>
      </c>
      <c r="F49" t="s">
        <v>315</v>
      </c>
      <c r="G49" s="103">
        <v>43800</v>
      </c>
      <c r="H49">
        <v>3045.87</v>
      </c>
      <c r="I49" s="67">
        <f t="shared" si="1"/>
        <v>3.7644317411433592E-2</v>
      </c>
      <c r="T49" s="141"/>
      <c r="U49" s="140">
        <v>20</v>
      </c>
      <c r="V49" s="67">
        <v>7.2999999999999995E-2</v>
      </c>
      <c r="W49">
        <f t="shared" si="2"/>
        <v>8.1599347205222363E-3</v>
      </c>
      <c r="X49" s="67">
        <f t="shared" si="3"/>
        <v>5.956752345981232E-4</v>
      </c>
    </row>
    <row r="50" spans="1:26" x14ac:dyDescent="0.35">
      <c r="A50" t="s">
        <v>314</v>
      </c>
      <c r="B50" s="103">
        <v>43831</v>
      </c>
      <c r="C50" s="95">
        <v>480.5</v>
      </c>
      <c r="D50" s="67">
        <f t="shared" si="0"/>
        <v>6.8490104514120631E-2</v>
      </c>
      <c r="F50" t="s">
        <v>315</v>
      </c>
      <c r="G50" s="103">
        <v>43831</v>
      </c>
      <c r="H50">
        <v>3076.65</v>
      </c>
      <c r="I50" s="67">
        <f t="shared" si="1"/>
        <v>1.0105487102207267E-2</v>
      </c>
      <c r="T50" s="141"/>
      <c r="U50" s="142">
        <v>31</v>
      </c>
      <c r="V50" s="67">
        <v>8.6999999999999994E-2</v>
      </c>
      <c r="W50">
        <f t="shared" si="2"/>
        <v>1.2647898816809465E-2</v>
      </c>
      <c r="X50" s="67">
        <f t="shared" si="3"/>
        <v>1.1003671970624233E-3</v>
      </c>
    </row>
    <row r="51" spans="1:26" x14ac:dyDescent="0.35">
      <c r="A51" t="s">
        <v>314</v>
      </c>
      <c r="B51" s="103">
        <v>43862</v>
      </c>
      <c r="C51" s="95">
        <v>403.4</v>
      </c>
      <c r="D51" s="67">
        <f t="shared" si="0"/>
        <v>-0.16045785639958376</v>
      </c>
      <c r="F51" t="s">
        <v>315</v>
      </c>
      <c r="G51" s="103">
        <v>43862</v>
      </c>
      <c r="H51">
        <v>2785.08</v>
      </c>
      <c r="I51" s="67">
        <f t="shared" si="1"/>
        <v>-9.4768660718638875E-2</v>
      </c>
      <c r="T51" s="141"/>
      <c r="U51" s="140">
        <v>26</v>
      </c>
      <c r="V51" s="67">
        <v>7.9500000000000001E-2</v>
      </c>
      <c r="W51">
        <f t="shared" si="2"/>
        <v>1.0607915136678907E-2</v>
      </c>
      <c r="X51" s="67">
        <f t="shared" si="3"/>
        <v>8.4332925336597314E-4</v>
      </c>
    </row>
    <row r="52" spans="1:26" x14ac:dyDescent="0.35">
      <c r="A52" t="s">
        <v>314</v>
      </c>
      <c r="B52" s="103">
        <v>43891</v>
      </c>
      <c r="C52" s="95">
        <v>314.35000000000002</v>
      </c>
      <c r="D52" s="67">
        <f t="shared" si="0"/>
        <v>-0.22074863658899346</v>
      </c>
      <c r="F52" t="s">
        <v>315</v>
      </c>
      <c r="G52" s="103">
        <v>43891</v>
      </c>
      <c r="H52">
        <v>2508.81</v>
      </c>
      <c r="I52" s="67">
        <f t="shared" si="1"/>
        <v>-9.9196432418458325E-2</v>
      </c>
      <c r="T52" s="141"/>
      <c r="U52" s="140">
        <v>25</v>
      </c>
      <c r="V52" s="67">
        <v>7.0999999999999994E-2</v>
      </c>
      <c r="W52">
        <f t="shared" si="2"/>
        <v>1.0199918400652794E-2</v>
      </c>
      <c r="X52" s="67">
        <f t="shared" si="3"/>
        <v>7.2419420644634835E-4</v>
      </c>
    </row>
    <row r="53" spans="1:26" x14ac:dyDescent="0.35">
      <c r="A53" t="s">
        <v>314</v>
      </c>
      <c r="B53" s="103">
        <v>43922</v>
      </c>
      <c r="C53" s="95">
        <v>335.65</v>
      </c>
      <c r="D53" s="67">
        <f t="shared" si="0"/>
        <v>6.7758867504373876E-2</v>
      </c>
      <c r="F53" t="s">
        <v>315</v>
      </c>
      <c r="G53" s="103">
        <v>43922</v>
      </c>
      <c r="H53">
        <v>2650.56</v>
      </c>
      <c r="I53" s="67">
        <f t="shared" si="1"/>
        <v>5.6500890860607278E-2</v>
      </c>
      <c r="T53" s="141"/>
      <c r="U53" s="140">
        <v>14</v>
      </c>
      <c r="V53" s="67">
        <v>5.7999999999999996E-2</v>
      </c>
      <c r="W53">
        <f t="shared" si="2"/>
        <v>5.7119543043655649E-3</v>
      </c>
      <c r="X53" s="67">
        <f t="shared" si="3"/>
        <v>3.3129334965320274E-4</v>
      </c>
    </row>
    <row r="54" spans="1:26" x14ac:dyDescent="0.35">
      <c r="A54" t="s">
        <v>314</v>
      </c>
      <c r="B54" s="103">
        <v>43952</v>
      </c>
      <c r="C54" s="95">
        <v>376.2</v>
      </c>
      <c r="D54" s="67">
        <f t="shared" si="0"/>
        <v>0.12081036794279765</v>
      </c>
      <c r="F54" t="s">
        <v>315</v>
      </c>
      <c r="G54" s="103">
        <v>43952</v>
      </c>
      <c r="H54">
        <v>2734.83</v>
      </c>
      <c r="I54" s="67">
        <f t="shared" si="1"/>
        <v>3.1793281419775443E-2</v>
      </c>
      <c r="T54" s="141"/>
      <c r="U54" s="140">
        <v>5</v>
      </c>
      <c r="V54" s="67">
        <v>7.8E-2</v>
      </c>
      <c r="W54">
        <f t="shared" si="2"/>
        <v>2.0399836801305591E-3</v>
      </c>
      <c r="X54" s="67">
        <f t="shared" si="3"/>
        <v>1.591187270501836E-4</v>
      </c>
    </row>
    <row r="55" spans="1:26" x14ac:dyDescent="0.35">
      <c r="A55" t="s">
        <v>314</v>
      </c>
      <c r="B55" s="103">
        <v>43983</v>
      </c>
      <c r="C55" s="95">
        <v>361.8</v>
      </c>
      <c r="D55" s="67">
        <f t="shared" si="0"/>
        <v>-3.8277511961722466E-2</v>
      </c>
      <c r="F55" t="s">
        <v>315</v>
      </c>
      <c r="G55" s="103">
        <v>43983</v>
      </c>
      <c r="H55">
        <v>2743.2</v>
      </c>
      <c r="I55" s="67">
        <f t="shared" si="1"/>
        <v>3.0605193010169174E-3</v>
      </c>
      <c r="T55" s="141"/>
      <c r="U55" s="140">
        <v>5</v>
      </c>
      <c r="V55" s="67">
        <v>8.8499999999999995E-2</v>
      </c>
      <c r="W55">
        <f t="shared" si="2"/>
        <v>2.0399836801305591E-3</v>
      </c>
      <c r="X55" s="67">
        <f t="shared" si="3"/>
        <v>1.8053855569155446E-4</v>
      </c>
      <c r="Z55" s="67"/>
    </row>
    <row r="56" spans="1:26" x14ac:dyDescent="0.35">
      <c r="A56" t="s">
        <v>314</v>
      </c>
      <c r="B56" s="103">
        <v>44013</v>
      </c>
      <c r="C56" s="95">
        <v>356.9</v>
      </c>
      <c r="D56" s="67">
        <f t="shared" si="0"/>
        <v>-1.3543394140409171E-2</v>
      </c>
      <c r="F56" t="s">
        <v>315</v>
      </c>
      <c r="G56" s="103">
        <v>44013</v>
      </c>
      <c r="H56">
        <v>2911.57</v>
      </c>
      <c r="I56" s="67">
        <f t="shared" si="1"/>
        <v>6.137722368037335E-2</v>
      </c>
      <c r="T56" s="141"/>
      <c r="U56" s="140">
        <v>5</v>
      </c>
      <c r="V56" s="67">
        <v>6.5000000000000002E-2</v>
      </c>
      <c r="W56">
        <f t="shared" si="2"/>
        <v>2.0399836801305591E-3</v>
      </c>
      <c r="X56" s="67">
        <f t="shared" si="3"/>
        <v>1.3259893920848634E-4</v>
      </c>
    </row>
    <row r="57" spans="1:26" x14ac:dyDescent="0.35">
      <c r="A57" t="s">
        <v>314</v>
      </c>
      <c r="B57" s="103">
        <v>44044</v>
      </c>
      <c r="C57" s="95">
        <v>373.2</v>
      </c>
      <c r="D57" s="67">
        <f t="shared" si="0"/>
        <v>4.5671056318296488E-2</v>
      </c>
      <c r="F57" t="s">
        <v>315</v>
      </c>
      <c r="G57" s="103">
        <v>44044</v>
      </c>
      <c r="H57">
        <v>2966.2</v>
      </c>
      <c r="I57" s="67">
        <f t="shared" si="1"/>
        <v>1.8763072843860806E-2</v>
      </c>
      <c r="T57" s="141"/>
      <c r="U57" s="140">
        <v>5</v>
      </c>
      <c r="V57" s="67">
        <v>5.7999999999999996E-2</v>
      </c>
      <c r="W57">
        <f t="shared" si="2"/>
        <v>2.0399836801305591E-3</v>
      </c>
      <c r="X57" s="67">
        <f t="shared" si="3"/>
        <v>1.1831905344757242E-4</v>
      </c>
    </row>
    <row r="58" spans="1:26" x14ac:dyDescent="0.35">
      <c r="A58" t="s">
        <v>314</v>
      </c>
      <c r="B58" s="103">
        <v>44075</v>
      </c>
      <c r="C58" s="95">
        <v>383</v>
      </c>
      <c r="D58" s="67">
        <f t="shared" si="0"/>
        <v>2.62593783494105E-2</v>
      </c>
      <c r="F58" t="s">
        <v>315</v>
      </c>
      <c r="G58" s="103">
        <v>44075</v>
      </c>
      <c r="H58">
        <v>2905.81</v>
      </c>
      <c r="I58" s="67">
        <f t="shared" si="1"/>
        <v>-2.0359382374755541E-2</v>
      </c>
      <c r="T58" s="141"/>
      <c r="U58" s="140">
        <v>1</v>
      </c>
      <c r="V58" s="67">
        <v>5.1000000000000004E-3</v>
      </c>
      <c r="W58">
        <f t="shared" si="2"/>
        <v>4.0799673602611179E-4</v>
      </c>
      <c r="X58" s="67">
        <f t="shared" si="3"/>
        <v>2.0807833537331702E-6</v>
      </c>
    </row>
    <row r="59" spans="1:26" x14ac:dyDescent="0.35">
      <c r="A59" t="s">
        <v>314</v>
      </c>
      <c r="B59" s="103">
        <v>44105</v>
      </c>
      <c r="C59" s="95">
        <v>349.8</v>
      </c>
      <c r="D59" s="67">
        <f t="shared" si="0"/>
        <v>-8.668407310704962E-2</v>
      </c>
      <c r="F59" t="s">
        <v>315</v>
      </c>
      <c r="G59" s="103">
        <v>44105</v>
      </c>
      <c r="H59">
        <v>2690.59</v>
      </c>
      <c r="I59" s="67">
        <f t="shared" si="1"/>
        <v>-7.4065406891710039E-2</v>
      </c>
      <c r="T59" s="141"/>
      <c r="U59" s="140">
        <v>2</v>
      </c>
      <c r="V59" s="67">
        <v>5.1000000000000004E-3</v>
      </c>
      <c r="W59">
        <f t="shared" si="2"/>
        <v>8.1599347205222358E-4</v>
      </c>
      <c r="X59" s="67">
        <f t="shared" si="3"/>
        <v>4.1615667074663405E-6</v>
      </c>
    </row>
    <row r="60" spans="1:26" x14ac:dyDescent="0.35">
      <c r="A60" t="s">
        <v>314</v>
      </c>
      <c r="B60" s="103">
        <v>44136</v>
      </c>
      <c r="C60" s="95">
        <v>449.5</v>
      </c>
      <c r="D60" s="67">
        <f t="shared" si="0"/>
        <v>0.2850200114351058</v>
      </c>
      <c r="F60" t="s">
        <v>315</v>
      </c>
      <c r="G60" s="103">
        <v>44136</v>
      </c>
      <c r="H60">
        <v>3107.58</v>
      </c>
      <c r="I60" s="67">
        <f t="shared" si="1"/>
        <v>0.15498087780003633</v>
      </c>
      <c r="T60" s="141"/>
      <c r="U60" s="140">
        <v>15</v>
      </c>
      <c r="V60" s="67">
        <v>7.6999999999999999E-2</v>
      </c>
      <c r="W60">
        <f t="shared" si="2"/>
        <v>6.1199510403916772E-3</v>
      </c>
      <c r="X60" s="67">
        <f t="shared" si="3"/>
        <v>4.7123623011015916E-4</v>
      </c>
    </row>
    <row r="61" spans="1:26" x14ac:dyDescent="0.35">
      <c r="A61" t="s">
        <v>314</v>
      </c>
      <c r="B61" s="103">
        <v>44166</v>
      </c>
      <c r="C61" s="95">
        <v>435.1</v>
      </c>
      <c r="D61" s="67">
        <f t="shared" si="0"/>
        <v>-3.2035595105672887E-2</v>
      </c>
      <c r="F61" t="s">
        <v>315</v>
      </c>
      <c r="G61" s="103">
        <v>44166</v>
      </c>
      <c r="H61">
        <v>3289.02</v>
      </c>
      <c r="I61" s="67">
        <f t="shared" si="1"/>
        <v>5.8386268414650555E-2</v>
      </c>
      <c r="T61" s="141"/>
      <c r="U61" s="140">
        <v>16</v>
      </c>
      <c r="V61" s="67">
        <v>6.3E-2</v>
      </c>
      <c r="W61">
        <f t="shared" si="2"/>
        <v>6.5279477764177887E-3</v>
      </c>
      <c r="X61" s="67">
        <f t="shared" si="3"/>
        <v>4.1126070991432068E-4</v>
      </c>
    </row>
    <row r="62" spans="1:26" x14ac:dyDescent="0.35">
      <c r="A62" t="s">
        <v>314</v>
      </c>
      <c r="B62" s="103">
        <v>44197</v>
      </c>
      <c r="C62" s="95">
        <v>473</v>
      </c>
      <c r="D62" s="67">
        <f t="shared" si="0"/>
        <v>8.7106412319007065E-2</v>
      </c>
      <c r="F62" t="s">
        <v>315</v>
      </c>
      <c r="G62" s="103">
        <v>44197</v>
      </c>
      <c r="H62">
        <v>3277.08</v>
      </c>
      <c r="I62" s="67">
        <f t="shared" si="1"/>
        <v>-3.6302606855537212E-3</v>
      </c>
      <c r="T62" s="141"/>
      <c r="U62" s="140">
        <v>16</v>
      </c>
      <c r="V62" s="67">
        <v>0.109</v>
      </c>
      <c r="W62">
        <f t="shared" si="2"/>
        <v>6.5279477764177887E-3</v>
      </c>
      <c r="X62" s="67">
        <f t="shared" si="3"/>
        <v>7.11546307629539E-4</v>
      </c>
    </row>
    <row r="63" spans="1:26" x14ac:dyDescent="0.35">
      <c r="A63" t="s">
        <v>314</v>
      </c>
      <c r="B63" s="103">
        <v>44228</v>
      </c>
      <c r="C63" s="95">
        <v>523.35</v>
      </c>
      <c r="D63" s="67">
        <f t="shared" si="0"/>
        <v>0.10644820295983082</v>
      </c>
      <c r="F63" t="s">
        <v>315</v>
      </c>
      <c r="G63" s="103">
        <v>44228</v>
      </c>
      <c r="H63">
        <v>3346.64</v>
      </c>
      <c r="I63" s="67">
        <f t="shared" si="1"/>
        <v>2.1226213580382458E-2</v>
      </c>
      <c r="T63" s="141"/>
      <c r="U63" s="140">
        <v>5</v>
      </c>
      <c r="V63" s="67">
        <v>9.3000000000000013E-2</v>
      </c>
      <c r="W63">
        <f t="shared" si="2"/>
        <v>2.0399836801305591E-3</v>
      </c>
      <c r="X63" s="67">
        <f t="shared" si="3"/>
        <v>1.8971848225214202E-4</v>
      </c>
    </row>
    <row r="64" spans="1:26" x14ac:dyDescent="0.35">
      <c r="A64" t="s">
        <v>314</v>
      </c>
      <c r="B64" s="103">
        <v>44256</v>
      </c>
      <c r="C64" s="95">
        <v>572.6</v>
      </c>
      <c r="D64" s="67">
        <f t="shared" si="0"/>
        <v>9.4105283271233464E-2</v>
      </c>
      <c r="F64" t="s">
        <v>315</v>
      </c>
      <c r="G64" s="103">
        <v>44256</v>
      </c>
      <c r="H64">
        <v>3541.72</v>
      </c>
      <c r="I64" s="67">
        <f t="shared" si="1"/>
        <v>5.8291301125905415E-2</v>
      </c>
      <c r="T64" s="141"/>
      <c r="U64" s="140">
        <v>5</v>
      </c>
      <c r="V64" s="67">
        <v>9.5000000000000001E-2</v>
      </c>
      <c r="W64">
        <f t="shared" si="2"/>
        <v>2.0399836801305591E-3</v>
      </c>
      <c r="X64" s="67">
        <f t="shared" si="3"/>
        <v>1.9379844961240313E-4</v>
      </c>
    </row>
    <row r="65" spans="1:24" x14ac:dyDescent="0.35">
      <c r="A65" t="s">
        <v>314</v>
      </c>
      <c r="B65" s="103">
        <v>44287</v>
      </c>
      <c r="C65" s="95">
        <v>525.20000000000005</v>
      </c>
      <c r="D65" s="67">
        <f t="shared" si="0"/>
        <v>-8.2780300384212357E-2</v>
      </c>
      <c r="F65" t="s">
        <v>315</v>
      </c>
      <c r="G65" s="103">
        <v>44287</v>
      </c>
      <c r="H65">
        <v>3544</v>
      </c>
      <c r="I65" s="67">
        <f t="shared" si="1"/>
        <v>6.437550116893398E-4</v>
      </c>
      <c r="T65" s="141"/>
      <c r="U65" s="140">
        <v>10</v>
      </c>
      <c r="V65" s="67">
        <v>9.5000000000000001E-2</v>
      </c>
      <c r="W65">
        <f t="shared" si="2"/>
        <v>4.0799673602611181E-3</v>
      </c>
      <c r="X65" s="67">
        <f t="shared" si="3"/>
        <v>3.8759689922480625E-4</v>
      </c>
    </row>
    <row r="66" spans="1:24" x14ac:dyDescent="0.35">
      <c r="A66" t="s">
        <v>314</v>
      </c>
      <c r="B66" s="103">
        <v>44317</v>
      </c>
      <c r="C66" s="95">
        <v>529.25</v>
      </c>
      <c r="D66" s="67">
        <f t="shared" si="0"/>
        <v>7.7113480578825389E-3</v>
      </c>
      <c r="F66" t="s">
        <v>315</v>
      </c>
      <c r="G66" s="103">
        <v>44317</v>
      </c>
      <c r="H66">
        <v>3634.76</v>
      </c>
      <c r="I66" s="67">
        <f t="shared" si="1"/>
        <v>2.560948081264125E-2</v>
      </c>
      <c r="T66" s="141"/>
      <c r="U66" s="140">
        <v>10</v>
      </c>
      <c r="V66" s="67">
        <v>9.5000000000000001E-2</v>
      </c>
      <c r="W66">
        <f t="shared" si="2"/>
        <v>4.0799673602611181E-3</v>
      </c>
      <c r="X66" s="67">
        <f t="shared" si="3"/>
        <v>3.8759689922480625E-4</v>
      </c>
    </row>
    <row r="67" spans="1:24" x14ac:dyDescent="0.35">
      <c r="T67" s="141"/>
      <c r="U67" s="140">
        <v>5</v>
      </c>
      <c r="V67" s="67">
        <v>9.4E-2</v>
      </c>
      <c r="W67">
        <f t="shared" si="2"/>
        <v>2.0399836801305591E-3</v>
      </c>
      <c r="X67" s="67">
        <f t="shared" si="3"/>
        <v>1.9175846593227254E-4</v>
      </c>
    </row>
    <row r="68" spans="1:24" x14ac:dyDescent="0.35">
      <c r="S68">
        <f>T35+T37+T68</f>
        <v>2451</v>
      </c>
      <c r="T68" s="143">
        <v>150</v>
      </c>
      <c r="U68" s="143">
        <v>150</v>
      </c>
      <c r="V68" s="67">
        <v>4.199E-2</v>
      </c>
      <c r="W68">
        <f t="shared" si="2"/>
        <v>6.1199510403916767E-2</v>
      </c>
      <c r="X68" s="67">
        <f t="shared" si="3"/>
        <v>2.569767441860465E-3</v>
      </c>
    </row>
    <row r="69" spans="1:24" x14ac:dyDescent="0.35">
      <c r="S69">
        <v>744</v>
      </c>
      <c r="T69" s="67"/>
    </row>
    <row r="70" spans="1:24" x14ac:dyDescent="0.35">
      <c r="S70">
        <v>750</v>
      </c>
      <c r="T70" s="67"/>
      <c r="U70">
        <f>SUM(U34:U68)</f>
        <v>2451</v>
      </c>
      <c r="W70" s="67">
        <f>SUMPRODUCT(V34:V68,W34:W68)</f>
        <v>6.3521093431252562E-2</v>
      </c>
      <c r="X70" s="67">
        <f>SUM(X34:X68)</f>
        <v>6.3521093431252562E-2</v>
      </c>
    </row>
    <row r="71" spans="1:24" x14ac:dyDescent="0.35">
      <c r="S71">
        <f>S68+S69+S70</f>
        <v>3945</v>
      </c>
      <c r="T71" s="67"/>
    </row>
    <row r="72" spans="1:24" x14ac:dyDescent="0.35">
      <c r="T72" s="67"/>
    </row>
    <row r="73" spans="1:24" x14ac:dyDescent="0.35">
      <c r="T73" s="67"/>
    </row>
    <row r="74" spans="1:24" x14ac:dyDescent="0.35">
      <c r="T74" s="67"/>
    </row>
    <row r="75" spans="1:24" x14ac:dyDescent="0.35">
      <c r="T75" s="67"/>
    </row>
    <row r="76" spans="1:24" x14ac:dyDescent="0.35">
      <c r="T76" s="67"/>
    </row>
    <row r="77" spans="1:24" x14ac:dyDescent="0.35">
      <c r="T77" s="67"/>
    </row>
    <row r="78" spans="1:24" x14ac:dyDescent="0.35">
      <c r="T78" s="67"/>
    </row>
    <row r="79" spans="1:24" x14ac:dyDescent="0.35">
      <c r="T79" s="67"/>
    </row>
    <row r="80" spans="1:24" x14ac:dyDescent="0.35">
      <c r="T80" s="67"/>
    </row>
    <row r="81" spans="19:21" x14ac:dyDescent="0.35">
      <c r="T81" s="67"/>
    </row>
    <row r="82" spans="19:21" x14ac:dyDescent="0.35">
      <c r="T82" s="67"/>
    </row>
    <row r="83" spans="19:21" x14ac:dyDescent="0.35">
      <c r="T83" s="67"/>
    </row>
    <row r="84" spans="19:21" x14ac:dyDescent="0.35">
      <c r="T84" s="67"/>
    </row>
    <row r="85" spans="19:21" x14ac:dyDescent="0.35">
      <c r="T85" s="67"/>
    </row>
    <row r="86" spans="19:21" x14ac:dyDescent="0.35">
      <c r="T86" s="67"/>
    </row>
    <row r="87" spans="19:21" x14ac:dyDescent="0.35">
      <c r="T87" s="67"/>
    </row>
    <row r="88" spans="19:21" x14ac:dyDescent="0.35">
      <c r="T88" s="67"/>
    </row>
    <row r="89" spans="19:21" x14ac:dyDescent="0.35">
      <c r="T89" s="67"/>
    </row>
    <row r="90" spans="19:21" x14ac:dyDescent="0.35">
      <c r="T90" s="67"/>
    </row>
    <row r="91" spans="19:21" x14ac:dyDescent="0.35">
      <c r="T91" s="67"/>
    </row>
    <row r="92" spans="19:21" x14ac:dyDescent="0.35">
      <c r="T92" s="67"/>
    </row>
    <row r="93" spans="19:21" x14ac:dyDescent="0.35">
      <c r="S93" s="67"/>
    </row>
    <row r="94" spans="19:21" x14ac:dyDescent="0.35">
      <c r="S94" s="67"/>
      <c r="U94" s="67"/>
    </row>
    <row r="95" spans="19:21" x14ac:dyDescent="0.35">
      <c r="S95" s="67"/>
    </row>
    <row r="96" spans="19:21" x14ac:dyDescent="0.35">
      <c r="S96" s="67"/>
    </row>
    <row r="97" spans="19:19" x14ac:dyDescent="0.35">
      <c r="S97" s="67"/>
    </row>
  </sheetData>
  <hyperlinks>
    <hyperlink ref="S25" r:id="rId1" display="https://www.cbr.ru/hd_base/zcyc_params/zcyc/" xr:uid="{AF45CE2B-D250-4642-96E6-961154853274}"/>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D8D84-AF6E-4B99-B370-691AE42DB412}">
  <dimension ref="A1:AZ374"/>
  <sheetViews>
    <sheetView topLeftCell="A236" zoomScale="85" zoomScaleNormal="85" workbookViewId="0">
      <selection activeCell="J279" sqref="J279"/>
    </sheetView>
  </sheetViews>
  <sheetFormatPr defaultRowHeight="14.5" x14ac:dyDescent="0.35"/>
  <cols>
    <col min="1" max="1" width="52.90625" customWidth="1"/>
    <col min="2" max="2" width="12.81640625" customWidth="1"/>
    <col min="3" max="4" width="12.453125" bestFit="1" customWidth="1"/>
    <col min="5" max="5" width="13" customWidth="1"/>
    <col min="6" max="6" width="12.26953125" customWidth="1"/>
    <col min="7" max="7" width="12" customWidth="1"/>
    <col min="8" max="8" width="15.26953125" bestFit="1" customWidth="1"/>
    <col min="9" max="9" width="12.453125" bestFit="1" customWidth="1"/>
    <col min="10" max="10" width="13.1796875" customWidth="1"/>
    <col min="11" max="11" width="21.1796875" bestFit="1" customWidth="1"/>
    <col min="12" max="12" width="30.7265625" customWidth="1"/>
    <col min="13" max="13" width="26.54296875" customWidth="1"/>
    <col min="14" max="14" width="9.54296875" customWidth="1"/>
    <col min="15" max="15" width="56.54296875" customWidth="1"/>
    <col min="22" max="22" width="10.54296875" customWidth="1"/>
    <col min="23" max="23" width="9.81640625" customWidth="1"/>
    <col min="24" max="24" width="17" customWidth="1"/>
    <col min="25" max="25" width="12.1796875" customWidth="1"/>
    <col min="26" max="26" width="14.453125" customWidth="1"/>
    <col min="27" max="27" width="19.81640625" customWidth="1"/>
    <col min="28" max="28" width="23.54296875" customWidth="1"/>
    <col min="29" max="29" width="29.7265625" customWidth="1"/>
    <col min="40" max="42" width="8.7265625" customWidth="1"/>
    <col min="43" max="43" width="68.54296875" customWidth="1"/>
    <col min="44" max="52" width="12.26953125" bestFit="1" customWidth="1"/>
  </cols>
  <sheetData>
    <row r="1" spans="1:5" x14ac:dyDescent="0.35">
      <c r="A1" s="209" t="s">
        <v>50</v>
      </c>
      <c r="B1" s="210" t="s">
        <v>501</v>
      </c>
      <c r="C1" s="210"/>
      <c r="D1" s="210"/>
      <c r="E1" s="210"/>
    </row>
    <row r="2" spans="1:5" x14ac:dyDescent="0.35">
      <c r="A2" s="26" t="s">
        <v>0</v>
      </c>
      <c r="B2" s="26">
        <v>2017</v>
      </c>
      <c r="C2" s="26">
        <v>2018</v>
      </c>
      <c r="D2" s="26">
        <v>2019</v>
      </c>
      <c r="E2" s="26">
        <v>2020</v>
      </c>
    </row>
    <row r="3" spans="1:5" ht="23" x14ac:dyDescent="0.35">
      <c r="A3" s="26" t="s">
        <v>502</v>
      </c>
      <c r="B3" s="22">
        <v>6014000000</v>
      </c>
      <c r="C3" s="22">
        <v>8238000000</v>
      </c>
      <c r="D3" s="22">
        <v>8676000000</v>
      </c>
      <c r="E3" s="22">
        <v>5757000000</v>
      </c>
    </row>
    <row r="4" spans="1:5" x14ac:dyDescent="0.35">
      <c r="A4" s="211" t="s">
        <v>503</v>
      </c>
      <c r="B4" s="211">
        <v>225.5</v>
      </c>
      <c r="C4" s="211">
        <v>230.2</v>
      </c>
      <c r="D4" s="211">
        <v>230.2</v>
      </c>
      <c r="E4" s="211">
        <v>204.5</v>
      </c>
    </row>
    <row r="5" spans="1:5" x14ac:dyDescent="0.35">
      <c r="A5" s="211" t="s">
        <v>504</v>
      </c>
      <c r="B5" s="211">
        <v>112.8</v>
      </c>
      <c r="C5" s="211">
        <v>115</v>
      </c>
      <c r="D5" s="211">
        <v>110.2</v>
      </c>
      <c r="E5" s="211">
        <v>104</v>
      </c>
    </row>
    <row r="6" spans="1:5" x14ac:dyDescent="0.35">
      <c r="A6" s="211" t="s">
        <v>505</v>
      </c>
      <c r="B6" s="211">
        <v>109.1</v>
      </c>
      <c r="C6" s="211">
        <v>111.7</v>
      </c>
      <c r="D6" s="211">
        <v>107.5</v>
      </c>
      <c r="E6" s="211">
        <v>101.4</v>
      </c>
    </row>
    <row r="7" spans="1:5" x14ac:dyDescent="0.35">
      <c r="A7" s="211" t="s">
        <v>506</v>
      </c>
      <c r="B7" s="211">
        <v>121.8</v>
      </c>
      <c r="C7" s="211">
        <v>123.7</v>
      </c>
      <c r="D7" s="211">
        <v>149.4</v>
      </c>
      <c r="E7" s="211">
        <v>115.4</v>
      </c>
    </row>
    <row r="8" spans="1:5" x14ac:dyDescent="0.35">
      <c r="A8" s="211" t="s">
        <v>507</v>
      </c>
      <c r="B8" s="211">
        <v>6.9</v>
      </c>
      <c r="C8" s="211">
        <v>5.4</v>
      </c>
      <c r="D8" s="211">
        <v>5.6</v>
      </c>
      <c r="E8" s="211">
        <v>5.2</v>
      </c>
    </row>
    <row r="9" spans="1:5" x14ac:dyDescent="0.35">
      <c r="A9" s="211" t="s">
        <v>508</v>
      </c>
      <c r="B9" s="211">
        <v>71.900000000000006</v>
      </c>
      <c r="C9" s="211">
        <v>73.7</v>
      </c>
      <c r="D9" s="211">
        <v>71.099999999999994</v>
      </c>
      <c r="E9" s="211">
        <v>64.2</v>
      </c>
    </row>
    <row r="10" spans="1:5" x14ac:dyDescent="0.35">
      <c r="A10" s="211" t="s">
        <v>509</v>
      </c>
      <c r="B10" s="211">
        <v>11.7</v>
      </c>
      <c r="C10" s="211">
        <v>13.7</v>
      </c>
      <c r="D10" s="211">
        <v>42</v>
      </c>
      <c r="E10" s="211">
        <v>37.9</v>
      </c>
    </row>
    <row r="11" spans="1:5" x14ac:dyDescent="0.35">
      <c r="A11" s="211" t="s">
        <v>510</v>
      </c>
      <c r="B11" s="211">
        <v>68.41</v>
      </c>
      <c r="C11" s="211">
        <v>67.3</v>
      </c>
      <c r="D11" s="211">
        <v>67</v>
      </c>
      <c r="E11" s="211">
        <v>62.8</v>
      </c>
    </row>
    <row r="12" spans="1:5" x14ac:dyDescent="0.35">
      <c r="A12" s="211" t="s">
        <v>511</v>
      </c>
      <c r="B12" s="211">
        <v>63.2</v>
      </c>
      <c r="C12" s="211"/>
      <c r="D12" s="211"/>
      <c r="E12" s="211"/>
    </row>
    <row r="13" spans="1:5" x14ac:dyDescent="0.35">
      <c r="A13" s="211" t="s">
        <v>512</v>
      </c>
      <c r="B13" s="211">
        <v>0.7</v>
      </c>
      <c r="C13" s="211"/>
      <c r="D13" s="211"/>
      <c r="E13" s="211"/>
    </row>
    <row r="17" spans="1:12" x14ac:dyDescent="0.35">
      <c r="A17" s="211" t="s">
        <v>513</v>
      </c>
      <c r="B17" s="212">
        <f>B7+B8</f>
        <v>128.69999999999999</v>
      </c>
      <c r="C17" s="212">
        <f>C7+C8</f>
        <v>129.1</v>
      </c>
      <c r="D17" s="212">
        <v>155</v>
      </c>
      <c r="E17" s="212">
        <v>120.6</v>
      </c>
    </row>
    <row r="18" spans="1:12" x14ac:dyDescent="0.35">
      <c r="A18" s="213" t="s">
        <v>514</v>
      </c>
      <c r="B18" s="212">
        <v>121.8</v>
      </c>
      <c r="C18" s="212">
        <v>123.7</v>
      </c>
      <c r="D18" s="212">
        <v>149.4</v>
      </c>
      <c r="E18" s="212">
        <v>115.4</v>
      </c>
      <c r="G18" s="67"/>
      <c r="H18" s="67"/>
      <c r="I18" s="67"/>
      <c r="J18" s="67"/>
    </row>
    <row r="19" spans="1:12" x14ac:dyDescent="0.35">
      <c r="A19" s="213" t="s">
        <v>515</v>
      </c>
      <c r="B19" s="212">
        <v>6.9</v>
      </c>
      <c r="C19" s="212">
        <v>5.4</v>
      </c>
      <c r="D19" s="212">
        <v>5.6</v>
      </c>
      <c r="E19" s="212">
        <v>5.2</v>
      </c>
      <c r="G19" s="67"/>
      <c r="H19" s="67"/>
      <c r="I19" s="67"/>
      <c r="J19" s="67"/>
    </row>
    <row r="20" spans="1:12" x14ac:dyDescent="0.35">
      <c r="A20" s="211"/>
      <c r="B20" s="211"/>
      <c r="C20" s="211"/>
      <c r="D20" s="211"/>
      <c r="E20" s="212"/>
    </row>
    <row r="21" spans="1:12" x14ac:dyDescent="0.35">
      <c r="A21" s="211" t="s">
        <v>516</v>
      </c>
      <c r="B21" s="212">
        <v>63.9</v>
      </c>
      <c r="C21" s="212">
        <v>62</v>
      </c>
      <c r="D21" s="212">
        <v>61.77</v>
      </c>
      <c r="E21" s="212">
        <v>56.43</v>
      </c>
    </row>
    <row r="22" spans="1:12" x14ac:dyDescent="0.35">
      <c r="A22" s="213" t="s">
        <v>514</v>
      </c>
      <c r="B22" s="212">
        <v>0.7</v>
      </c>
      <c r="C22" s="212">
        <v>2.9</v>
      </c>
      <c r="D22" s="212">
        <v>4.8499999999999996</v>
      </c>
      <c r="E22" s="212">
        <v>4.45</v>
      </c>
      <c r="G22" s="214"/>
    </row>
    <row r="23" spans="1:12" x14ac:dyDescent="0.35">
      <c r="A23" s="213" t="s">
        <v>515</v>
      </c>
      <c r="B23" s="212">
        <v>63.2</v>
      </c>
      <c r="C23" s="212">
        <v>59.13</v>
      </c>
      <c r="D23" s="212">
        <v>56.92</v>
      </c>
      <c r="E23" s="212">
        <v>51.98</v>
      </c>
      <c r="G23" s="214"/>
    </row>
    <row r="24" spans="1:12" x14ac:dyDescent="0.35">
      <c r="A24" s="215" t="s">
        <v>517</v>
      </c>
      <c r="B24" s="216">
        <v>210000000</v>
      </c>
      <c r="C24" s="216">
        <v>234000000</v>
      </c>
      <c r="D24" s="216">
        <v>258800000</v>
      </c>
      <c r="E24" s="216">
        <v>239800000</v>
      </c>
      <c r="G24" s="67"/>
    </row>
    <row r="25" spans="1:12" x14ac:dyDescent="0.35">
      <c r="A25" s="211"/>
      <c r="B25" s="217">
        <f t="shared" ref="B25:D25" si="0">B24/B3</f>
        <v>3.4918523445294315E-2</v>
      </c>
      <c r="C25" s="217">
        <f t="shared" si="0"/>
        <v>2.8404952658412235E-2</v>
      </c>
      <c r="D25" s="217">
        <f t="shared" si="0"/>
        <v>2.9829414476717383E-2</v>
      </c>
      <c r="E25" s="217">
        <f>E24/E3</f>
        <v>4.1653639048115337E-2</v>
      </c>
    </row>
    <row r="26" spans="1:12" x14ac:dyDescent="0.35">
      <c r="A26" s="211"/>
      <c r="B26" s="211"/>
      <c r="C26" s="211"/>
      <c r="D26" s="211"/>
      <c r="E26" s="211"/>
    </row>
    <row r="27" spans="1:12" x14ac:dyDescent="0.35">
      <c r="A27" s="211" t="s">
        <v>518</v>
      </c>
      <c r="B27" s="212">
        <f>B28+B29</f>
        <v>83.4</v>
      </c>
      <c r="C27" s="212">
        <f t="shared" ref="C27:E27" si="1">C28+C29</f>
        <v>87.4</v>
      </c>
      <c r="D27" s="212">
        <f t="shared" si="1"/>
        <v>85.6</v>
      </c>
      <c r="E27" s="212">
        <f t="shared" si="1"/>
        <v>77.25</v>
      </c>
      <c r="L27" s="99" t="s">
        <v>519</v>
      </c>
    </row>
    <row r="28" spans="1:12" x14ac:dyDescent="0.35">
      <c r="A28" s="213" t="s">
        <v>514</v>
      </c>
      <c r="B28" s="211">
        <v>71.900000000000006</v>
      </c>
      <c r="C28" s="211">
        <v>73.7</v>
      </c>
      <c r="D28" s="211">
        <v>71.099999999999994</v>
      </c>
      <c r="E28" s="211">
        <v>64.2</v>
      </c>
      <c r="L28" s="99" t="s">
        <v>520</v>
      </c>
    </row>
    <row r="29" spans="1:12" x14ac:dyDescent="0.35">
      <c r="A29" s="213" t="s">
        <v>515</v>
      </c>
      <c r="B29" s="211">
        <v>11.5</v>
      </c>
      <c r="C29" s="211">
        <v>13.7</v>
      </c>
      <c r="D29" s="211">
        <v>14.5</v>
      </c>
      <c r="E29" s="211">
        <f>D29*0.9</f>
        <v>13.05</v>
      </c>
    </row>
    <row r="30" spans="1:12" x14ac:dyDescent="0.35">
      <c r="B30" s="218"/>
      <c r="C30" s="218"/>
      <c r="D30" s="218"/>
      <c r="E30" s="218"/>
    </row>
    <row r="31" spans="1:12" x14ac:dyDescent="0.35">
      <c r="B31" s="218"/>
    </row>
    <row r="33" spans="1:24" x14ac:dyDescent="0.35">
      <c r="C33" s="67">
        <f>C38/B38-1</f>
        <v>1.664532650448125E-2</v>
      </c>
      <c r="D33" s="67">
        <f t="shared" ref="D33:H33" si="2">D38/C38-1</f>
        <v>8.0964375674703604E-3</v>
      </c>
      <c r="E33" s="67">
        <f t="shared" si="2"/>
        <v>-8.602534356594671E-2</v>
      </c>
      <c r="F33" s="67">
        <f t="shared" si="2"/>
        <v>4.8818590119115157E-4</v>
      </c>
      <c r="G33" s="67">
        <f t="shared" si="2"/>
        <v>7.3172635893432147E-2</v>
      </c>
      <c r="H33" s="67">
        <f t="shared" si="2"/>
        <v>1.8478102720791423E-2</v>
      </c>
      <c r="I33" s="67">
        <f>I38/H38-1</f>
        <v>8.9285714285713969E-3</v>
      </c>
      <c r="J33" s="67">
        <f>J38/I38-1</f>
        <v>3.8520640109889648E-2</v>
      </c>
      <c r="K33" s="219">
        <f>_xlfn.FORECAST.ETS(J37,C33:I33,C37:I37)</f>
        <v>3.8520640109889551E-2</v>
      </c>
    </row>
    <row r="34" spans="1:24" x14ac:dyDescent="0.35">
      <c r="A34" t="s">
        <v>521</v>
      </c>
    </row>
    <row r="35" spans="1:24" x14ac:dyDescent="0.35">
      <c r="A35" t="s">
        <v>522</v>
      </c>
      <c r="F35" s="67"/>
      <c r="G35" s="218"/>
      <c r="H35" s="218"/>
      <c r="L35" s="99" t="s">
        <v>523</v>
      </c>
    </row>
    <row r="36" spans="1:24" x14ac:dyDescent="0.35">
      <c r="F36" s="67"/>
      <c r="G36" s="218"/>
      <c r="H36" s="218"/>
      <c r="L36" s="99"/>
    </row>
    <row r="37" spans="1:24" x14ac:dyDescent="0.35">
      <c r="A37" s="5" t="s">
        <v>524</v>
      </c>
      <c r="B37" s="5">
        <v>2017</v>
      </c>
      <c r="C37" s="5">
        <v>2018</v>
      </c>
      <c r="D37" s="5">
        <v>2019</v>
      </c>
      <c r="E37" s="5">
        <v>2020</v>
      </c>
      <c r="F37" s="5">
        <v>2021</v>
      </c>
      <c r="G37" s="5">
        <v>2022</v>
      </c>
      <c r="H37" s="5">
        <v>2023</v>
      </c>
      <c r="I37" s="5">
        <v>2024</v>
      </c>
      <c r="J37" s="5">
        <v>2025</v>
      </c>
      <c r="L37" t="s">
        <v>525</v>
      </c>
    </row>
    <row r="38" spans="1:24" x14ac:dyDescent="0.35">
      <c r="A38" s="220" t="s">
        <v>526</v>
      </c>
      <c r="B38" s="221">
        <v>546.70000000000005</v>
      </c>
      <c r="C38" s="221">
        <v>555.79999999999995</v>
      </c>
      <c r="D38" s="221">
        <v>560.29999999999995</v>
      </c>
      <c r="E38" s="221">
        <v>512.1</v>
      </c>
      <c r="F38" s="222">
        <v>512.35</v>
      </c>
      <c r="G38" s="222">
        <v>549.84</v>
      </c>
      <c r="H38" s="222">
        <v>560</v>
      </c>
      <c r="I38" s="222">
        <v>565</v>
      </c>
      <c r="J38" s="221">
        <f>I38*(1+K33)</f>
        <v>586.76416166208764</v>
      </c>
      <c r="K38" s="223"/>
      <c r="L38" s="67" t="s">
        <v>527</v>
      </c>
      <c r="M38" s="67">
        <f>(I38/F38)^(1/4)-1</f>
        <v>2.475589855264837E-2</v>
      </c>
    </row>
    <row r="39" spans="1:24" x14ac:dyDescent="0.35">
      <c r="A39" s="220" t="s">
        <v>528</v>
      </c>
      <c r="B39" s="221">
        <f>B4</f>
        <v>225.5</v>
      </c>
      <c r="C39" s="221">
        <f>C4</f>
        <v>230.2</v>
      </c>
      <c r="D39" s="221">
        <f>D4</f>
        <v>230.2</v>
      </c>
      <c r="E39" s="221">
        <f>E4</f>
        <v>204.5</v>
      </c>
      <c r="F39" s="224">
        <f>F38*F40</f>
        <v>209.65874448609381</v>
      </c>
      <c r="G39" s="224">
        <f t="shared" ref="G39:J39" si="3">G38*G40</f>
        <v>225.00002745824889</v>
      </c>
      <c r="H39" s="224">
        <f t="shared" si="3"/>
        <v>229.15760107780332</v>
      </c>
      <c r="I39" s="224">
        <f t="shared" si="3"/>
        <v>231.20365108742658</v>
      </c>
      <c r="J39" s="224">
        <f t="shared" si="3"/>
        <v>240.10976372305782</v>
      </c>
      <c r="K39" s="225"/>
      <c r="M39" s="67"/>
    </row>
    <row r="40" spans="1:24" x14ac:dyDescent="0.35">
      <c r="A40" s="220" t="s">
        <v>529</v>
      </c>
      <c r="B40" s="70">
        <f>B39/B38</f>
        <v>0.41247484909456739</v>
      </c>
      <c r="C40" s="70">
        <f t="shared" ref="C40:E40" si="4">C39/C38</f>
        <v>0.41417776178481469</v>
      </c>
      <c r="D40" s="70">
        <f t="shared" si="4"/>
        <v>0.41085132964483312</v>
      </c>
      <c r="E40" s="70">
        <f t="shared" si="4"/>
        <v>0.39933606717437997</v>
      </c>
      <c r="F40" s="70">
        <f>$B$41</f>
        <v>0.40921000192464879</v>
      </c>
      <c r="G40" s="70">
        <f>$B$41</f>
        <v>0.40921000192464879</v>
      </c>
      <c r="H40" s="70">
        <f>$B$41</f>
        <v>0.40921000192464879</v>
      </c>
      <c r="I40" s="70">
        <f>$B$41</f>
        <v>0.40921000192464879</v>
      </c>
      <c r="J40" s="70">
        <f>$B$41</f>
        <v>0.40921000192464879</v>
      </c>
      <c r="K40" s="225"/>
      <c r="L40" s="226"/>
      <c r="M40" s="225"/>
    </row>
    <row r="41" spans="1:24" x14ac:dyDescent="0.35">
      <c r="A41" s="227" t="s">
        <v>530</v>
      </c>
      <c r="B41" s="228">
        <f>AVERAGE(B40:E40)</f>
        <v>0.40921000192464879</v>
      </c>
      <c r="C41" s="228"/>
      <c r="D41" s="228"/>
      <c r="E41" s="228"/>
      <c r="F41" s="229"/>
      <c r="G41" s="5"/>
      <c r="H41" s="5"/>
      <c r="I41" s="5"/>
      <c r="J41" s="229"/>
      <c r="K41" s="225"/>
      <c r="M41" s="225"/>
    </row>
    <row r="43" spans="1:24" x14ac:dyDescent="0.35">
      <c r="A43" s="5" t="s">
        <v>531</v>
      </c>
      <c r="B43" s="5">
        <v>2017</v>
      </c>
      <c r="C43" s="5">
        <v>2018</v>
      </c>
      <c r="D43" s="5">
        <v>2019</v>
      </c>
      <c r="E43" s="5">
        <v>2020</v>
      </c>
      <c r="F43" s="5">
        <v>2021</v>
      </c>
      <c r="G43" s="5">
        <v>2022</v>
      </c>
      <c r="H43" s="5">
        <v>2023</v>
      </c>
      <c r="I43" s="5">
        <v>2024</v>
      </c>
      <c r="J43" s="5">
        <v>2025</v>
      </c>
    </row>
    <row r="44" spans="1:24" x14ac:dyDescent="0.35">
      <c r="A44" s="220" t="s">
        <v>528</v>
      </c>
      <c r="B44" s="221">
        <f>B39</f>
        <v>225.5</v>
      </c>
      <c r="C44" s="221">
        <f t="shared" ref="C44:J44" si="5">C39</f>
        <v>230.2</v>
      </c>
      <c r="D44" s="221">
        <f t="shared" si="5"/>
        <v>230.2</v>
      </c>
      <c r="E44" s="221">
        <f t="shared" si="5"/>
        <v>204.5</v>
      </c>
      <c r="F44" s="221">
        <f t="shared" si="5"/>
        <v>209.65874448609381</v>
      </c>
      <c r="G44" s="221">
        <f t="shared" si="5"/>
        <v>225.00002745824889</v>
      </c>
      <c r="H44" s="221">
        <f t="shared" si="5"/>
        <v>229.15760107780332</v>
      </c>
      <c r="I44" s="221">
        <f t="shared" si="5"/>
        <v>231.20365108742658</v>
      </c>
      <c r="J44" s="221">
        <f t="shared" si="5"/>
        <v>240.10976372305782</v>
      </c>
      <c r="L44" s="226"/>
    </row>
    <row r="45" spans="1:24" x14ac:dyDescent="0.35">
      <c r="A45" s="220" t="s">
        <v>532</v>
      </c>
      <c r="B45" s="221">
        <f>B5</f>
        <v>112.8</v>
      </c>
      <c r="C45" s="221">
        <f>C5</f>
        <v>115</v>
      </c>
      <c r="D45" s="221">
        <f>D5</f>
        <v>110.2</v>
      </c>
      <c r="E45" s="221">
        <v>103.98</v>
      </c>
      <c r="F45" s="224">
        <f>F44*F46</f>
        <v>104.14594469449254</v>
      </c>
      <c r="G45" s="224">
        <f t="shared" ref="G45:J45" si="6">G44*G46</f>
        <v>111.76657798540018</v>
      </c>
      <c r="H45" s="224">
        <f t="shared" si="6"/>
        <v>113.83181229416576</v>
      </c>
      <c r="I45" s="224">
        <f>I44*I46</f>
        <v>114.84816776107796</v>
      </c>
      <c r="J45" s="224">
        <f t="shared" si="6"/>
        <v>119.27219269868266</v>
      </c>
      <c r="O45" s="226"/>
    </row>
    <row r="46" spans="1:24" x14ac:dyDescent="0.35">
      <c r="A46" s="220" t="s">
        <v>533</v>
      </c>
      <c r="B46" s="70">
        <f>B45/B44</f>
        <v>0.50022172949002219</v>
      </c>
      <c r="C46" s="70">
        <f t="shared" ref="C46:E46" si="7">C45/C44</f>
        <v>0.49956559513466553</v>
      </c>
      <c r="D46" s="70">
        <f t="shared" si="7"/>
        <v>0.47871416159860997</v>
      </c>
      <c r="E46" s="70">
        <f t="shared" si="7"/>
        <v>0.50845965770171153</v>
      </c>
      <c r="F46" s="70">
        <f>$B$47</f>
        <v>0.49674028598125231</v>
      </c>
      <c r="G46" s="70">
        <f t="shared" ref="G46:J46" si="8">$B$47</f>
        <v>0.49674028598125231</v>
      </c>
      <c r="H46" s="70">
        <f t="shared" si="8"/>
        <v>0.49674028598125231</v>
      </c>
      <c r="I46" s="70">
        <f t="shared" si="8"/>
        <v>0.49674028598125231</v>
      </c>
      <c r="J46" s="70">
        <f t="shared" si="8"/>
        <v>0.49674028598125231</v>
      </c>
      <c r="O46" s="5" t="s">
        <v>534</v>
      </c>
      <c r="P46" s="5">
        <v>2017</v>
      </c>
      <c r="Q46" s="5">
        <v>2018</v>
      </c>
      <c r="R46" s="5">
        <v>2019</v>
      </c>
      <c r="S46" s="5">
        <v>2020</v>
      </c>
      <c r="T46" s="230">
        <v>2021</v>
      </c>
      <c r="U46" s="230">
        <v>2022</v>
      </c>
      <c r="V46" s="230">
        <v>2023</v>
      </c>
      <c r="W46" s="230">
        <v>2024</v>
      </c>
      <c r="X46" s="230">
        <v>2025</v>
      </c>
    </row>
    <row r="47" spans="1:24" x14ac:dyDescent="0.35">
      <c r="A47" s="227" t="s">
        <v>535</v>
      </c>
      <c r="B47" s="228">
        <f>AVERAGE(B46:E46)</f>
        <v>0.49674028598125231</v>
      </c>
      <c r="C47" s="228"/>
      <c r="D47" s="228"/>
      <c r="E47" s="228"/>
      <c r="F47" s="229"/>
      <c r="G47" s="5"/>
      <c r="H47" s="5"/>
      <c r="I47" s="5"/>
      <c r="J47" s="229"/>
      <c r="O47" s="220" t="s">
        <v>536</v>
      </c>
      <c r="P47" s="221">
        <f t="shared" ref="P47:W47" si="9">B77</f>
        <v>68.099999999999994</v>
      </c>
      <c r="Q47" s="221">
        <f t="shared" si="9"/>
        <v>70.099999999999994</v>
      </c>
      <c r="R47" s="221">
        <f t="shared" si="9"/>
        <v>67.8</v>
      </c>
      <c r="S47" s="221">
        <f t="shared" si="9"/>
        <v>62.2</v>
      </c>
      <c r="T47" s="231">
        <f t="shared" si="9"/>
        <v>63.183764372804568</v>
      </c>
      <c r="U47" s="231">
        <f t="shared" si="9"/>
        <v>67.807086957632222</v>
      </c>
      <c r="V47" s="231">
        <f t="shared" si="9"/>
        <v>69.060033275632989</v>
      </c>
      <c r="W47" s="231">
        <f t="shared" si="9"/>
        <v>69.676640715594004</v>
      </c>
      <c r="X47" s="231">
        <v>70.612584083139851</v>
      </c>
    </row>
    <row r="48" spans="1:24" x14ac:dyDescent="0.35">
      <c r="O48" s="5" t="s">
        <v>537</v>
      </c>
      <c r="P48" s="221">
        <f>B80+B83</f>
        <v>63.7</v>
      </c>
      <c r="Q48" s="221">
        <f t="shared" ref="Q48:W48" si="10">C80+C83</f>
        <v>66</v>
      </c>
      <c r="R48" s="221">
        <f t="shared" si="10"/>
        <v>64.099999999999994</v>
      </c>
      <c r="S48" s="221">
        <f t="shared" si="10"/>
        <v>58.699999999999996</v>
      </c>
      <c r="T48" s="231">
        <f t="shared" si="10"/>
        <v>59.488444400698903</v>
      </c>
      <c r="U48" s="231">
        <f t="shared" si="10"/>
        <v>63.841370682697942</v>
      </c>
      <c r="V48" s="231">
        <f t="shared" si="10"/>
        <v>65.021038088008964</v>
      </c>
      <c r="W48" s="231">
        <f t="shared" si="10"/>
        <v>65.601583070937608</v>
      </c>
      <c r="X48" s="231">
        <v>70.612584083139851</v>
      </c>
    </row>
    <row r="49" spans="1:38" x14ac:dyDescent="0.35">
      <c r="A49" s="5" t="s">
        <v>538</v>
      </c>
      <c r="B49" s="5">
        <v>2017</v>
      </c>
      <c r="C49" s="5">
        <v>2018</v>
      </c>
      <c r="D49" s="5">
        <v>2019</v>
      </c>
      <c r="E49" s="5">
        <v>2020</v>
      </c>
      <c r="F49" s="5">
        <v>2021</v>
      </c>
      <c r="G49" s="5">
        <v>2022</v>
      </c>
      <c r="H49" s="5">
        <v>2023</v>
      </c>
      <c r="I49" s="5">
        <v>2024</v>
      </c>
      <c r="J49" s="5">
        <v>2025</v>
      </c>
      <c r="O49" s="220" t="s">
        <v>539</v>
      </c>
      <c r="P49" s="221">
        <v>0.6</v>
      </c>
      <c r="Q49" s="221">
        <v>0.7</v>
      </c>
      <c r="R49" s="221">
        <v>1.1000000000000001</v>
      </c>
      <c r="S49" s="221">
        <v>0.5</v>
      </c>
      <c r="T49" s="231">
        <f>T48*$P$50</f>
        <v>0.67971179608432897</v>
      </c>
      <c r="U49" s="231">
        <f>U48*$P$50</f>
        <v>0.72944809985167858</v>
      </c>
      <c r="V49" s="231">
        <f>V48*$P$50</f>
        <v>0.74292691677022404</v>
      </c>
      <c r="W49" s="231">
        <f>W48*$P$50</f>
        <v>0.74956019281281527</v>
      </c>
      <c r="X49" s="231">
        <f>X48*$P$50</f>
        <v>0.80681562338420809</v>
      </c>
    </row>
    <row r="50" spans="1:38" x14ac:dyDescent="0.35">
      <c r="A50" s="220" t="s">
        <v>540</v>
      </c>
      <c r="B50" s="221">
        <f>B44</f>
        <v>225.5</v>
      </c>
      <c r="C50" s="221">
        <f t="shared" ref="C50:J50" si="11">C44</f>
        <v>230.2</v>
      </c>
      <c r="D50" s="221">
        <f t="shared" si="11"/>
        <v>230.2</v>
      </c>
      <c r="E50" s="221">
        <f t="shared" si="11"/>
        <v>204.5</v>
      </c>
      <c r="F50" s="221">
        <f t="shared" si="11"/>
        <v>209.65874448609381</v>
      </c>
      <c r="G50" s="221">
        <f t="shared" si="11"/>
        <v>225.00002745824889</v>
      </c>
      <c r="H50" s="221">
        <f t="shared" si="11"/>
        <v>229.15760107780332</v>
      </c>
      <c r="I50" s="221">
        <f t="shared" si="11"/>
        <v>231.20365108742658</v>
      </c>
      <c r="J50" s="221">
        <f t="shared" si="11"/>
        <v>240.10976372305782</v>
      </c>
      <c r="L50" s="226"/>
      <c r="M50" s="67"/>
      <c r="O50" s="227" t="s">
        <v>541</v>
      </c>
      <c r="P50" s="232">
        <f>AVERAGE(P49/P48,Q49/Q48,R49/R48,S49/S48)</f>
        <v>1.1425946718424248E-2</v>
      </c>
      <c r="Q50" s="233"/>
      <c r="R50" s="233"/>
      <c r="S50" s="234"/>
      <c r="T50" s="231"/>
      <c r="U50" s="231"/>
      <c r="V50" s="231"/>
      <c r="W50" s="231"/>
      <c r="X50" s="231"/>
    </row>
    <row r="51" spans="1:38" x14ac:dyDescent="0.35">
      <c r="A51" s="220" t="s">
        <v>542</v>
      </c>
      <c r="B51" s="221">
        <f>B17</f>
        <v>128.69999999999999</v>
      </c>
      <c r="C51" s="221">
        <f t="shared" ref="C51:E51" si="12">C17</f>
        <v>129.1</v>
      </c>
      <c r="D51" s="221">
        <f t="shared" si="12"/>
        <v>155</v>
      </c>
      <c r="E51" s="221">
        <f t="shared" si="12"/>
        <v>120.6</v>
      </c>
      <c r="F51" s="224">
        <f>F50*F52</f>
        <v>125.51257329756544</v>
      </c>
      <c r="G51" s="224">
        <f t="shared" ref="G51:J51" si="13">G50*G52</f>
        <v>134.69665912351593</v>
      </c>
      <c r="H51" s="224">
        <f t="shared" si="13"/>
        <v>137.18559782694769</v>
      </c>
      <c r="I51" s="224">
        <f t="shared" si="13"/>
        <v>138.41046923611688</v>
      </c>
      <c r="J51" s="224">
        <f t="shared" si="13"/>
        <v>143.74212910900226</v>
      </c>
      <c r="O51" s="220" t="s">
        <v>543</v>
      </c>
      <c r="P51" s="221">
        <v>6.1</v>
      </c>
      <c r="Q51" s="221">
        <v>6.2</v>
      </c>
      <c r="R51" s="221">
        <v>5.3</v>
      </c>
      <c r="S51" s="221">
        <v>5.3</v>
      </c>
      <c r="T51" s="231">
        <f>$P$52*T47</f>
        <v>5.7287722578976581</v>
      </c>
      <c r="U51" s="231">
        <f>$P$52*U47</f>
        <v>6.1479616244412005</v>
      </c>
      <c r="V51" s="231">
        <f>$P$52*V47</f>
        <v>6.2615642908611084</v>
      </c>
      <c r="W51" s="231">
        <f>$P$52*W47</f>
        <v>6.3174711148866551</v>
      </c>
      <c r="X51" s="231">
        <f>$P$52*X47</f>
        <v>6.4023316237877008</v>
      </c>
    </row>
    <row r="52" spans="1:38" x14ac:dyDescent="0.35">
      <c r="A52" s="220" t="s">
        <v>544</v>
      </c>
      <c r="B52" s="70">
        <f>B51/B50</f>
        <v>0.57073170731707312</v>
      </c>
      <c r="C52" s="70">
        <f t="shared" ref="C52:E52" si="14">C51/C50</f>
        <v>0.56081668114682881</v>
      </c>
      <c r="D52" s="70">
        <f t="shared" si="14"/>
        <v>0.67332754126846228</v>
      </c>
      <c r="E52" s="70">
        <f t="shared" si="14"/>
        <v>0.58973105134474324</v>
      </c>
      <c r="F52" s="70">
        <f>$B$53</f>
        <v>0.59865174526927689</v>
      </c>
      <c r="G52" s="70">
        <f>$B$53</f>
        <v>0.59865174526927689</v>
      </c>
      <c r="H52" s="70">
        <f>$B$53</f>
        <v>0.59865174526927689</v>
      </c>
      <c r="I52" s="70">
        <f>$B$53</f>
        <v>0.59865174526927689</v>
      </c>
      <c r="J52" s="70">
        <f>$B$53</f>
        <v>0.59865174526927689</v>
      </c>
      <c r="O52" s="227" t="s">
        <v>541</v>
      </c>
      <c r="P52" s="232">
        <f>AVERAGE(P51/P48,Q51/Q48,R51/R48,S51/S48)</f>
        <v>9.0668422731131626E-2</v>
      </c>
      <c r="Q52" s="233"/>
      <c r="R52" s="233"/>
      <c r="S52" s="234"/>
      <c r="T52" s="231"/>
      <c r="U52" s="231"/>
      <c r="V52" s="231"/>
      <c r="W52" s="231"/>
      <c r="X52" s="231"/>
    </row>
    <row r="53" spans="1:38" x14ac:dyDescent="0.35">
      <c r="A53" s="227" t="s">
        <v>545</v>
      </c>
      <c r="B53" s="228">
        <f>AVERAGE(B52:E52)</f>
        <v>0.59865174526927689</v>
      </c>
      <c r="C53" s="228"/>
      <c r="D53" s="228"/>
      <c r="E53" s="228"/>
      <c r="F53" s="229"/>
      <c r="G53" s="5"/>
      <c r="H53" s="5"/>
      <c r="I53" s="5"/>
      <c r="J53" s="229"/>
      <c r="O53" s="220" t="s">
        <v>546</v>
      </c>
      <c r="P53" s="221">
        <v>15.8</v>
      </c>
      <c r="Q53" s="221">
        <v>15.8</v>
      </c>
      <c r="R53" s="221">
        <v>13.6</v>
      </c>
      <c r="S53" s="221">
        <v>13.3</v>
      </c>
      <c r="T53" s="231">
        <f>$P$54*T48</f>
        <v>13.774191060704581</v>
      </c>
      <c r="U53" s="231">
        <f>$P$54*U48</f>
        <v>14.782084927916088</v>
      </c>
      <c r="V53" s="231">
        <f>$P$54*V48</f>
        <v>15.055229811641587</v>
      </c>
      <c r="W53" s="231">
        <f>$P$54*W48</f>
        <v>15.189651506388385</v>
      </c>
      <c r="X53" s="231">
        <f>$P$54*X48</f>
        <v>16.349918614442849</v>
      </c>
      <c r="AC53" t="s">
        <v>524</v>
      </c>
      <c r="AD53">
        <v>2017</v>
      </c>
      <c r="AE53">
        <v>2018</v>
      </c>
      <c r="AF53">
        <v>2019</v>
      </c>
      <c r="AG53">
        <v>2020</v>
      </c>
      <c r="AH53">
        <v>2021</v>
      </c>
      <c r="AI53">
        <v>2022</v>
      </c>
      <c r="AJ53">
        <v>2023</v>
      </c>
      <c r="AK53">
        <v>2024</v>
      </c>
      <c r="AL53">
        <v>2025</v>
      </c>
    </row>
    <row r="54" spans="1:38" x14ac:dyDescent="0.35">
      <c r="A54" s="220" t="s">
        <v>536</v>
      </c>
      <c r="B54" s="221">
        <f>B18</f>
        <v>121.8</v>
      </c>
      <c r="C54" s="221">
        <f>C18</f>
        <v>123.7</v>
      </c>
      <c r="D54" s="221">
        <f>D18</f>
        <v>149.4</v>
      </c>
      <c r="E54" s="221">
        <f>E18</f>
        <v>115.4</v>
      </c>
      <c r="F54" s="224">
        <f>F51*F55</f>
        <v>120.03119225181744</v>
      </c>
      <c r="G54" s="224">
        <f t="shared" ref="G54:J54" si="15">G51*G55</f>
        <v>128.81419097831426</v>
      </c>
      <c r="H54" s="224">
        <f t="shared" si="15"/>
        <v>131.19443283110718</v>
      </c>
      <c r="I54" s="224">
        <f t="shared" si="15"/>
        <v>132.36581169567066</v>
      </c>
      <c r="J54" s="224">
        <f t="shared" si="15"/>
        <v>137.46462749085299</v>
      </c>
      <c r="O54" s="227" t="s">
        <v>541</v>
      </c>
      <c r="P54" s="232">
        <f>AVERAGE(P53/P48,Q53/Q48,R53/R48,S53/S48)</f>
        <v>0.2315439779854582</v>
      </c>
      <c r="Q54" s="233"/>
      <c r="R54" s="233"/>
      <c r="S54" s="234"/>
      <c r="T54" s="231"/>
      <c r="U54" s="231"/>
      <c r="V54" s="231"/>
      <c r="W54" s="231"/>
      <c r="X54" s="231"/>
      <c r="AC54" t="s">
        <v>547</v>
      </c>
      <c r="AD54" s="218">
        <v>546.70000000000005</v>
      </c>
      <c r="AE54" s="218">
        <v>555.79999999999995</v>
      </c>
      <c r="AF54" s="218">
        <v>560.29999999999995</v>
      </c>
      <c r="AG54" s="218">
        <v>512.1</v>
      </c>
      <c r="AH54" s="218">
        <v>512.35</v>
      </c>
      <c r="AI54" s="218">
        <v>549.84</v>
      </c>
      <c r="AJ54" s="218">
        <v>560</v>
      </c>
      <c r="AK54" s="218">
        <v>565</v>
      </c>
      <c r="AL54" s="218">
        <v>586.76416166208764</v>
      </c>
    </row>
    <row r="55" spans="1:38" x14ac:dyDescent="0.35">
      <c r="A55" s="220" t="s">
        <v>548</v>
      </c>
      <c r="B55" s="70">
        <f>B54/B51</f>
        <v>0.94638694638694643</v>
      </c>
      <c r="C55" s="70">
        <f t="shared" ref="C55:E55" si="16">C54/C51</f>
        <v>0.95817195972114644</v>
      </c>
      <c r="D55" s="70">
        <f t="shared" si="16"/>
        <v>0.96387096774193548</v>
      </c>
      <c r="E55" s="70">
        <f t="shared" si="16"/>
        <v>0.95688225538971816</v>
      </c>
      <c r="F55" s="70">
        <f>$B$56</f>
        <v>0.95632803230993657</v>
      </c>
      <c r="G55" s="70">
        <f t="shared" ref="G55:J55" si="17">$B$56</f>
        <v>0.95632803230993657</v>
      </c>
      <c r="H55" s="70">
        <f t="shared" si="17"/>
        <v>0.95632803230993657</v>
      </c>
      <c r="I55" s="70">
        <f t="shared" si="17"/>
        <v>0.95632803230993657</v>
      </c>
      <c r="J55" s="70">
        <f t="shared" si="17"/>
        <v>0.95632803230993657</v>
      </c>
      <c r="O55" s="220" t="s">
        <v>549</v>
      </c>
      <c r="P55" s="221">
        <v>25</v>
      </c>
      <c r="Q55" s="221">
        <v>25.4</v>
      </c>
      <c r="R55" s="221">
        <v>26.2</v>
      </c>
      <c r="S55" s="221">
        <v>25.8</v>
      </c>
      <c r="T55" s="231">
        <f>$P$56*T48</f>
        <v>24.175694981678152</v>
      </c>
      <c r="U55" s="231">
        <f>$P$56*U48</f>
        <v>25.944694308043168</v>
      </c>
      <c r="V55" s="231">
        <f>$P$56*V48</f>
        <v>26.424103034526727</v>
      </c>
      <c r="W55" s="231">
        <f>$P$56*W48</f>
        <v>26.660032525906427</v>
      </c>
      <c r="X55" s="231">
        <f>$P$56*X48</f>
        <v>28.696468900135411</v>
      </c>
      <c r="AC55" t="s">
        <v>528</v>
      </c>
      <c r="AD55" s="218">
        <v>225.5</v>
      </c>
      <c r="AE55" s="218">
        <v>230.2</v>
      </c>
      <c r="AF55" s="218">
        <v>230.2</v>
      </c>
      <c r="AG55" s="218">
        <v>204.5</v>
      </c>
      <c r="AH55" s="218">
        <v>209.65874448609381</v>
      </c>
      <c r="AI55" s="218">
        <v>225.00002745824889</v>
      </c>
      <c r="AJ55" s="218">
        <v>229.15760107780332</v>
      </c>
      <c r="AK55" s="218">
        <v>231.20365108742658</v>
      </c>
      <c r="AL55" s="218">
        <v>240.10976372305782</v>
      </c>
    </row>
    <row r="56" spans="1:38" x14ac:dyDescent="0.35">
      <c r="A56" s="227" t="s">
        <v>550</v>
      </c>
      <c r="B56" s="228">
        <f>AVERAGE(B55:E55)</f>
        <v>0.95632803230993657</v>
      </c>
      <c r="C56" s="228"/>
      <c r="D56" s="228"/>
      <c r="E56" s="228"/>
      <c r="F56" s="211"/>
      <c r="G56" s="211"/>
      <c r="H56" s="211"/>
      <c r="I56" s="211"/>
      <c r="J56" s="211"/>
      <c r="O56" s="227" t="s">
        <v>541</v>
      </c>
      <c r="P56" s="232">
        <f>AVERAGE(P55/P48,Q55/Q48,R55/R48,S55/S48)</f>
        <v>0.40639312769446234</v>
      </c>
      <c r="Q56" s="233"/>
      <c r="R56" s="233"/>
      <c r="S56" s="234"/>
      <c r="T56" s="231"/>
      <c r="U56" s="231"/>
      <c r="V56" s="231"/>
      <c r="W56" s="231"/>
      <c r="X56" s="231"/>
      <c r="AC56" t="s">
        <v>529</v>
      </c>
    </row>
    <row r="57" spans="1:38" x14ac:dyDescent="0.35">
      <c r="A57" s="220" t="s">
        <v>551</v>
      </c>
      <c r="B57" s="235">
        <v>65.7</v>
      </c>
      <c r="C57" s="235">
        <v>55.8</v>
      </c>
      <c r="D57" s="235">
        <v>61</v>
      </c>
      <c r="E57" s="235">
        <v>47.2</v>
      </c>
      <c r="F57" s="224">
        <f>F58*F54</f>
        <v>54.248463879935024</v>
      </c>
      <c r="G57" s="224">
        <f t="shared" ref="G57:J57" si="18">G58*G54</f>
        <v>58.217966975199523</v>
      </c>
      <c r="H57" s="224">
        <f t="shared" si="18"/>
        <v>59.293724549162896</v>
      </c>
      <c r="I57" s="224">
        <f t="shared" si="18"/>
        <v>59.823132804066148</v>
      </c>
      <c r="J57" s="224">
        <f t="shared" si="18"/>
        <v>62.127558173057707</v>
      </c>
      <c r="O57" s="220" t="s">
        <v>552</v>
      </c>
      <c r="P57" s="221">
        <v>1</v>
      </c>
      <c r="Q57" s="221">
        <v>0.8</v>
      </c>
      <c r="R57" s="221">
        <v>0.7</v>
      </c>
      <c r="S57" s="221">
        <v>1.1000000000000001</v>
      </c>
      <c r="T57" s="231">
        <f>$P$58*T48</f>
        <v>3.6963519307039268</v>
      </c>
      <c r="U57" s="231">
        <f>$P$58*U48</f>
        <v>3.9668237446633112</v>
      </c>
      <c r="V57" s="231">
        <f>$P$58*V48</f>
        <v>4.0401231212924751</v>
      </c>
      <c r="W57" s="231">
        <f>$P$58*W48</f>
        <v>4.0761956491611571</v>
      </c>
      <c r="X57" s="231">
        <f>$P$58*X48</f>
        <v>4.3875573506279295</v>
      </c>
      <c r="AC57" t="s">
        <v>530</v>
      </c>
      <c r="AD57">
        <v>0.40921000192464879</v>
      </c>
    </row>
    <row r="58" spans="1:38" x14ac:dyDescent="0.35">
      <c r="A58" s="220" t="s">
        <v>553</v>
      </c>
      <c r="B58" s="236">
        <f t="shared" ref="B58:D58" si="19">B57/B54</f>
        <v>0.53940886699507395</v>
      </c>
      <c r="C58" s="236">
        <f t="shared" si="19"/>
        <v>0.45109135004042034</v>
      </c>
      <c r="D58" s="236">
        <f t="shared" si="19"/>
        <v>0.4082998661311914</v>
      </c>
      <c r="E58" s="236">
        <f>E57/E54</f>
        <v>0.40901213171577122</v>
      </c>
      <c r="F58" s="70">
        <f>$B$59</f>
        <v>0.45195305372061423</v>
      </c>
      <c r="G58" s="70">
        <f t="shared" ref="G58:J58" si="20">$B$59</f>
        <v>0.45195305372061423</v>
      </c>
      <c r="H58" s="70">
        <f t="shared" si="20"/>
        <v>0.45195305372061423</v>
      </c>
      <c r="I58" s="70">
        <f t="shared" si="20"/>
        <v>0.45195305372061423</v>
      </c>
      <c r="J58" s="70">
        <f t="shared" si="20"/>
        <v>0.45195305372061423</v>
      </c>
      <c r="O58" s="227" t="s">
        <v>541</v>
      </c>
      <c r="P58" s="232">
        <f>AVERAGE(P59/P48,Q59/Q48,R59/R48,S59/S48)</f>
        <v>6.2135629330063641E-2</v>
      </c>
      <c r="Q58" s="233"/>
      <c r="R58" s="233"/>
      <c r="S58" s="234"/>
      <c r="T58" s="231"/>
      <c r="U58" s="231"/>
      <c r="V58" s="231"/>
      <c r="W58" s="231"/>
      <c r="X58" s="231"/>
      <c r="AC58" t="s">
        <v>554</v>
      </c>
      <c r="AD58">
        <v>2017</v>
      </c>
      <c r="AE58">
        <v>2018</v>
      </c>
      <c r="AF58">
        <v>2019</v>
      </c>
      <c r="AG58">
        <v>2020</v>
      </c>
      <c r="AH58">
        <v>2021</v>
      </c>
      <c r="AI58">
        <v>2022</v>
      </c>
      <c r="AJ58">
        <v>2023</v>
      </c>
      <c r="AK58">
        <v>2024</v>
      </c>
      <c r="AL58">
        <v>2025</v>
      </c>
    </row>
    <row r="59" spans="1:38" x14ac:dyDescent="0.35">
      <c r="A59" s="227" t="s">
        <v>555</v>
      </c>
      <c r="B59" s="228">
        <f>AVERAGE(B58:E58)</f>
        <v>0.45195305372061423</v>
      </c>
      <c r="C59" s="228"/>
      <c r="D59" s="228"/>
      <c r="E59" s="228"/>
      <c r="F59" s="211"/>
      <c r="G59" s="211"/>
      <c r="H59" s="211"/>
      <c r="I59" s="211"/>
      <c r="J59" s="211"/>
      <c r="O59" s="5" t="s">
        <v>556</v>
      </c>
      <c r="P59" s="221">
        <f>B86</f>
        <v>4.4000000000000004</v>
      </c>
      <c r="Q59" s="221">
        <f t="shared" ref="Q59:X59" si="21">C86</f>
        <v>4.0999999999999996</v>
      </c>
      <c r="R59" s="221">
        <f t="shared" si="21"/>
        <v>3.7</v>
      </c>
      <c r="S59" s="221">
        <f t="shared" si="21"/>
        <v>3.5</v>
      </c>
      <c r="T59" s="231">
        <f t="shared" si="21"/>
        <v>3.6953199721056635</v>
      </c>
      <c r="U59" s="231">
        <f t="shared" si="21"/>
        <v>3.9657162749342798</v>
      </c>
      <c r="V59" s="231">
        <f t="shared" si="21"/>
        <v>4.03899518762403</v>
      </c>
      <c r="W59" s="231">
        <f t="shared" si="21"/>
        <v>4.075057644656388</v>
      </c>
      <c r="X59" s="231">
        <f t="shared" si="21"/>
        <v>4.23203147361325</v>
      </c>
      <c r="AC59" t="s">
        <v>557</v>
      </c>
      <c r="AD59" s="218">
        <v>689.63666999999998</v>
      </c>
      <c r="AE59" s="218">
        <v>725.17</v>
      </c>
      <c r="AF59" s="218">
        <v>737.59</v>
      </c>
      <c r="AG59" s="218">
        <v>694.3</v>
      </c>
      <c r="AH59" s="218">
        <v>698.3</v>
      </c>
      <c r="AI59" s="218">
        <v>770.1</v>
      </c>
      <c r="AJ59" s="218">
        <v>801.7</v>
      </c>
      <c r="AK59" s="218">
        <v>826.2</v>
      </c>
      <c r="AL59" s="218">
        <v>870.53896854294192</v>
      </c>
    </row>
    <row r="60" spans="1:38" x14ac:dyDescent="0.35">
      <c r="A60" s="220" t="s">
        <v>558</v>
      </c>
      <c r="B60" s="235">
        <v>47.7</v>
      </c>
      <c r="C60" s="235">
        <v>59.2</v>
      </c>
      <c r="D60" s="235">
        <v>79.7</v>
      </c>
      <c r="E60" s="235">
        <v>61.9</v>
      </c>
      <c r="F60" s="224">
        <f>F61*F54</f>
        <v>58.217083794198814</v>
      </c>
      <c r="G60" s="224">
        <f t="shared" ref="G60:J60" si="22">G61*G54</f>
        <v>62.476981269449162</v>
      </c>
      <c r="H60" s="224">
        <f t="shared" si="22"/>
        <v>63.631437347030996</v>
      </c>
      <c r="I60" s="224">
        <f t="shared" si="22"/>
        <v>64.199575180486647</v>
      </c>
      <c r="J60" s="224">
        <f t="shared" si="22"/>
        <v>66.672583911221963</v>
      </c>
      <c r="L60" s="218"/>
      <c r="O60" s="220" t="s">
        <v>539</v>
      </c>
      <c r="P60" s="102">
        <f t="shared" ref="P60:X60" si="23">$P$50*P59</f>
        <v>5.0274165561066696E-2</v>
      </c>
      <c r="Q60" s="102">
        <f t="shared" si="23"/>
        <v>4.6846381545539412E-2</v>
      </c>
      <c r="R60" s="102">
        <f t="shared" si="23"/>
        <v>4.2276002858169723E-2</v>
      </c>
      <c r="S60" s="102">
        <f t="shared" si="23"/>
        <v>3.9990813514484871E-2</v>
      </c>
      <c r="T60" s="237">
        <f t="shared" si="23"/>
        <v>4.222252910880829E-2</v>
      </c>
      <c r="U60" s="237">
        <f t="shared" si="23"/>
        <v>4.5312062857786967E-2</v>
      </c>
      <c r="V60" s="237">
        <f t="shared" si="23"/>
        <v>4.6149343809764119E-2</v>
      </c>
      <c r="W60" s="237">
        <f t="shared" si="23"/>
        <v>4.6561391522351302E-2</v>
      </c>
      <c r="X60" s="237">
        <f t="shared" si="23"/>
        <v>4.835496612819945E-2</v>
      </c>
      <c r="AC60" t="s">
        <v>559</v>
      </c>
      <c r="AD60" s="218">
        <v>68.41</v>
      </c>
      <c r="AE60" s="218">
        <v>67.3</v>
      </c>
      <c r="AF60" s="218">
        <v>67</v>
      </c>
      <c r="AG60" s="218">
        <v>62.8</v>
      </c>
      <c r="AH60" s="218">
        <v>65.167131852290424</v>
      </c>
      <c r="AI60" s="218">
        <v>71.867690447442158</v>
      </c>
      <c r="AJ60" s="218">
        <v>74.816682809653798</v>
      </c>
      <c r="AK60" s="218">
        <v>77.103085115798876</v>
      </c>
      <c r="AL60" s="218">
        <v>81.240910419010177</v>
      </c>
    </row>
    <row r="61" spans="1:38" x14ac:dyDescent="0.35">
      <c r="A61" s="220" t="s">
        <v>560</v>
      </c>
      <c r="B61" s="236">
        <f t="shared" ref="B61:D61" si="24">B60/B54</f>
        <v>0.39162561576354682</v>
      </c>
      <c r="C61" s="236">
        <f t="shared" si="24"/>
        <v>0.47857720291026679</v>
      </c>
      <c r="D61" s="236">
        <f t="shared" si="24"/>
        <v>0.53346720214190091</v>
      </c>
      <c r="E61" s="236">
        <f>E60/E54</f>
        <v>0.53639514731369142</v>
      </c>
      <c r="F61" s="70">
        <f>$B$62</f>
        <v>0.48501629203235147</v>
      </c>
      <c r="G61" s="70">
        <f t="shared" ref="G61:J61" si="25">$B$62</f>
        <v>0.48501629203235147</v>
      </c>
      <c r="H61" s="70">
        <f t="shared" si="25"/>
        <v>0.48501629203235147</v>
      </c>
      <c r="I61" s="70">
        <f t="shared" si="25"/>
        <v>0.48501629203235147</v>
      </c>
      <c r="J61" s="70">
        <f t="shared" si="25"/>
        <v>0.48501629203235147</v>
      </c>
      <c r="O61" s="220" t="s">
        <v>543</v>
      </c>
      <c r="P61" s="221">
        <f t="shared" ref="P61:X61" si="26">$P$52*P59</f>
        <v>0.39894106001697921</v>
      </c>
      <c r="Q61" s="221">
        <f t="shared" si="26"/>
        <v>0.37174053319763961</v>
      </c>
      <c r="R61" s="221">
        <f t="shared" si="26"/>
        <v>0.33547316410518702</v>
      </c>
      <c r="S61" s="221">
        <f t="shared" si="26"/>
        <v>0.31733947955896069</v>
      </c>
      <c r="T61" s="231">
        <f t="shared" si="26"/>
        <v>0.33504883335766983</v>
      </c>
      <c r="U61" s="231">
        <f t="shared" si="26"/>
        <v>0.35956523964746989</v>
      </c>
      <c r="V61" s="231">
        <f t="shared" si="26"/>
        <v>0.36620932308050186</v>
      </c>
      <c r="W61" s="231">
        <f t="shared" si="26"/>
        <v>0.36947904917943497</v>
      </c>
      <c r="X61" s="231">
        <f t="shared" si="26"/>
        <v>0.38371161866102005</v>
      </c>
      <c r="Z61" s="226"/>
      <c r="AC61" t="s">
        <v>561</v>
      </c>
    </row>
    <row r="62" spans="1:38" x14ac:dyDescent="0.35">
      <c r="A62" s="227" t="s">
        <v>562</v>
      </c>
      <c r="B62" s="228">
        <f>AVERAGE(B61:E61)</f>
        <v>0.48501629203235147</v>
      </c>
      <c r="C62" s="228"/>
      <c r="D62" s="228"/>
      <c r="E62" s="228"/>
      <c r="F62" s="211"/>
      <c r="G62" s="211"/>
      <c r="H62" s="211"/>
      <c r="I62" s="211"/>
      <c r="J62" s="211"/>
      <c r="O62" s="220" t="s">
        <v>546</v>
      </c>
      <c r="P62" s="221">
        <f t="shared" ref="P62:X62" si="27">$P$54*P59</f>
        <v>1.0187935031360162</v>
      </c>
      <c r="Q62" s="221">
        <f t="shared" si="27"/>
        <v>0.94933030974037858</v>
      </c>
      <c r="R62" s="221">
        <f t="shared" si="27"/>
        <v>0.85671271854619535</v>
      </c>
      <c r="S62" s="221">
        <f t="shared" si="27"/>
        <v>0.81040392294910368</v>
      </c>
      <c r="T62" s="231">
        <f t="shared" si="27"/>
        <v>0.85562908627045775</v>
      </c>
      <c r="U62" s="231">
        <f t="shared" si="27"/>
        <v>0.91823772185995622</v>
      </c>
      <c r="V62" s="231">
        <f t="shared" si="27"/>
        <v>0.93520501280658996</v>
      </c>
      <c r="W62" s="231">
        <f t="shared" si="27"/>
        <v>0.94355505756379188</v>
      </c>
      <c r="X62" s="231">
        <f t="shared" si="27"/>
        <v>0.97990140236007262</v>
      </c>
      <c r="AC62" t="s">
        <v>530</v>
      </c>
      <c r="AD62">
        <v>9.3322543107962813E-2</v>
      </c>
    </row>
    <row r="63" spans="1:38" x14ac:dyDescent="0.35">
      <c r="A63" s="220" t="s">
        <v>563</v>
      </c>
      <c r="B63" s="235">
        <v>8.4</v>
      </c>
      <c r="C63" s="235">
        <f>8.7</f>
        <v>8.6999999999999993</v>
      </c>
      <c r="D63" s="235">
        <v>8.6999999999999993</v>
      </c>
      <c r="E63" s="235">
        <f>6.3</f>
        <v>6.3</v>
      </c>
      <c r="F63" s="224">
        <f>F64*F54</f>
        <v>7.565644577683603</v>
      </c>
      <c r="G63" s="224">
        <f t="shared" ref="G63:J63" si="28">G64*G54</f>
        <v>8.1192427336655655</v>
      </c>
      <c r="H63" s="224">
        <f t="shared" si="28"/>
        <v>8.2692709349132762</v>
      </c>
      <c r="I63" s="224">
        <f t="shared" si="28"/>
        <v>8.3431037111178608</v>
      </c>
      <c r="J63" s="224">
        <f t="shared" si="28"/>
        <v>8.6644854065733163</v>
      </c>
      <c r="O63" s="220" t="s">
        <v>549</v>
      </c>
      <c r="P63" s="221">
        <f t="shared" ref="P63:X63" si="29">$P$56*P59</f>
        <v>1.7881297618556344</v>
      </c>
      <c r="Q63" s="221">
        <f t="shared" si="29"/>
        <v>1.6662118235472954</v>
      </c>
      <c r="R63" s="221">
        <f t="shared" si="29"/>
        <v>1.5036545724695107</v>
      </c>
      <c r="S63" s="221">
        <f t="shared" si="29"/>
        <v>1.4223759469306181</v>
      </c>
      <c r="T63" s="231">
        <f t="shared" si="29"/>
        <v>1.501752641295834</v>
      </c>
      <c r="U63" s="231">
        <f t="shared" si="29"/>
        <v>1.6116398405193744</v>
      </c>
      <c r="V63" s="231">
        <f t="shared" si="29"/>
        <v>1.6414198870414114</v>
      </c>
      <c r="W63" s="231">
        <f t="shared" si="29"/>
        <v>1.6560754217471385</v>
      </c>
      <c r="X63" s="231">
        <f t="shared" si="29"/>
        <v>1.7198685070630932</v>
      </c>
    </row>
    <row r="64" spans="1:38" x14ac:dyDescent="0.35">
      <c r="A64" s="220" t="s">
        <v>564</v>
      </c>
      <c r="B64" s="236">
        <f t="shared" ref="B64:D64" si="30">B63/B54</f>
        <v>6.8965517241379309E-2</v>
      </c>
      <c r="C64" s="236">
        <f t="shared" si="30"/>
        <v>7.0331447049312851E-2</v>
      </c>
      <c r="D64" s="236">
        <f t="shared" si="30"/>
        <v>5.8232931726907626E-2</v>
      </c>
      <c r="E64" s="236">
        <f>E63/E54</f>
        <v>5.4592720970537259E-2</v>
      </c>
      <c r="F64" s="70">
        <f>$B$65</f>
        <v>6.303065424703426E-2</v>
      </c>
      <c r="G64" s="70">
        <f t="shared" ref="G64:J64" si="31">$B$65</f>
        <v>6.303065424703426E-2</v>
      </c>
      <c r="H64" s="70">
        <f t="shared" si="31"/>
        <v>6.303065424703426E-2</v>
      </c>
      <c r="I64" s="70">
        <f t="shared" si="31"/>
        <v>6.303065424703426E-2</v>
      </c>
      <c r="J64" s="70">
        <f t="shared" si="31"/>
        <v>6.303065424703426E-2</v>
      </c>
      <c r="O64" s="220" t="s">
        <v>552</v>
      </c>
      <c r="P64" s="221">
        <f t="shared" ref="P64:X64" si="32">$P$58*P59</f>
        <v>0.27339676905228005</v>
      </c>
      <c r="Q64" s="221">
        <f t="shared" si="32"/>
        <v>0.25475608025326091</v>
      </c>
      <c r="R64" s="221">
        <f t="shared" si="32"/>
        <v>0.22990182852123547</v>
      </c>
      <c r="S64" s="221">
        <f t="shared" si="32"/>
        <v>0.21747470265522273</v>
      </c>
      <c r="T64" s="231">
        <f t="shared" si="32"/>
        <v>0.22961103204273861</v>
      </c>
      <c r="U64" s="231">
        <f t="shared" si="32"/>
        <v>0.24641227648751715</v>
      </c>
      <c r="V64" s="231">
        <f t="shared" si="32"/>
        <v>0.25096550784411759</v>
      </c>
      <c r="W64" s="231">
        <f t="shared" si="32"/>
        <v>0.25320627130701151</v>
      </c>
      <c r="X64" s="231">
        <f t="shared" si="32"/>
        <v>0.2629599389575959</v>
      </c>
    </row>
    <row r="65" spans="1:24" x14ac:dyDescent="0.35">
      <c r="A65" s="227" t="s">
        <v>565</v>
      </c>
      <c r="B65" s="228">
        <f>AVERAGE(B64:E64)</f>
        <v>6.303065424703426E-2</v>
      </c>
      <c r="C65" s="228"/>
      <c r="D65" s="228"/>
      <c r="E65" s="228"/>
      <c r="F65" s="211"/>
      <c r="G65" s="211"/>
      <c r="H65" s="211"/>
      <c r="I65" s="211"/>
      <c r="J65" s="211"/>
      <c r="O65" s="5" t="s">
        <v>566</v>
      </c>
      <c r="P65" s="221"/>
      <c r="Q65" s="221"/>
      <c r="R65" s="221"/>
      <c r="S65" s="221"/>
      <c r="T65" s="238"/>
      <c r="U65" s="238"/>
      <c r="V65" s="238"/>
      <c r="W65" s="238"/>
      <c r="X65" s="238"/>
    </row>
    <row r="66" spans="1:24" x14ac:dyDescent="0.35">
      <c r="A66" s="220" t="s">
        <v>567</v>
      </c>
      <c r="B66" s="221">
        <f>B19</f>
        <v>6.9</v>
      </c>
      <c r="C66" s="221">
        <f>C19</f>
        <v>5.4</v>
      </c>
      <c r="D66" s="221">
        <f>D19</f>
        <v>5.6</v>
      </c>
      <c r="E66" s="221">
        <f>E19</f>
        <v>5.2</v>
      </c>
      <c r="F66" s="224">
        <f>F51*F67</f>
        <v>5.4813810457479937</v>
      </c>
      <c r="G66" s="224">
        <f>G51*G67</f>
        <v>5.8824681452016732</v>
      </c>
      <c r="H66" s="224">
        <f>H51*H67</f>
        <v>5.9911649958404931</v>
      </c>
      <c r="I66" s="224">
        <f>I51*I67</f>
        <v>6.0446575404462131</v>
      </c>
      <c r="J66" s="224">
        <f>J51*J67</f>
        <v>6.2775016181492704</v>
      </c>
      <c r="O66" s="220" t="s">
        <v>539</v>
      </c>
      <c r="P66" s="221">
        <f>P49+P60</f>
        <v>0.65027416556106665</v>
      </c>
      <c r="Q66" s="221">
        <f t="shared" ref="Q66:X66" si="33">Q49+Q60</f>
        <v>0.7468463815455394</v>
      </c>
      <c r="R66" s="221">
        <f t="shared" si="33"/>
        <v>1.1422760028581698</v>
      </c>
      <c r="S66" s="221">
        <f t="shared" si="33"/>
        <v>0.53999081351448486</v>
      </c>
      <c r="T66" s="238">
        <f>T49+T60</f>
        <v>0.72193432519313727</v>
      </c>
      <c r="U66" s="238">
        <f t="shared" si="33"/>
        <v>0.77476016270946557</v>
      </c>
      <c r="V66" s="238">
        <f t="shared" si="33"/>
        <v>0.78907626057998814</v>
      </c>
      <c r="W66" s="238">
        <f t="shared" si="33"/>
        <v>0.79612158433516655</v>
      </c>
      <c r="X66" s="238">
        <f t="shared" si="33"/>
        <v>0.85517058951240754</v>
      </c>
    </row>
    <row r="67" spans="1:24" x14ac:dyDescent="0.35">
      <c r="A67" s="220" t="s">
        <v>568</v>
      </c>
      <c r="B67" s="70">
        <f>B66/B51</f>
        <v>5.3613053613053623E-2</v>
      </c>
      <c r="C67" s="70">
        <f>C66/C51</f>
        <v>4.1828040278853604E-2</v>
      </c>
      <c r="D67" s="70">
        <f>D66/D51</f>
        <v>3.6129032258064513E-2</v>
      </c>
      <c r="E67" s="70">
        <f>E66/E51</f>
        <v>4.3117744610281929E-2</v>
      </c>
      <c r="F67" s="70">
        <f>$B$68</f>
        <v>4.3671967690063415E-2</v>
      </c>
      <c r="G67" s="70">
        <f t="shared" ref="G67:J67" si="34">$B$68</f>
        <v>4.3671967690063415E-2</v>
      </c>
      <c r="H67" s="70">
        <f t="shared" si="34"/>
        <v>4.3671967690063415E-2</v>
      </c>
      <c r="I67" s="70">
        <f t="shared" si="34"/>
        <v>4.3671967690063415E-2</v>
      </c>
      <c r="J67" s="70">
        <f t="shared" si="34"/>
        <v>4.3671967690063415E-2</v>
      </c>
      <c r="O67" s="220" t="s">
        <v>543</v>
      </c>
      <c r="P67" s="221">
        <f>P51+P61</f>
        <v>6.4989410600169792</v>
      </c>
      <c r="Q67" s="221">
        <f t="shared" ref="Q67:X67" si="35">Q51+Q61</f>
        <v>6.57174053319764</v>
      </c>
      <c r="R67" s="221">
        <f t="shared" si="35"/>
        <v>5.6354731641051865</v>
      </c>
      <c r="S67" s="221">
        <f t="shared" si="35"/>
        <v>5.6173394795589608</v>
      </c>
      <c r="T67" s="238">
        <f t="shared" si="35"/>
        <v>6.0638210912553276</v>
      </c>
      <c r="U67" s="238">
        <f t="shared" si="35"/>
        <v>6.5075268640886703</v>
      </c>
      <c r="V67" s="238">
        <f t="shared" si="35"/>
        <v>6.6277736139416099</v>
      </c>
      <c r="W67" s="238">
        <f t="shared" si="35"/>
        <v>6.68695016406609</v>
      </c>
      <c r="X67" s="238">
        <f t="shared" si="35"/>
        <v>6.7860432424487209</v>
      </c>
    </row>
    <row r="68" spans="1:24" x14ac:dyDescent="0.35">
      <c r="A68" s="227" t="s">
        <v>569</v>
      </c>
      <c r="B68" s="228">
        <f>AVERAGE(B67:E67)</f>
        <v>4.3671967690063415E-2</v>
      </c>
      <c r="C68" s="228"/>
      <c r="D68" s="228"/>
      <c r="E68" s="228"/>
      <c r="F68" s="211"/>
      <c r="G68" s="211"/>
      <c r="H68" s="211"/>
      <c r="I68" s="211"/>
      <c r="J68" s="211"/>
      <c r="O68" s="220" t="s">
        <v>546</v>
      </c>
      <c r="P68" s="221">
        <f>P53+P62</f>
        <v>16.818793503136018</v>
      </c>
      <c r="Q68" s="221">
        <f t="shared" ref="Q68:X68" si="36">Q53+Q62</f>
        <v>16.74933030974038</v>
      </c>
      <c r="R68" s="221">
        <f t="shared" si="36"/>
        <v>14.456712718546195</v>
      </c>
      <c r="S68" s="221">
        <f t="shared" si="36"/>
        <v>14.110403922949104</v>
      </c>
      <c r="T68" s="238">
        <f t="shared" si="36"/>
        <v>14.629820146975039</v>
      </c>
      <c r="U68" s="238">
        <f t="shared" si="36"/>
        <v>15.700322649776044</v>
      </c>
      <c r="V68" s="238">
        <f t="shared" si="36"/>
        <v>15.990434824448176</v>
      </c>
      <c r="W68" s="238">
        <f t="shared" si="36"/>
        <v>16.133206563952179</v>
      </c>
      <c r="X68" s="238">
        <f t="shared" si="36"/>
        <v>17.329820016802923</v>
      </c>
    </row>
    <row r="69" spans="1:24" x14ac:dyDescent="0.35">
      <c r="O69" s="220" t="s">
        <v>549</v>
      </c>
      <c r="P69" s="221">
        <f>P55+P63</f>
        <v>26.788129761855636</v>
      </c>
      <c r="Q69" s="221">
        <f t="shared" ref="Q69:X69" si="37">Q55+Q63</f>
        <v>27.066211823547295</v>
      </c>
      <c r="R69" s="221">
        <f t="shared" si="37"/>
        <v>27.70365457246951</v>
      </c>
      <c r="S69" s="221">
        <f t="shared" si="37"/>
        <v>27.222375946930619</v>
      </c>
      <c r="T69" s="238">
        <f t="shared" si="37"/>
        <v>25.677447622973986</v>
      </c>
      <c r="U69" s="238">
        <f t="shared" si="37"/>
        <v>27.556334148562541</v>
      </c>
      <c r="V69" s="238">
        <f t="shared" si="37"/>
        <v>28.065522921568139</v>
      </c>
      <c r="W69" s="238">
        <f t="shared" si="37"/>
        <v>28.316107947653567</v>
      </c>
      <c r="X69" s="238">
        <f t="shared" si="37"/>
        <v>30.416337407198505</v>
      </c>
    </row>
    <row r="70" spans="1:24" x14ac:dyDescent="0.35">
      <c r="O70" s="220" t="s">
        <v>552</v>
      </c>
      <c r="P70" s="221">
        <f>P57+P64</f>
        <v>1.2733967690522801</v>
      </c>
      <c r="Q70" s="221">
        <f t="shared" ref="Q70:X70" si="38">Q57+Q64</f>
        <v>1.054756080253261</v>
      </c>
      <c r="R70" s="221">
        <f t="shared" si="38"/>
        <v>0.92990182852123549</v>
      </c>
      <c r="S70" s="221">
        <f t="shared" si="38"/>
        <v>1.3174747026552227</v>
      </c>
      <c r="T70" s="238">
        <f>T57+T64</f>
        <v>3.9259629627466652</v>
      </c>
      <c r="U70" s="238">
        <f t="shared" si="38"/>
        <v>4.213236021150828</v>
      </c>
      <c r="V70" s="238">
        <f t="shared" si="38"/>
        <v>4.2910886291365928</v>
      </c>
      <c r="W70" s="238">
        <f t="shared" si="38"/>
        <v>4.3294019204681682</v>
      </c>
      <c r="X70" s="238">
        <f t="shared" si="38"/>
        <v>4.6505172895855251</v>
      </c>
    </row>
    <row r="71" spans="1:24" x14ac:dyDescent="0.35">
      <c r="A71" t="s">
        <v>570</v>
      </c>
      <c r="Q71" s="218"/>
    </row>
    <row r="72" spans="1:24" x14ac:dyDescent="0.35">
      <c r="A72" s="5" t="s">
        <v>571</v>
      </c>
      <c r="B72" s="5">
        <v>2017</v>
      </c>
      <c r="C72" s="5">
        <v>2018</v>
      </c>
      <c r="D72" s="5">
        <v>2019</v>
      </c>
      <c r="E72" s="5">
        <v>2020</v>
      </c>
      <c r="F72" s="5">
        <v>2021</v>
      </c>
      <c r="G72" s="5">
        <v>2022</v>
      </c>
      <c r="H72" s="5">
        <v>2023</v>
      </c>
      <c r="I72" s="5">
        <v>2024</v>
      </c>
      <c r="J72" s="5">
        <v>2025</v>
      </c>
    </row>
    <row r="73" spans="1:24" x14ac:dyDescent="0.35">
      <c r="A73" s="220" t="s">
        <v>504</v>
      </c>
      <c r="B73" s="221">
        <f t="shared" ref="B73:J73" si="39">B45</f>
        <v>112.8</v>
      </c>
      <c r="C73" s="221">
        <f t="shared" si="39"/>
        <v>115</v>
      </c>
      <c r="D73" s="221">
        <f t="shared" si="39"/>
        <v>110.2</v>
      </c>
      <c r="E73" s="221">
        <f t="shared" si="39"/>
        <v>103.98</v>
      </c>
      <c r="F73" s="221">
        <f t="shared" si="39"/>
        <v>104.14594469449254</v>
      </c>
      <c r="G73" s="221">
        <f t="shared" si="39"/>
        <v>111.76657798540018</v>
      </c>
      <c r="H73" s="221">
        <f t="shared" si="39"/>
        <v>113.83181229416576</v>
      </c>
      <c r="I73" s="221">
        <f t="shared" si="39"/>
        <v>114.84816776107796</v>
      </c>
      <c r="J73" s="221">
        <f t="shared" si="39"/>
        <v>119.27219269868266</v>
      </c>
    </row>
    <row r="74" spans="1:24" x14ac:dyDescent="0.35">
      <c r="A74" s="220" t="s">
        <v>572</v>
      </c>
      <c r="B74" s="221">
        <f>B6</f>
        <v>109.1</v>
      </c>
      <c r="C74" s="221">
        <f>C6</f>
        <v>111.7</v>
      </c>
      <c r="D74" s="221">
        <f>D6</f>
        <v>107.5</v>
      </c>
      <c r="E74" s="221">
        <f>E6</f>
        <v>101.4</v>
      </c>
      <c r="F74" s="224">
        <f>F73*F75</f>
        <v>101.26083015372637</v>
      </c>
      <c r="G74" s="224">
        <f t="shared" ref="G74:J74" si="40">G73*G75</f>
        <v>108.67035200883168</v>
      </c>
      <c r="H74" s="224">
        <f t="shared" si="40"/>
        <v>110.67837393595545</v>
      </c>
      <c r="I74" s="224">
        <f t="shared" si="40"/>
        <v>111.66657370324077</v>
      </c>
      <c r="J74" s="224">
        <f t="shared" si="40"/>
        <v>115.96804160116776</v>
      </c>
    </row>
    <row r="75" spans="1:24" x14ac:dyDescent="0.35">
      <c r="A75" s="220" t="s">
        <v>573</v>
      </c>
      <c r="B75" s="70">
        <f>B74/B73</f>
        <v>0.96719858156028371</v>
      </c>
      <c r="C75" s="70">
        <f t="shared" ref="C75:E75" si="41">C74/C73</f>
        <v>0.97130434782608699</v>
      </c>
      <c r="D75" s="70">
        <f t="shared" si="41"/>
        <v>0.97549909255898359</v>
      </c>
      <c r="E75" s="70">
        <f t="shared" si="41"/>
        <v>0.97518753606462782</v>
      </c>
      <c r="F75" s="70">
        <f>$B$76</f>
        <v>0.97229738950249556</v>
      </c>
      <c r="G75" s="70">
        <f t="shared" ref="G75:J75" si="42">$B$76</f>
        <v>0.97229738950249556</v>
      </c>
      <c r="H75" s="70">
        <f t="shared" si="42"/>
        <v>0.97229738950249556</v>
      </c>
      <c r="I75" s="70">
        <f t="shared" si="42"/>
        <v>0.97229738950249556</v>
      </c>
      <c r="J75" s="70">
        <f t="shared" si="42"/>
        <v>0.97229738950249556</v>
      </c>
    </row>
    <row r="76" spans="1:24" x14ac:dyDescent="0.35">
      <c r="A76" s="227" t="s">
        <v>574</v>
      </c>
      <c r="B76" s="228">
        <f>AVERAGE(B75:E75)</f>
        <v>0.97229738950249556</v>
      </c>
      <c r="C76" s="228"/>
      <c r="D76" s="228"/>
      <c r="E76" s="228"/>
      <c r="F76" s="229"/>
      <c r="G76" s="5"/>
      <c r="H76" s="5"/>
      <c r="I76" s="5"/>
      <c r="J76" s="229"/>
    </row>
    <row r="77" spans="1:24" x14ac:dyDescent="0.35">
      <c r="A77" s="220" t="s">
        <v>536</v>
      </c>
      <c r="B77" s="221">
        <v>68.099999999999994</v>
      </c>
      <c r="C77" s="221">
        <v>70.099999999999994</v>
      </c>
      <c r="D77" s="221">
        <v>67.8</v>
      </c>
      <c r="E77" s="221">
        <v>62.2</v>
      </c>
      <c r="F77" s="224">
        <f>F74*F78</f>
        <v>63.183764372804568</v>
      </c>
      <c r="G77" s="224">
        <f t="shared" ref="G77:J77" si="43">G74*G78</f>
        <v>67.807086957632222</v>
      </c>
      <c r="H77" s="224">
        <f t="shared" si="43"/>
        <v>69.060033275632989</v>
      </c>
      <c r="I77" s="224">
        <f t="shared" si="43"/>
        <v>69.676640715594004</v>
      </c>
      <c r="J77" s="224">
        <f t="shared" si="43"/>
        <v>72.360629516665469</v>
      </c>
    </row>
    <row r="78" spans="1:24" x14ac:dyDescent="0.35">
      <c r="A78" s="220" t="s">
        <v>548</v>
      </c>
      <c r="B78" s="70">
        <f>B77/B74</f>
        <v>0.6241979835013749</v>
      </c>
      <c r="C78" s="70">
        <f t="shared" ref="C78:E78" si="44">C77/C74</f>
        <v>0.62757385854968661</v>
      </c>
      <c r="D78" s="70">
        <f t="shared" si="44"/>
        <v>0.63069767441860458</v>
      </c>
      <c r="E78" s="70">
        <f t="shared" si="44"/>
        <v>0.61341222879684421</v>
      </c>
      <c r="F78" s="70">
        <f>$B$79</f>
        <v>0.62397043631662763</v>
      </c>
      <c r="G78" s="70">
        <f t="shared" ref="G78:J78" si="45">$B$79</f>
        <v>0.62397043631662763</v>
      </c>
      <c r="H78" s="70">
        <f t="shared" si="45"/>
        <v>0.62397043631662763</v>
      </c>
      <c r="I78" s="70">
        <f t="shared" si="45"/>
        <v>0.62397043631662763</v>
      </c>
      <c r="J78" s="70">
        <f t="shared" si="45"/>
        <v>0.62397043631662763</v>
      </c>
    </row>
    <row r="79" spans="1:24" x14ac:dyDescent="0.35">
      <c r="A79" s="227" t="s">
        <v>550</v>
      </c>
      <c r="B79" s="228">
        <f>AVERAGE(B78:E78)</f>
        <v>0.62397043631662763</v>
      </c>
      <c r="C79" s="228"/>
      <c r="D79" s="228"/>
      <c r="E79" s="228"/>
      <c r="F79" s="221"/>
      <c r="G79" s="221"/>
      <c r="H79" s="221"/>
      <c r="I79" s="221"/>
      <c r="J79" s="221"/>
    </row>
    <row r="80" spans="1:24" x14ac:dyDescent="0.35">
      <c r="A80" s="220" t="s">
        <v>551</v>
      </c>
      <c r="B80" s="221">
        <v>46</v>
      </c>
      <c r="C80" s="221">
        <v>49</v>
      </c>
      <c r="D80" s="221">
        <v>47.5</v>
      </c>
      <c r="E80" s="221">
        <v>43.8</v>
      </c>
      <c r="F80" s="224">
        <f>F81*F77</f>
        <v>43.90084875957465</v>
      </c>
      <c r="G80" s="224">
        <f t="shared" ref="G80:J80" si="46">G81*G77</f>
        <v>47.113189581271648</v>
      </c>
      <c r="H80" s="224">
        <f t="shared" si="46"/>
        <v>47.983751937858507</v>
      </c>
      <c r="I80" s="224">
        <f t="shared" si="46"/>
        <v>48.412178294446534</v>
      </c>
      <c r="J80" s="224">
        <f t="shared" si="46"/>
        <v>50.277046391462711</v>
      </c>
      <c r="L80" s="218"/>
    </row>
    <row r="81" spans="1:12" x14ac:dyDescent="0.35">
      <c r="A81" s="220" t="s">
        <v>575</v>
      </c>
      <c r="B81" s="70">
        <f>B80/B77</f>
        <v>0.67547723935389137</v>
      </c>
      <c r="C81" s="70">
        <f t="shared" ref="C81:E81" si="47">C80/C77</f>
        <v>0.6990014265335236</v>
      </c>
      <c r="D81" s="70">
        <f t="shared" si="47"/>
        <v>0.70058997050147498</v>
      </c>
      <c r="E81" s="70">
        <f t="shared" si="47"/>
        <v>0.70418006430868163</v>
      </c>
      <c r="F81" s="70">
        <f>$B$82</f>
        <v>0.69481217517439287</v>
      </c>
      <c r="G81" s="70">
        <f t="shared" ref="G81:J81" si="48">$B$82</f>
        <v>0.69481217517439287</v>
      </c>
      <c r="H81" s="70">
        <f t="shared" si="48"/>
        <v>0.69481217517439287</v>
      </c>
      <c r="I81" s="70">
        <f t="shared" si="48"/>
        <v>0.69481217517439287</v>
      </c>
      <c r="J81" s="70">
        <f t="shared" si="48"/>
        <v>0.69481217517439287</v>
      </c>
      <c r="L81" s="226"/>
    </row>
    <row r="82" spans="1:12" x14ac:dyDescent="0.35">
      <c r="A82" s="227" t="s">
        <v>555</v>
      </c>
      <c r="B82" s="228">
        <f>AVERAGE(B81:E81)</f>
        <v>0.69481217517439287</v>
      </c>
      <c r="C82" s="228"/>
      <c r="D82" s="228"/>
      <c r="E82" s="228"/>
      <c r="F82" s="221"/>
      <c r="G82" s="221"/>
      <c r="H82" s="221"/>
      <c r="I82" s="221"/>
      <c r="J82" s="221"/>
      <c r="L82" s="218"/>
    </row>
    <row r="83" spans="1:12" x14ac:dyDescent="0.35">
      <c r="A83" s="220" t="s">
        <v>558</v>
      </c>
      <c r="B83" s="221">
        <v>17.7</v>
      </c>
      <c r="C83" s="221">
        <v>17</v>
      </c>
      <c r="D83" s="221">
        <v>16.600000000000001</v>
      </c>
      <c r="E83" s="221">
        <v>14.9</v>
      </c>
      <c r="F83" s="224">
        <f>F84*F77</f>
        <v>15.587595641124253</v>
      </c>
      <c r="G83" s="224">
        <f t="shared" ref="G83:J83" si="49">G84*G77</f>
        <v>16.728181101426291</v>
      </c>
      <c r="H83" s="224">
        <f t="shared" si="49"/>
        <v>17.03728615015045</v>
      </c>
      <c r="I83" s="224">
        <f t="shared" si="49"/>
        <v>17.189404776491081</v>
      </c>
      <c r="J83" s="224">
        <f t="shared" si="49"/>
        <v>17.851551651589507</v>
      </c>
    </row>
    <row r="84" spans="1:12" x14ac:dyDescent="0.35">
      <c r="A84" s="220" t="s">
        <v>576</v>
      </c>
      <c r="B84" s="70">
        <f>B83/B77</f>
        <v>0.25991189427312777</v>
      </c>
      <c r="C84" s="70">
        <f t="shared" ref="C84:E84" si="50">C83/C77</f>
        <v>0.24251069900142655</v>
      </c>
      <c r="D84" s="70">
        <f t="shared" si="50"/>
        <v>0.24483775811209443</v>
      </c>
      <c r="E84" s="70">
        <f t="shared" si="50"/>
        <v>0.23954983922829581</v>
      </c>
      <c r="F84" s="70">
        <f>$B$85</f>
        <v>0.24670254765373612</v>
      </c>
      <c r="G84" s="70">
        <f t="shared" ref="G84:J84" si="51">$B$85</f>
        <v>0.24670254765373612</v>
      </c>
      <c r="H84" s="70">
        <f t="shared" si="51"/>
        <v>0.24670254765373612</v>
      </c>
      <c r="I84" s="70">
        <f t="shared" si="51"/>
        <v>0.24670254765373612</v>
      </c>
      <c r="J84" s="70">
        <f t="shared" si="51"/>
        <v>0.24670254765373612</v>
      </c>
    </row>
    <row r="85" spans="1:12" x14ac:dyDescent="0.35">
      <c r="A85" s="227" t="s">
        <v>562</v>
      </c>
      <c r="B85" s="228">
        <f>AVERAGE(B84:E84)</f>
        <v>0.24670254765373612</v>
      </c>
      <c r="C85" s="228"/>
      <c r="D85" s="228"/>
      <c r="E85" s="228"/>
      <c r="F85" s="221"/>
      <c r="G85" s="221"/>
      <c r="H85" s="221"/>
      <c r="I85" s="221"/>
      <c r="J85" s="221"/>
    </row>
    <row r="86" spans="1:12" x14ac:dyDescent="0.35">
      <c r="A86" s="220" t="s">
        <v>563</v>
      </c>
      <c r="B86" s="221">
        <v>4.4000000000000004</v>
      </c>
      <c r="C86" s="221">
        <v>4.0999999999999996</v>
      </c>
      <c r="D86" s="221">
        <v>3.7</v>
      </c>
      <c r="E86" s="221">
        <v>3.5</v>
      </c>
      <c r="F86" s="224">
        <f>F87*F77</f>
        <v>3.6953199721056635</v>
      </c>
      <c r="G86" s="224">
        <f t="shared" ref="G86:J86" si="52">G87*G77</f>
        <v>3.9657162749342798</v>
      </c>
      <c r="H86" s="224">
        <f t="shared" si="52"/>
        <v>4.03899518762403</v>
      </c>
      <c r="I86" s="224">
        <f t="shared" si="52"/>
        <v>4.075057644656388</v>
      </c>
      <c r="J86" s="224">
        <f t="shared" si="52"/>
        <v>4.23203147361325</v>
      </c>
    </row>
    <row r="87" spans="1:12" x14ac:dyDescent="0.35">
      <c r="A87" s="220" t="s">
        <v>577</v>
      </c>
      <c r="B87" s="70">
        <f>B86/B77</f>
        <v>6.4610866372980927E-2</v>
      </c>
      <c r="C87" s="70">
        <f t="shared" ref="C87:E87" si="53">C86/C77</f>
        <v>5.8487874465049931E-2</v>
      </c>
      <c r="D87" s="70">
        <f t="shared" si="53"/>
        <v>5.4572271386430685E-2</v>
      </c>
      <c r="E87" s="70">
        <f t="shared" si="53"/>
        <v>5.6270096463022508E-2</v>
      </c>
      <c r="F87" s="70">
        <f>$B$88</f>
        <v>5.8485277171871006E-2</v>
      </c>
      <c r="G87" s="70">
        <f t="shared" ref="G87:J87" si="54">$B$88</f>
        <v>5.8485277171871006E-2</v>
      </c>
      <c r="H87" s="70">
        <f t="shared" si="54"/>
        <v>5.8485277171871006E-2</v>
      </c>
      <c r="I87" s="70">
        <f t="shared" si="54"/>
        <v>5.8485277171871006E-2</v>
      </c>
      <c r="J87" s="70">
        <f t="shared" si="54"/>
        <v>5.8485277171871006E-2</v>
      </c>
    </row>
    <row r="88" spans="1:12" x14ac:dyDescent="0.35">
      <c r="A88" s="227" t="s">
        <v>565</v>
      </c>
      <c r="B88" s="228">
        <f>AVERAGE(B87:E87)</f>
        <v>5.8485277171871006E-2</v>
      </c>
      <c r="C88" s="228"/>
      <c r="D88" s="228"/>
      <c r="E88" s="228"/>
      <c r="F88" s="221"/>
      <c r="G88" s="221"/>
      <c r="H88" s="221"/>
      <c r="I88" s="221"/>
      <c r="J88" s="221"/>
    </row>
    <row r="89" spans="1:12" x14ac:dyDescent="0.35">
      <c r="A89" s="220" t="s">
        <v>567</v>
      </c>
      <c r="B89" s="221">
        <v>38.700000000000003</v>
      </c>
      <c r="C89" s="221">
        <v>39.9</v>
      </c>
      <c r="D89" s="221">
        <v>41.4</v>
      </c>
      <c r="E89" s="221">
        <v>37.200000000000003</v>
      </c>
      <c r="F89" s="224">
        <f>F90*F74</f>
        <v>37.059120364407192</v>
      </c>
      <c r="G89" s="224">
        <f t="shared" ref="G89:J89" si="55">G90*G74</f>
        <v>39.770833885362848</v>
      </c>
      <c r="H89" s="224">
        <f t="shared" si="55"/>
        <v>40.505723439188117</v>
      </c>
      <c r="I89" s="224">
        <f t="shared" si="55"/>
        <v>40.86738168418087</v>
      </c>
      <c r="J89" s="224">
        <f t="shared" si="55"/>
        <v>42.441619386270688</v>
      </c>
    </row>
    <row r="90" spans="1:12" x14ac:dyDescent="0.35">
      <c r="A90" s="220" t="s">
        <v>568</v>
      </c>
      <c r="B90" s="70">
        <f>B89/B74</f>
        <v>0.35472043996333641</v>
      </c>
      <c r="C90" s="70">
        <f t="shared" ref="C90:E90" si="56">C89/C74</f>
        <v>0.35720680393912263</v>
      </c>
      <c r="D90" s="70">
        <f t="shared" si="56"/>
        <v>0.38511627906976742</v>
      </c>
      <c r="E90" s="70">
        <f t="shared" si="56"/>
        <v>0.36686390532544377</v>
      </c>
      <c r="F90" s="70">
        <f>$B$91</f>
        <v>0.36597685707441763</v>
      </c>
      <c r="G90" s="70">
        <f t="shared" ref="G90:J90" si="57">$B$91</f>
        <v>0.36597685707441763</v>
      </c>
      <c r="H90" s="70">
        <f t="shared" si="57"/>
        <v>0.36597685707441763</v>
      </c>
      <c r="I90" s="70">
        <f t="shared" si="57"/>
        <v>0.36597685707441763</v>
      </c>
      <c r="J90" s="70">
        <f t="shared" si="57"/>
        <v>0.36597685707441763</v>
      </c>
    </row>
    <row r="91" spans="1:12" x14ac:dyDescent="0.35">
      <c r="A91" s="227" t="s">
        <v>569</v>
      </c>
      <c r="B91" s="228">
        <f>AVERAGE(B90:E90)</f>
        <v>0.36597685707441763</v>
      </c>
      <c r="C91" s="228"/>
      <c r="D91" s="228"/>
      <c r="E91" s="228"/>
      <c r="F91" s="221"/>
      <c r="G91" s="221"/>
      <c r="H91" s="221"/>
      <c r="I91" s="221"/>
      <c r="J91" s="221"/>
    </row>
    <row r="92" spans="1:12" x14ac:dyDescent="0.35">
      <c r="A92" s="220" t="s">
        <v>578</v>
      </c>
      <c r="B92" s="221">
        <v>2.8</v>
      </c>
      <c r="C92" s="221">
        <v>3.1</v>
      </c>
      <c r="D92" s="221">
        <v>2.8</v>
      </c>
      <c r="E92" s="221">
        <v>1.9</v>
      </c>
      <c r="F92" s="224">
        <f>F93*F74</f>
        <v>2.4859944351350305</v>
      </c>
      <c r="G92" s="224">
        <f t="shared" ref="G92:J92" si="58">G93*G74</f>
        <v>2.6679012007702649</v>
      </c>
      <c r="H92" s="224">
        <f t="shared" si="58"/>
        <v>2.7171989532070211</v>
      </c>
      <c r="I92" s="224">
        <f t="shared" si="58"/>
        <v>2.7414596581463697</v>
      </c>
      <c r="J92" s="224">
        <f t="shared" si="58"/>
        <v>2.8470624390136066</v>
      </c>
    </row>
    <row r="93" spans="1:12" x14ac:dyDescent="0.35">
      <c r="A93" s="220" t="s">
        <v>579</v>
      </c>
      <c r="B93" s="70">
        <f>B92/B74</f>
        <v>2.5664527956003665E-2</v>
      </c>
      <c r="C93" s="70">
        <f t="shared" ref="C93:E93" si="59">C92/C74</f>
        <v>2.775290957923008E-2</v>
      </c>
      <c r="D93" s="70">
        <f t="shared" si="59"/>
        <v>2.6046511627906974E-2</v>
      </c>
      <c r="E93" s="70">
        <f t="shared" si="59"/>
        <v>1.8737672583826429E-2</v>
      </c>
      <c r="F93" s="70">
        <f>$B$94</f>
        <v>2.4550405436741786E-2</v>
      </c>
      <c r="G93" s="70">
        <f t="shared" ref="G93:J93" si="60">$B$94</f>
        <v>2.4550405436741786E-2</v>
      </c>
      <c r="H93" s="70">
        <f t="shared" si="60"/>
        <v>2.4550405436741786E-2</v>
      </c>
      <c r="I93" s="70">
        <f t="shared" si="60"/>
        <v>2.4550405436741786E-2</v>
      </c>
      <c r="J93" s="70">
        <f t="shared" si="60"/>
        <v>2.4550405436741786E-2</v>
      </c>
    </row>
    <row r="94" spans="1:12" x14ac:dyDescent="0.35">
      <c r="A94" s="227" t="s">
        <v>580</v>
      </c>
      <c r="B94" s="228">
        <f>AVERAGE(B93:E93)</f>
        <v>2.4550405436741786E-2</v>
      </c>
      <c r="C94" s="228"/>
      <c r="D94" s="228"/>
      <c r="E94" s="228"/>
      <c r="F94" s="221"/>
      <c r="G94" s="221"/>
      <c r="H94" s="221"/>
      <c r="I94" s="221"/>
      <c r="J94" s="221"/>
    </row>
    <row r="98" spans="1:38" x14ac:dyDescent="0.35">
      <c r="A98" s="5" t="s">
        <v>534</v>
      </c>
      <c r="B98" s="5">
        <v>2017</v>
      </c>
      <c r="C98" s="5">
        <v>2018</v>
      </c>
      <c r="D98" s="5">
        <v>2019</v>
      </c>
      <c r="E98" s="5">
        <v>2020</v>
      </c>
      <c r="F98" s="5">
        <v>2021</v>
      </c>
      <c r="G98" s="5">
        <v>2022</v>
      </c>
      <c r="H98" s="5">
        <v>2023</v>
      </c>
      <c r="I98" s="5">
        <v>2024</v>
      </c>
      <c r="J98" s="5">
        <v>2025</v>
      </c>
    </row>
    <row r="99" spans="1:38" x14ac:dyDescent="0.35">
      <c r="A99" s="220" t="s">
        <v>536</v>
      </c>
      <c r="B99" s="221">
        <f>B77</f>
        <v>68.099999999999994</v>
      </c>
      <c r="C99" s="221">
        <f t="shared" ref="C99:J99" si="61">C77</f>
        <v>70.099999999999994</v>
      </c>
      <c r="D99" s="221">
        <f t="shared" si="61"/>
        <v>67.8</v>
      </c>
      <c r="E99" s="221">
        <f t="shared" si="61"/>
        <v>62.2</v>
      </c>
      <c r="F99" s="221">
        <f t="shared" si="61"/>
        <v>63.183764372804568</v>
      </c>
      <c r="G99" s="221">
        <f t="shared" si="61"/>
        <v>67.807086957632222</v>
      </c>
      <c r="H99" s="221">
        <f t="shared" si="61"/>
        <v>69.060033275632989</v>
      </c>
      <c r="I99" s="221">
        <f t="shared" si="61"/>
        <v>69.676640715594004</v>
      </c>
      <c r="J99" s="221">
        <f t="shared" si="61"/>
        <v>72.360629516665469</v>
      </c>
    </row>
    <row r="100" spans="1:38" x14ac:dyDescent="0.35">
      <c r="A100" s="5" t="s">
        <v>537</v>
      </c>
      <c r="B100" s="221">
        <f>B80+B83</f>
        <v>63.7</v>
      </c>
      <c r="C100" s="221">
        <f t="shared" ref="C100:I100" si="62">C80+C83</f>
        <v>66</v>
      </c>
      <c r="D100" s="221">
        <f t="shared" si="62"/>
        <v>64.099999999999994</v>
      </c>
      <c r="E100" s="221">
        <f t="shared" si="62"/>
        <v>58.699999999999996</v>
      </c>
      <c r="F100" s="221">
        <f t="shared" si="62"/>
        <v>59.488444400698903</v>
      </c>
      <c r="G100" s="221">
        <f t="shared" si="62"/>
        <v>63.841370682697942</v>
      </c>
      <c r="H100" s="221">
        <f t="shared" si="62"/>
        <v>65.021038088008964</v>
      </c>
      <c r="I100" s="221">
        <f t="shared" si="62"/>
        <v>65.601583070937608</v>
      </c>
      <c r="J100" s="221">
        <f>J80+J83</f>
        <v>68.128598043052222</v>
      </c>
    </row>
    <row r="101" spans="1:38" x14ac:dyDescent="0.35">
      <c r="A101" s="220" t="s">
        <v>539</v>
      </c>
      <c r="B101" s="221">
        <v>0.6</v>
      </c>
      <c r="C101" s="221">
        <v>0.7</v>
      </c>
      <c r="D101" s="221">
        <v>1.1000000000000001</v>
      </c>
      <c r="E101" s="221">
        <v>0.5</v>
      </c>
      <c r="F101" s="224">
        <f>F100*F102</f>
        <v>0.67971179608432897</v>
      </c>
      <c r="G101" s="224">
        <f t="shared" ref="G101:J101" si="63">G100*G102</f>
        <v>0.72944809985167858</v>
      </c>
      <c r="H101" s="224">
        <f t="shared" si="63"/>
        <v>0.74292691677022404</v>
      </c>
      <c r="I101" s="224">
        <f t="shared" si="63"/>
        <v>0.74956019281281527</v>
      </c>
      <c r="J101" s="224">
        <f t="shared" si="63"/>
        <v>0.77843373124085724</v>
      </c>
    </row>
    <row r="102" spans="1:38" x14ac:dyDescent="0.35">
      <c r="A102" s="220" t="s">
        <v>581</v>
      </c>
      <c r="B102" s="221">
        <f>B101/B100</f>
        <v>9.4191522762951327E-3</v>
      </c>
      <c r="C102" s="221">
        <f t="shared" ref="C102:E102" si="64">C101/C100</f>
        <v>1.0606060606060605E-2</v>
      </c>
      <c r="D102" s="221">
        <f t="shared" si="64"/>
        <v>1.7160686427457102E-2</v>
      </c>
      <c r="E102" s="221">
        <f t="shared" si="64"/>
        <v>8.5178875638841581E-3</v>
      </c>
      <c r="F102" s="221">
        <f>$B$103</f>
        <v>1.1425946718424248E-2</v>
      </c>
      <c r="G102" s="221">
        <f t="shared" ref="G102:J102" si="65">$B$103</f>
        <v>1.1425946718424248E-2</v>
      </c>
      <c r="H102" s="221">
        <f t="shared" si="65"/>
        <v>1.1425946718424248E-2</v>
      </c>
      <c r="I102" s="221">
        <f t="shared" si="65"/>
        <v>1.1425946718424248E-2</v>
      </c>
      <c r="J102" s="221">
        <f t="shared" si="65"/>
        <v>1.1425946718424248E-2</v>
      </c>
    </row>
    <row r="103" spans="1:38" x14ac:dyDescent="0.35">
      <c r="A103" s="227" t="s">
        <v>582</v>
      </c>
      <c r="B103" s="239">
        <f>AVERAGE(B102:E102)</f>
        <v>1.1425946718424248E-2</v>
      </c>
      <c r="C103" s="240"/>
      <c r="D103" s="240"/>
      <c r="E103" s="241"/>
      <c r="F103" s="221" t="s">
        <v>583</v>
      </c>
      <c r="G103" s="221" t="s">
        <v>583</v>
      </c>
      <c r="H103" s="221" t="s">
        <v>583</v>
      </c>
      <c r="I103" s="221" t="s">
        <v>583</v>
      </c>
      <c r="J103" s="221" t="s">
        <v>583</v>
      </c>
    </row>
    <row r="104" spans="1:38" x14ac:dyDescent="0.35">
      <c r="A104" s="220" t="s">
        <v>543</v>
      </c>
      <c r="B104" s="221">
        <v>6.1</v>
      </c>
      <c r="C104" s="221">
        <v>6.2</v>
      </c>
      <c r="D104" s="221">
        <v>5.3</v>
      </c>
      <c r="E104" s="221">
        <v>5.3</v>
      </c>
      <c r="F104" s="224">
        <f>F100*F105</f>
        <v>5.3937234245399885</v>
      </c>
      <c r="G104" s="224">
        <f t="shared" ref="G104:J104" si="66">G100*G105</f>
        <v>5.7883963847937299</v>
      </c>
      <c r="H104" s="224">
        <f t="shared" si="66"/>
        <v>5.895354967780607</v>
      </c>
      <c r="I104" s="224">
        <f t="shared" si="66"/>
        <v>5.9479920657072194</v>
      </c>
      <c r="J104" s="224">
        <f t="shared" si="66"/>
        <v>6.1771125274468055</v>
      </c>
    </row>
    <row r="105" spans="1:38" x14ac:dyDescent="0.35">
      <c r="A105" s="220" t="s">
        <v>584</v>
      </c>
      <c r="B105" s="221">
        <f>B104/B100</f>
        <v>9.5761381475667179E-2</v>
      </c>
      <c r="C105" s="221">
        <f t="shared" ref="C105:E105" si="67">C104/C100</f>
        <v>9.3939393939393948E-2</v>
      </c>
      <c r="D105" s="221">
        <f t="shared" si="67"/>
        <v>8.2683307332293302E-2</v>
      </c>
      <c r="E105" s="221">
        <f t="shared" si="67"/>
        <v>9.0289608177172062E-2</v>
      </c>
      <c r="F105" s="221">
        <f>$B$106</f>
        <v>9.0668422731131626E-2</v>
      </c>
      <c r="G105" s="221">
        <f t="shared" ref="G105:J105" si="68">$B$106</f>
        <v>9.0668422731131626E-2</v>
      </c>
      <c r="H105" s="221">
        <f t="shared" si="68"/>
        <v>9.0668422731131626E-2</v>
      </c>
      <c r="I105" s="221">
        <f t="shared" si="68"/>
        <v>9.0668422731131626E-2</v>
      </c>
      <c r="J105" s="221">
        <f t="shared" si="68"/>
        <v>9.0668422731131626E-2</v>
      </c>
    </row>
    <row r="106" spans="1:38" x14ac:dyDescent="0.35">
      <c r="A106" s="227" t="s">
        <v>585</v>
      </c>
      <c r="B106" s="239">
        <f>AVERAGE(B105:E105)</f>
        <v>9.0668422731131626E-2</v>
      </c>
      <c r="C106" s="240"/>
      <c r="D106" s="240"/>
      <c r="E106" s="241"/>
      <c r="F106" s="221" t="s">
        <v>583</v>
      </c>
      <c r="G106" s="221" t="s">
        <v>583</v>
      </c>
      <c r="H106" s="221" t="s">
        <v>583</v>
      </c>
      <c r="I106" s="221" t="s">
        <v>583</v>
      </c>
      <c r="J106" s="221" t="s">
        <v>583</v>
      </c>
    </row>
    <row r="107" spans="1:38" x14ac:dyDescent="0.35">
      <c r="A107" s="220" t="s">
        <v>546</v>
      </c>
      <c r="B107" s="221">
        <v>15.8</v>
      </c>
      <c r="C107" s="221">
        <v>15.8</v>
      </c>
      <c r="D107" s="221">
        <v>13.6</v>
      </c>
      <c r="E107" s="221">
        <v>13.3</v>
      </c>
      <c r="F107" s="224">
        <f>F100*F108</f>
        <v>13.774191060704581</v>
      </c>
      <c r="G107" s="224">
        <f t="shared" ref="G107:J107" si="69">G100*G108</f>
        <v>14.782084927916088</v>
      </c>
      <c r="H107" s="224">
        <f t="shared" si="69"/>
        <v>15.055229811641587</v>
      </c>
      <c r="I107" s="224">
        <f t="shared" si="69"/>
        <v>15.189651506388385</v>
      </c>
      <c r="J107" s="224">
        <f t="shared" si="69"/>
        <v>15.774766605460615</v>
      </c>
    </row>
    <row r="108" spans="1:38" x14ac:dyDescent="0.35">
      <c r="A108" s="220" t="s">
        <v>586</v>
      </c>
      <c r="B108" s="221">
        <f>B107/B100</f>
        <v>0.24803767660910517</v>
      </c>
      <c r="C108" s="221">
        <f t="shared" ref="C108:E108" si="70">C107/C100</f>
        <v>0.23939393939393941</v>
      </c>
      <c r="D108" s="221">
        <f t="shared" si="70"/>
        <v>0.21216848673946959</v>
      </c>
      <c r="E108" s="221">
        <f t="shared" si="70"/>
        <v>0.22657580919931861</v>
      </c>
      <c r="F108" s="221">
        <f>$B$109</f>
        <v>0.2315439779854582</v>
      </c>
      <c r="G108" s="221">
        <f t="shared" ref="G108:J108" si="71">$B$109</f>
        <v>0.2315439779854582</v>
      </c>
      <c r="H108" s="221">
        <f t="shared" si="71"/>
        <v>0.2315439779854582</v>
      </c>
      <c r="I108" s="221">
        <f t="shared" si="71"/>
        <v>0.2315439779854582</v>
      </c>
      <c r="J108" s="221">
        <f t="shared" si="71"/>
        <v>0.2315439779854582</v>
      </c>
    </row>
    <row r="109" spans="1:38" x14ac:dyDescent="0.35">
      <c r="A109" s="227" t="s">
        <v>587</v>
      </c>
      <c r="B109" s="239">
        <f>AVERAGE(B108:E108)</f>
        <v>0.2315439779854582</v>
      </c>
      <c r="C109" s="240"/>
      <c r="D109" s="240"/>
      <c r="E109" s="241"/>
      <c r="F109" s="221" t="s">
        <v>583</v>
      </c>
      <c r="G109" s="221" t="s">
        <v>583</v>
      </c>
      <c r="H109" s="221" t="s">
        <v>583</v>
      </c>
      <c r="I109" s="221" t="s">
        <v>583</v>
      </c>
      <c r="J109" s="221" t="s">
        <v>583</v>
      </c>
    </row>
    <row r="110" spans="1:38" x14ac:dyDescent="0.35">
      <c r="A110" s="220" t="s">
        <v>549</v>
      </c>
      <c r="B110" s="221">
        <v>25</v>
      </c>
      <c r="C110" s="221">
        <v>25.4</v>
      </c>
      <c r="D110" s="221">
        <v>26.2</v>
      </c>
      <c r="E110" s="221">
        <v>25.8</v>
      </c>
      <c r="F110" s="224">
        <f>F100*F111</f>
        <v>24.175694981678152</v>
      </c>
      <c r="G110" s="224">
        <f t="shared" ref="G110:J110" si="72">G100*G111</f>
        <v>25.944694308043168</v>
      </c>
      <c r="H110" s="224">
        <f t="shared" si="72"/>
        <v>26.424103034526727</v>
      </c>
      <c r="I110" s="224">
        <f t="shared" si="72"/>
        <v>26.660032525906427</v>
      </c>
      <c r="J110" s="224">
        <f t="shared" si="72"/>
        <v>27.686994044154819</v>
      </c>
    </row>
    <row r="111" spans="1:38" x14ac:dyDescent="0.35">
      <c r="A111" s="220" t="s">
        <v>588</v>
      </c>
      <c r="B111" s="221">
        <f>B110/B100</f>
        <v>0.39246467817896385</v>
      </c>
      <c r="C111" s="221">
        <f t="shared" ref="C111:E111" si="73">C110/C100</f>
        <v>0.38484848484848483</v>
      </c>
      <c r="D111" s="221">
        <f t="shared" si="73"/>
        <v>0.40873634945397819</v>
      </c>
      <c r="E111" s="221">
        <f t="shared" si="73"/>
        <v>0.43952299829642255</v>
      </c>
      <c r="F111" s="221">
        <f>$B$112</f>
        <v>0.40639312769446234</v>
      </c>
      <c r="G111" s="221">
        <f t="shared" ref="G111:J111" si="74">$B$112</f>
        <v>0.40639312769446234</v>
      </c>
      <c r="H111" s="221">
        <f t="shared" si="74"/>
        <v>0.40639312769446234</v>
      </c>
      <c r="I111" s="221">
        <f t="shared" si="74"/>
        <v>0.40639312769446234</v>
      </c>
      <c r="J111" s="221">
        <f t="shared" si="74"/>
        <v>0.40639312769446234</v>
      </c>
    </row>
    <row r="112" spans="1:38" x14ac:dyDescent="0.35">
      <c r="A112" s="227" t="s">
        <v>589</v>
      </c>
      <c r="B112" s="239">
        <f>AVERAGE(B111:E111)</f>
        <v>0.40639312769446234</v>
      </c>
      <c r="C112" s="240"/>
      <c r="D112" s="240"/>
      <c r="E112" s="241"/>
      <c r="F112" s="221" t="s">
        <v>583</v>
      </c>
      <c r="G112" s="221" t="s">
        <v>583</v>
      </c>
      <c r="H112" s="221" t="s">
        <v>583</v>
      </c>
      <c r="I112" s="221" t="s">
        <v>583</v>
      </c>
      <c r="J112" s="221" t="s">
        <v>583</v>
      </c>
      <c r="AC112" t="s">
        <v>531</v>
      </c>
      <c r="AD112">
        <v>2017</v>
      </c>
      <c r="AE112">
        <v>2018</v>
      </c>
      <c r="AF112">
        <v>2019</v>
      </c>
      <c r="AG112">
        <v>2020</v>
      </c>
      <c r="AH112">
        <v>2021</v>
      </c>
      <c r="AI112">
        <v>2022</v>
      </c>
      <c r="AJ112">
        <v>2023</v>
      </c>
      <c r="AK112">
        <v>2024</v>
      </c>
      <c r="AL112">
        <v>2025</v>
      </c>
    </row>
    <row r="113" spans="1:38" x14ac:dyDescent="0.35">
      <c r="A113" s="220" t="s">
        <v>552</v>
      </c>
      <c r="B113" s="221">
        <v>1</v>
      </c>
      <c r="C113" s="221">
        <v>0.8</v>
      </c>
      <c r="D113" s="221">
        <v>0.7</v>
      </c>
      <c r="E113" s="221">
        <v>1.1000000000000001</v>
      </c>
      <c r="F113" s="224">
        <f>F100*F114</f>
        <v>0.85484282923375865</v>
      </c>
      <c r="G113" s="224">
        <f t="shared" ref="G113:J113" si="75">G100*G114</f>
        <v>0.91739393232339206</v>
      </c>
      <c r="H113" s="224">
        <f t="shared" si="75"/>
        <v>0.9343456316402946</v>
      </c>
      <c r="I113" s="224">
        <f t="shared" si="75"/>
        <v>0.9426880033513686</v>
      </c>
      <c r="J113" s="224">
        <f t="shared" si="75"/>
        <v>0.97900094866437704</v>
      </c>
      <c r="AC113" t="s">
        <v>528</v>
      </c>
      <c r="AD113" s="218">
        <v>225.5</v>
      </c>
      <c r="AE113" s="218">
        <v>230.2</v>
      </c>
      <c r="AF113" s="218">
        <v>230.2</v>
      </c>
      <c r="AG113" s="218">
        <v>204.5</v>
      </c>
      <c r="AH113" s="218">
        <v>209.65874448609381</v>
      </c>
      <c r="AI113" s="218">
        <v>225.00002745824889</v>
      </c>
      <c r="AJ113" s="218">
        <v>229.15760107780332</v>
      </c>
      <c r="AK113" s="218">
        <v>231.20365108742658</v>
      </c>
      <c r="AL113" s="218">
        <v>240.10976372305782</v>
      </c>
    </row>
    <row r="114" spans="1:38" x14ac:dyDescent="0.35">
      <c r="A114" s="220" t="s">
        <v>590</v>
      </c>
      <c r="B114" s="221">
        <f>B113/B100</f>
        <v>1.5698587127158554E-2</v>
      </c>
      <c r="C114" s="221">
        <f t="shared" ref="C114:E114" si="76">C113/C100</f>
        <v>1.2121212121212121E-2</v>
      </c>
      <c r="D114" s="221">
        <f t="shared" si="76"/>
        <v>1.0920436817472699E-2</v>
      </c>
      <c r="E114" s="221">
        <f t="shared" si="76"/>
        <v>1.8739352640545149E-2</v>
      </c>
      <c r="F114" s="221">
        <f>$B$115</f>
        <v>1.4369897176597132E-2</v>
      </c>
      <c r="G114" s="221">
        <f t="shared" ref="G114:J114" si="77">$B$115</f>
        <v>1.4369897176597132E-2</v>
      </c>
      <c r="H114" s="221">
        <f t="shared" si="77"/>
        <v>1.4369897176597132E-2</v>
      </c>
      <c r="I114" s="221">
        <f t="shared" si="77"/>
        <v>1.4369897176597132E-2</v>
      </c>
      <c r="J114" s="221">
        <f t="shared" si="77"/>
        <v>1.4369897176597132E-2</v>
      </c>
      <c r="AC114" t="s">
        <v>532</v>
      </c>
      <c r="AD114" s="218">
        <v>112.8</v>
      </c>
      <c r="AE114" s="218">
        <v>115</v>
      </c>
      <c r="AF114" s="218">
        <v>110.2</v>
      </c>
      <c r="AG114" s="218">
        <v>103.98</v>
      </c>
      <c r="AH114" s="218">
        <v>104.14594469449254</v>
      </c>
      <c r="AI114" s="218">
        <v>111.76657798540018</v>
      </c>
      <c r="AJ114" s="218">
        <v>113.83181229416576</v>
      </c>
      <c r="AK114" s="218">
        <v>114.84816776107796</v>
      </c>
      <c r="AL114" s="218">
        <v>119.27219269868266</v>
      </c>
    </row>
    <row r="115" spans="1:38" x14ac:dyDescent="0.35">
      <c r="A115" s="227" t="s">
        <v>591</v>
      </c>
      <c r="B115" s="239">
        <f>AVERAGE(B114:E114)</f>
        <v>1.4369897176597132E-2</v>
      </c>
      <c r="C115" s="240"/>
      <c r="D115" s="240"/>
      <c r="E115" s="241"/>
      <c r="F115" s="221" t="s">
        <v>583</v>
      </c>
      <c r="G115" s="221" t="s">
        <v>583</v>
      </c>
      <c r="H115" s="221" t="s">
        <v>583</v>
      </c>
      <c r="I115" s="221" t="s">
        <v>583</v>
      </c>
      <c r="J115" s="221" t="s">
        <v>583</v>
      </c>
    </row>
    <row r="116" spans="1:38" x14ac:dyDescent="0.35">
      <c r="A116" s="5" t="s">
        <v>556</v>
      </c>
      <c r="B116" s="221">
        <f>B86</f>
        <v>4.4000000000000004</v>
      </c>
      <c r="C116" s="221">
        <f t="shared" ref="C116:J116" si="78">C86</f>
        <v>4.0999999999999996</v>
      </c>
      <c r="D116" s="221">
        <f t="shared" si="78"/>
        <v>3.7</v>
      </c>
      <c r="E116" s="221">
        <f t="shared" si="78"/>
        <v>3.5</v>
      </c>
      <c r="F116" s="224">
        <f t="shared" si="78"/>
        <v>3.6953199721056635</v>
      </c>
      <c r="G116" s="224">
        <f t="shared" si="78"/>
        <v>3.9657162749342798</v>
      </c>
      <c r="H116" s="224">
        <f t="shared" si="78"/>
        <v>4.03899518762403</v>
      </c>
      <c r="I116" s="224">
        <f t="shared" si="78"/>
        <v>4.075057644656388</v>
      </c>
      <c r="J116" s="224">
        <f t="shared" si="78"/>
        <v>4.23203147361325</v>
      </c>
    </row>
    <row r="117" spans="1:38" x14ac:dyDescent="0.35">
      <c r="A117" s="220" t="s">
        <v>539</v>
      </c>
      <c r="B117" s="221">
        <f>$B$103*B116</f>
        <v>5.0274165561066696E-2</v>
      </c>
      <c r="C117" s="221">
        <f t="shared" ref="C117:J117" si="79">$B$103*C116</f>
        <v>4.6846381545539412E-2</v>
      </c>
      <c r="D117" s="221">
        <f t="shared" si="79"/>
        <v>4.2276002858169723E-2</v>
      </c>
      <c r="E117" s="221">
        <f t="shared" si="79"/>
        <v>3.9990813514484871E-2</v>
      </c>
      <c r="F117" s="224">
        <f t="shared" si="79"/>
        <v>4.222252910880829E-2</v>
      </c>
      <c r="G117" s="224">
        <f t="shared" si="79"/>
        <v>4.5312062857786967E-2</v>
      </c>
      <c r="H117" s="224">
        <f t="shared" si="79"/>
        <v>4.6149343809764119E-2</v>
      </c>
      <c r="I117" s="224">
        <f t="shared" si="79"/>
        <v>4.6561391522351302E-2</v>
      </c>
      <c r="J117" s="224">
        <f t="shared" si="79"/>
        <v>4.835496612819945E-2</v>
      </c>
      <c r="K117" s="226"/>
      <c r="AC117" t="s">
        <v>592</v>
      </c>
      <c r="AD117">
        <v>2017</v>
      </c>
      <c r="AE117">
        <v>2018</v>
      </c>
      <c r="AF117">
        <v>2019</v>
      </c>
      <c r="AG117">
        <v>2020</v>
      </c>
      <c r="AH117">
        <v>2021</v>
      </c>
      <c r="AI117">
        <v>2022</v>
      </c>
      <c r="AJ117">
        <v>2023</v>
      </c>
      <c r="AK117">
        <v>2024</v>
      </c>
      <c r="AL117">
        <v>2025</v>
      </c>
    </row>
    <row r="118" spans="1:38" x14ac:dyDescent="0.35">
      <c r="A118" s="220" t="s">
        <v>543</v>
      </c>
      <c r="B118" s="221">
        <f>$B$106*B116</f>
        <v>0.39894106001697921</v>
      </c>
      <c r="C118" s="221">
        <f t="shared" ref="C118:J118" si="80">$B$106*C116</f>
        <v>0.37174053319763961</v>
      </c>
      <c r="D118" s="221">
        <f t="shared" si="80"/>
        <v>0.33547316410518702</v>
      </c>
      <c r="E118" s="221">
        <f t="shared" si="80"/>
        <v>0.31733947955896069</v>
      </c>
      <c r="F118" s="224">
        <f t="shared" si="80"/>
        <v>0.33504883335766983</v>
      </c>
      <c r="G118" s="224">
        <f t="shared" si="80"/>
        <v>0.35956523964746989</v>
      </c>
      <c r="H118" s="224">
        <f t="shared" si="80"/>
        <v>0.36620932308050186</v>
      </c>
      <c r="I118" s="224">
        <f t="shared" si="80"/>
        <v>0.36947904917943497</v>
      </c>
      <c r="J118" s="224">
        <f t="shared" si="80"/>
        <v>0.38371161866102005</v>
      </c>
      <c r="K118" s="226"/>
      <c r="AC118" t="s">
        <v>593</v>
      </c>
      <c r="AD118" s="218">
        <v>68.41</v>
      </c>
      <c r="AE118" s="218">
        <v>67.3</v>
      </c>
      <c r="AF118" s="218">
        <v>67</v>
      </c>
      <c r="AG118" s="218">
        <v>62.8</v>
      </c>
      <c r="AH118" s="218">
        <v>65.167131852290424</v>
      </c>
      <c r="AI118" s="218">
        <v>71.867690447442158</v>
      </c>
      <c r="AJ118" s="218">
        <v>74.816682809653798</v>
      </c>
      <c r="AK118" s="218">
        <v>77.103085115798876</v>
      </c>
      <c r="AL118" s="218">
        <v>81.240910419010177</v>
      </c>
    </row>
    <row r="119" spans="1:38" x14ac:dyDescent="0.35">
      <c r="A119" s="220" t="s">
        <v>546</v>
      </c>
      <c r="B119" s="221">
        <f>$B$109*B116</f>
        <v>1.0187935031360162</v>
      </c>
      <c r="C119" s="221">
        <f t="shared" ref="C119:J119" si="81">$B$109*C116</f>
        <v>0.94933030974037858</v>
      </c>
      <c r="D119" s="221">
        <f t="shared" si="81"/>
        <v>0.85671271854619535</v>
      </c>
      <c r="E119" s="221">
        <f t="shared" si="81"/>
        <v>0.81040392294910368</v>
      </c>
      <c r="F119" s="224">
        <f t="shared" si="81"/>
        <v>0.85562908627045775</v>
      </c>
      <c r="G119" s="224">
        <f t="shared" si="81"/>
        <v>0.91823772185995622</v>
      </c>
      <c r="H119" s="224">
        <f t="shared" si="81"/>
        <v>0.93520501280658996</v>
      </c>
      <c r="I119" s="224">
        <f t="shared" si="81"/>
        <v>0.94355505756379188</v>
      </c>
      <c r="J119" s="224">
        <f t="shared" si="81"/>
        <v>0.97990140236007262</v>
      </c>
      <c r="K119" s="226"/>
      <c r="AC119" t="s">
        <v>594</v>
      </c>
      <c r="AD119" s="218">
        <v>63.91</v>
      </c>
      <c r="AE119" s="218">
        <v>62.03</v>
      </c>
      <c r="AF119" s="218">
        <v>61.77</v>
      </c>
      <c r="AG119" s="218">
        <v>56.43</v>
      </c>
      <c r="AH119" s="218">
        <v>59.895456737468237</v>
      </c>
      <c r="AI119" s="218">
        <v>66.053975703170977</v>
      </c>
      <c r="AJ119" s="218">
        <v>68.764410234037371</v>
      </c>
      <c r="AK119" s="218">
        <v>70.865854727905287</v>
      </c>
      <c r="AL119" s="218">
        <v>74.668951924164404</v>
      </c>
    </row>
    <row r="120" spans="1:38" x14ac:dyDescent="0.35">
      <c r="A120" s="220" t="s">
        <v>549</v>
      </c>
      <c r="B120" s="221">
        <f>$B$112*B116</f>
        <v>1.7881297618556344</v>
      </c>
      <c r="C120" s="221">
        <f t="shared" ref="C120:J120" si="82">$B$112*C116</f>
        <v>1.6662118235472954</v>
      </c>
      <c r="D120" s="221">
        <f t="shared" si="82"/>
        <v>1.5036545724695107</v>
      </c>
      <c r="E120" s="221">
        <f t="shared" si="82"/>
        <v>1.4223759469306181</v>
      </c>
      <c r="F120" s="224">
        <f t="shared" si="82"/>
        <v>1.501752641295834</v>
      </c>
      <c r="G120" s="224">
        <f t="shared" si="82"/>
        <v>1.6116398405193744</v>
      </c>
      <c r="H120" s="224">
        <f t="shared" si="82"/>
        <v>1.6414198870414114</v>
      </c>
      <c r="I120" s="224">
        <f t="shared" si="82"/>
        <v>1.6560754217471385</v>
      </c>
      <c r="J120" s="224">
        <f t="shared" si="82"/>
        <v>1.7198685070630932</v>
      </c>
      <c r="K120" s="226"/>
      <c r="AD120" s="218"/>
      <c r="AE120" s="218"/>
      <c r="AF120" s="218"/>
      <c r="AG120" s="218"/>
      <c r="AH120" s="218"/>
      <c r="AI120" s="218"/>
      <c r="AJ120" s="218"/>
      <c r="AK120" s="218"/>
      <c r="AL120" s="218"/>
    </row>
    <row r="121" spans="1:38" x14ac:dyDescent="0.35">
      <c r="A121" s="220" t="s">
        <v>552</v>
      </c>
      <c r="B121" s="221">
        <f>$B$115*B116</f>
        <v>6.3227547577027393E-2</v>
      </c>
      <c r="C121" s="221">
        <f t="shared" ref="C121:J121" si="83">$B$115*C116</f>
        <v>5.8916578424048238E-2</v>
      </c>
      <c r="D121" s="221">
        <f t="shared" si="83"/>
        <v>5.3168619553409395E-2</v>
      </c>
      <c r="E121" s="221">
        <f t="shared" si="83"/>
        <v>5.0294640118089963E-2</v>
      </c>
      <c r="F121" s="224">
        <f t="shared" si="83"/>
        <v>5.3101368033784166E-2</v>
      </c>
      <c r="G121" s="224">
        <f t="shared" si="83"/>
        <v>5.6986935102363405E-2</v>
      </c>
      <c r="H121" s="224">
        <f t="shared" si="83"/>
        <v>5.8039945542927955E-2</v>
      </c>
      <c r="I121" s="224">
        <f t="shared" si="83"/>
        <v>5.8558159342418391E-2</v>
      </c>
      <c r="J121" s="224">
        <f t="shared" si="83"/>
        <v>6.0813857123945242E-2</v>
      </c>
      <c r="K121" s="226"/>
    </row>
    <row r="122" spans="1:38" x14ac:dyDescent="0.35">
      <c r="A122" s="5" t="s">
        <v>566</v>
      </c>
      <c r="B122" s="221" t="s">
        <v>583</v>
      </c>
      <c r="C122" s="221" t="s">
        <v>583</v>
      </c>
      <c r="D122" s="221" t="s">
        <v>583</v>
      </c>
      <c r="E122" s="221" t="s">
        <v>583</v>
      </c>
      <c r="F122" s="221" t="s">
        <v>583</v>
      </c>
      <c r="G122" s="221" t="s">
        <v>583</v>
      </c>
      <c r="H122" s="221" t="s">
        <v>583</v>
      </c>
      <c r="I122" s="221" t="s">
        <v>583</v>
      </c>
      <c r="J122" s="221" t="s">
        <v>583</v>
      </c>
    </row>
    <row r="123" spans="1:38" x14ac:dyDescent="0.35">
      <c r="A123" s="220" t="s">
        <v>539</v>
      </c>
      <c r="B123" s="221">
        <f>B101+B117</f>
        <v>0.65027416556106665</v>
      </c>
      <c r="C123" s="221">
        <f t="shared" ref="C123:J123" si="84">C101+C117</f>
        <v>0.7468463815455394</v>
      </c>
      <c r="D123" s="221">
        <f t="shared" si="84"/>
        <v>1.1422760028581698</v>
      </c>
      <c r="E123" s="221">
        <f t="shared" si="84"/>
        <v>0.53999081351448486</v>
      </c>
      <c r="F123" s="224">
        <f t="shared" si="84"/>
        <v>0.72193432519313727</v>
      </c>
      <c r="G123" s="224">
        <f t="shared" si="84"/>
        <v>0.77476016270946557</v>
      </c>
      <c r="H123" s="224">
        <f t="shared" si="84"/>
        <v>0.78907626057998814</v>
      </c>
      <c r="I123" s="224">
        <f t="shared" si="84"/>
        <v>0.79612158433516655</v>
      </c>
      <c r="J123" s="224">
        <f t="shared" si="84"/>
        <v>0.82678869736905669</v>
      </c>
    </row>
    <row r="124" spans="1:38" x14ac:dyDescent="0.35">
      <c r="A124" s="220" t="s">
        <v>543</v>
      </c>
      <c r="B124" s="221">
        <f>B104+B118</f>
        <v>6.4989410600169792</v>
      </c>
      <c r="C124" s="221">
        <f t="shared" ref="C124:J124" si="85">C104+C118</f>
        <v>6.57174053319764</v>
      </c>
      <c r="D124" s="221">
        <f t="shared" si="85"/>
        <v>5.6354731641051865</v>
      </c>
      <c r="E124" s="221">
        <f t="shared" si="85"/>
        <v>5.6173394795589608</v>
      </c>
      <c r="F124" s="224">
        <f t="shared" si="85"/>
        <v>5.7287722578976581</v>
      </c>
      <c r="G124" s="224">
        <f t="shared" si="85"/>
        <v>6.1479616244411996</v>
      </c>
      <c r="H124" s="224">
        <f t="shared" si="85"/>
        <v>6.2615642908611084</v>
      </c>
      <c r="I124" s="224">
        <f t="shared" si="85"/>
        <v>6.3174711148866542</v>
      </c>
      <c r="J124" s="224">
        <f t="shared" si="85"/>
        <v>6.5608241461078256</v>
      </c>
    </row>
    <row r="125" spans="1:38" x14ac:dyDescent="0.35">
      <c r="A125" s="220" t="s">
        <v>546</v>
      </c>
      <c r="B125" s="221">
        <f>B107+B119</f>
        <v>16.818793503136018</v>
      </c>
      <c r="C125" s="221">
        <f t="shared" ref="C125:J125" si="86">C107+C119</f>
        <v>16.74933030974038</v>
      </c>
      <c r="D125" s="221">
        <f t="shared" si="86"/>
        <v>14.456712718546195</v>
      </c>
      <c r="E125" s="221">
        <f t="shared" si="86"/>
        <v>14.110403922949104</v>
      </c>
      <c r="F125" s="224">
        <f t="shared" si="86"/>
        <v>14.629820146975039</v>
      </c>
      <c r="G125" s="224">
        <f t="shared" si="86"/>
        <v>15.700322649776044</v>
      </c>
      <c r="H125" s="224">
        <f t="shared" si="86"/>
        <v>15.990434824448176</v>
      </c>
      <c r="I125" s="224">
        <f t="shared" si="86"/>
        <v>16.133206563952179</v>
      </c>
      <c r="J125" s="224">
        <f t="shared" si="86"/>
        <v>16.754668007820687</v>
      </c>
    </row>
    <row r="126" spans="1:38" x14ac:dyDescent="0.35">
      <c r="A126" s="220" t="s">
        <v>549</v>
      </c>
      <c r="B126" s="221">
        <f>B110+B120</f>
        <v>26.788129761855636</v>
      </c>
      <c r="C126" s="221">
        <f t="shared" ref="C126:J126" si="87">C110+C120</f>
        <v>27.066211823547295</v>
      </c>
      <c r="D126" s="221">
        <f t="shared" si="87"/>
        <v>27.70365457246951</v>
      </c>
      <c r="E126" s="221">
        <f t="shared" si="87"/>
        <v>27.222375946930619</v>
      </c>
      <c r="F126" s="224">
        <f t="shared" si="87"/>
        <v>25.677447622973986</v>
      </c>
      <c r="G126" s="224">
        <f t="shared" si="87"/>
        <v>27.556334148562541</v>
      </c>
      <c r="H126" s="224">
        <f t="shared" si="87"/>
        <v>28.065522921568139</v>
      </c>
      <c r="I126" s="224">
        <f t="shared" si="87"/>
        <v>28.316107947653567</v>
      </c>
      <c r="J126" s="224">
        <f t="shared" si="87"/>
        <v>29.406862551217912</v>
      </c>
    </row>
    <row r="127" spans="1:38" x14ac:dyDescent="0.35">
      <c r="A127" s="220" t="s">
        <v>552</v>
      </c>
      <c r="B127" s="221">
        <f>B113+B121</f>
        <v>1.0632275475770274</v>
      </c>
      <c r="C127" s="221">
        <f t="shared" ref="C127:J127" si="88">C113+C121</f>
        <v>0.85891657842404823</v>
      </c>
      <c r="D127" s="221">
        <f t="shared" si="88"/>
        <v>0.7531686195534093</v>
      </c>
      <c r="E127" s="221">
        <f t="shared" si="88"/>
        <v>1.15029464011809</v>
      </c>
      <c r="F127" s="224">
        <f>F113+F121</f>
        <v>0.90794419726754283</v>
      </c>
      <c r="G127" s="224">
        <f t="shared" si="88"/>
        <v>0.97438086742575547</v>
      </c>
      <c r="H127" s="224">
        <f t="shared" si="88"/>
        <v>0.99238557718322251</v>
      </c>
      <c r="I127" s="224">
        <f t="shared" si="88"/>
        <v>1.001246162693787</v>
      </c>
      <c r="J127" s="224">
        <f t="shared" si="88"/>
        <v>1.0398148057883223</v>
      </c>
    </row>
    <row r="130" spans="1:13" x14ac:dyDescent="0.35">
      <c r="K130" s="242">
        <f>_xlfn.FORECAST.ETS(J37,C131:I131,C37:I37)</f>
        <v>5.3666144448005201E-2</v>
      </c>
    </row>
    <row r="131" spans="1:13" x14ac:dyDescent="0.35">
      <c r="A131" s="243" t="s">
        <v>595</v>
      </c>
      <c r="C131" s="67">
        <f>C133/B133-1</f>
        <v>5.1524710830704423E-2</v>
      </c>
      <c r="D131" s="67">
        <f t="shared" ref="D131:I131" si="89">D133/C133-1</f>
        <v>1.7127018492215651E-2</v>
      </c>
      <c r="E131" s="67">
        <f t="shared" si="89"/>
        <v>-5.8691142775796901E-2</v>
      </c>
      <c r="F131" s="67">
        <f t="shared" si="89"/>
        <v>5.7611983292524815E-3</v>
      </c>
      <c r="G131" s="67">
        <f t="shared" si="89"/>
        <v>0.1028211370471146</v>
      </c>
      <c r="H131" s="67">
        <f t="shared" si="89"/>
        <v>4.1033631995844644E-2</v>
      </c>
      <c r="I131" s="67">
        <f t="shared" si="89"/>
        <v>3.056005987277044E-2</v>
      </c>
      <c r="J131" s="67">
        <f>J133/I133-1</f>
        <v>5.3666144448005104E-2</v>
      </c>
      <c r="L131" s="99" t="s">
        <v>523</v>
      </c>
    </row>
    <row r="132" spans="1:13" x14ac:dyDescent="0.35">
      <c r="A132" s="5" t="s">
        <v>554</v>
      </c>
      <c r="B132" s="5">
        <v>2017</v>
      </c>
      <c r="C132" s="5">
        <v>2018</v>
      </c>
      <c r="D132" s="5">
        <v>2019</v>
      </c>
      <c r="E132" s="5">
        <v>2020</v>
      </c>
      <c r="F132" s="5">
        <v>2021</v>
      </c>
      <c r="G132" s="5">
        <v>2022</v>
      </c>
      <c r="H132" s="5">
        <v>2023</v>
      </c>
      <c r="I132" s="5">
        <v>2024</v>
      </c>
      <c r="J132" s="5">
        <v>2025</v>
      </c>
      <c r="L132" t="s">
        <v>525</v>
      </c>
    </row>
    <row r="133" spans="1:13" x14ac:dyDescent="0.35">
      <c r="A133" s="220" t="s">
        <v>596</v>
      </c>
      <c r="B133" s="221">
        <f>C133*(1-0.049)</f>
        <v>689.63666999999998</v>
      </c>
      <c r="C133" s="221">
        <v>725.17</v>
      </c>
      <c r="D133" s="221">
        <v>737.59</v>
      </c>
      <c r="E133" s="221">
        <v>694.3</v>
      </c>
      <c r="F133" s="222">
        <v>698.3</v>
      </c>
      <c r="G133" s="222">
        <v>770.1</v>
      </c>
      <c r="H133" s="222">
        <v>801.7</v>
      </c>
      <c r="I133" s="222">
        <v>826.2</v>
      </c>
      <c r="J133" s="221">
        <f>I133*(1+K130)</f>
        <v>870.53896854294192</v>
      </c>
      <c r="L133" s="67" t="s">
        <v>527</v>
      </c>
      <c r="M133" s="67">
        <f>(I133/F133)^(1/4)-1</f>
        <v>4.2943512919848326E-2</v>
      </c>
    </row>
    <row r="134" spans="1:13" x14ac:dyDescent="0.35">
      <c r="A134" s="220" t="s">
        <v>559</v>
      </c>
      <c r="B134" s="221">
        <f>B11</f>
        <v>68.41</v>
      </c>
      <c r="C134" s="221">
        <f>C11</f>
        <v>67.3</v>
      </c>
      <c r="D134" s="221">
        <f>D11</f>
        <v>67</v>
      </c>
      <c r="E134" s="221">
        <f>E11</f>
        <v>62.8</v>
      </c>
      <c r="F134" s="224">
        <f>F133*F135</f>
        <v>65.167131852290424</v>
      </c>
      <c r="G134" s="224">
        <f t="shared" ref="G134:J134" si="90">G133*G135</f>
        <v>71.867690447442158</v>
      </c>
      <c r="H134" s="224">
        <f t="shared" si="90"/>
        <v>74.816682809653798</v>
      </c>
      <c r="I134" s="224">
        <f t="shared" si="90"/>
        <v>77.103085115798876</v>
      </c>
      <c r="J134" s="224">
        <f t="shared" si="90"/>
        <v>81.240910419010177</v>
      </c>
    </row>
    <row r="135" spans="1:13" x14ac:dyDescent="0.35">
      <c r="A135" s="220" t="s">
        <v>561</v>
      </c>
      <c r="B135" s="70">
        <f>B134/B133</f>
        <v>9.9197161311042226E-2</v>
      </c>
      <c r="C135" s="70">
        <f t="shared" ref="C135:E135" si="91">C134/C133</f>
        <v>9.2805824841071749E-2</v>
      </c>
      <c r="D135" s="70">
        <f t="shared" si="91"/>
        <v>9.0836372510473301E-2</v>
      </c>
      <c r="E135" s="70">
        <f t="shared" si="91"/>
        <v>9.0450813769264005E-2</v>
      </c>
      <c r="F135" s="70">
        <f>$B$136</f>
        <v>9.3322543107962813E-2</v>
      </c>
      <c r="G135" s="70">
        <f>$B$136</f>
        <v>9.3322543107962813E-2</v>
      </c>
      <c r="H135" s="70">
        <f>$B$136</f>
        <v>9.3322543107962813E-2</v>
      </c>
      <c r="I135" s="70">
        <f>$B$136</f>
        <v>9.3322543107962813E-2</v>
      </c>
      <c r="J135" s="70">
        <f>$B$136</f>
        <v>9.3322543107962813E-2</v>
      </c>
    </row>
    <row r="136" spans="1:13" x14ac:dyDescent="0.35">
      <c r="A136" s="227" t="s">
        <v>530</v>
      </c>
      <c r="B136" s="228">
        <f>AVERAGE(B135:E135)</f>
        <v>9.3322543107962813E-2</v>
      </c>
      <c r="C136" s="228"/>
      <c r="D136" s="228"/>
      <c r="E136" s="228"/>
      <c r="F136" s="229"/>
      <c r="G136" s="5"/>
      <c r="H136" s="5"/>
      <c r="I136" s="5"/>
      <c r="J136" s="229"/>
      <c r="L136" s="226"/>
    </row>
    <row r="138" spans="1:13" x14ac:dyDescent="0.35">
      <c r="A138" s="5" t="s">
        <v>592</v>
      </c>
      <c r="B138" s="5">
        <v>2017</v>
      </c>
      <c r="C138" s="5">
        <v>2018</v>
      </c>
      <c r="D138" s="5">
        <v>2019</v>
      </c>
      <c r="E138" s="5">
        <v>2020</v>
      </c>
      <c r="F138" s="5">
        <v>2021</v>
      </c>
      <c r="G138" s="5">
        <v>2022</v>
      </c>
      <c r="H138" s="5">
        <v>2023</v>
      </c>
      <c r="I138" s="5">
        <v>2024</v>
      </c>
      <c r="J138" s="5">
        <v>2025</v>
      </c>
    </row>
    <row r="139" spans="1:13" x14ac:dyDescent="0.35">
      <c r="A139" s="220" t="s">
        <v>593</v>
      </c>
      <c r="B139" s="221">
        <f>B134</f>
        <v>68.41</v>
      </c>
      <c r="C139" s="221">
        <f t="shared" ref="C139:J139" si="92">C134</f>
        <v>67.3</v>
      </c>
      <c r="D139" s="221">
        <f t="shared" si="92"/>
        <v>67</v>
      </c>
      <c r="E139" s="221">
        <f t="shared" si="92"/>
        <v>62.8</v>
      </c>
      <c r="F139" s="221">
        <f t="shared" si="92"/>
        <v>65.167131852290424</v>
      </c>
      <c r="G139" s="221">
        <f t="shared" si="92"/>
        <v>71.867690447442158</v>
      </c>
      <c r="H139" s="221">
        <f t="shared" si="92"/>
        <v>74.816682809653798</v>
      </c>
      <c r="I139" s="221">
        <f t="shared" si="92"/>
        <v>77.103085115798876</v>
      </c>
      <c r="J139" s="221">
        <f t="shared" si="92"/>
        <v>81.240910419010177</v>
      </c>
      <c r="L139" s="226"/>
    </row>
    <row r="140" spans="1:13" x14ac:dyDescent="0.35">
      <c r="A140" s="220" t="s">
        <v>594</v>
      </c>
      <c r="B140" s="221">
        <v>63.91</v>
      </c>
      <c r="C140" s="221">
        <v>62.03</v>
      </c>
      <c r="D140" s="221">
        <v>61.77</v>
      </c>
      <c r="E140" s="221">
        <v>56.43</v>
      </c>
      <c r="F140" s="224">
        <f>F139*F141</f>
        <v>59.895456737468237</v>
      </c>
      <c r="G140" s="224">
        <f t="shared" ref="G140:J140" si="93">G139*G141</f>
        <v>66.053975703170977</v>
      </c>
      <c r="H140" s="224">
        <f t="shared" si="93"/>
        <v>68.764410234037371</v>
      </c>
      <c r="I140" s="224">
        <f t="shared" si="93"/>
        <v>70.865854727905287</v>
      </c>
      <c r="J140" s="224">
        <f t="shared" si="93"/>
        <v>74.668951924164404</v>
      </c>
    </row>
    <row r="141" spans="1:13" x14ac:dyDescent="0.35">
      <c r="A141" s="220" t="s">
        <v>544</v>
      </c>
      <c r="B141" s="70">
        <f>B140/B139</f>
        <v>0.93422014325391023</v>
      </c>
      <c r="C141" s="70">
        <f t="shared" ref="C141:E141" si="94">C140/C139</f>
        <v>0.92169390787518579</v>
      </c>
      <c r="D141" s="70">
        <f t="shared" si="94"/>
        <v>0.92194029850746273</v>
      </c>
      <c r="E141" s="70">
        <f t="shared" si="94"/>
        <v>0.89856687898089171</v>
      </c>
      <c r="F141" s="70">
        <f>$B$142</f>
        <v>0.91910530715436256</v>
      </c>
      <c r="G141" s="70">
        <f>$B$142</f>
        <v>0.91910530715436256</v>
      </c>
      <c r="H141" s="70">
        <f>$B$142</f>
        <v>0.91910530715436256</v>
      </c>
      <c r="I141" s="70">
        <f>$B$142</f>
        <v>0.91910530715436256</v>
      </c>
      <c r="J141" s="70">
        <f>$B$142</f>
        <v>0.91910530715436256</v>
      </c>
    </row>
    <row r="142" spans="1:13" x14ac:dyDescent="0.35">
      <c r="A142" s="227" t="s">
        <v>545</v>
      </c>
      <c r="B142" s="228">
        <f>AVERAGE(B141:E141)</f>
        <v>0.91910530715436256</v>
      </c>
      <c r="C142" s="228"/>
      <c r="D142" s="228"/>
      <c r="E142" s="228"/>
      <c r="F142" s="229" t="s">
        <v>583</v>
      </c>
      <c r="G142" s="229" t="s">
        <v>583</v>
      </c>
      <c r="H142" s="229" t="s">
        <v>583</v>
      </c>
      <c r="I142" s="229" t="s">
        <v>583</v>
      </c>
      <c r="J142" s="229" t="s">
        <v>583</v>
      </c>
    </row>
    <row r="146" spans="1:28" x14ac:dyDescent="0.35">
      <c r="A146" t="s">
        <v>597</v>
      </c>
      <c r="J146" s="223">
        <f>_xlfn.FORECAST.ETS(J148,B149:I149,B148:I148)</f>
        <v>75.855572731097709</v>
      </c>
    </row>
    <row r="147" spans="1:28" x14ac:dyDescent="0.35">
      <c r="A147" t="s">
        <v>522</v>
      </c>
    </row>
    <row r="148" spans="1:28" x14ac:dyDescent="0.35">
      <c r="A148" s="5" t="s">
        <v>598</v>
      </c>
      <c r="B148" s="5">
        <v>2017</v>
      </c>
      <c r="C148" s="5">
        <v>2018</v>
      </c>
      <c r="D148" s="5">
        <v>2019</v>
      </c>
      <c r="E148" s="5">
        <v>2020</v>
      </c>
      <c r="F148" s="5">
        <v>2021</v>
      </c>
      <c r="G148" s="5">
        <v>2022</v>
      </c>
      <c r="H148" s="5">
        <v>2023</v>
      </c>
      <c r="I148" s="5">
        <v>2024</v>
      </c>
      <c r="J148" s="5">
        <v>2025</v>
      </c>
    </row>
    <row r="149" spans="1:28" x14ac:dyDescent="0.35">
      <c r="A149" s="220" t="s">
        <v>599</v>
      </c>
      <c r="B149" s="5">
        <v>58.35</v>
      </c>
      <c r="C149" s="5">
        <v>62.71</v>
      </c>
      <c r="D149" s="5">
        <v>64.739999999999995</v>
      </c>
      <c r="E149" s="5">
        <v>72.150000000000006</v>
      </c>
      <c r="F149" s="102">
        <v>73.3</v>
      </c>
      <c r="G149" s="102">
        <v>71.8</v>
      </c>
      <c r="H149" s="102">
        <v>72.599999999999994</v>
      </c>
      <c r="I149" s="102">
        <v>73.599999999999994</v>
      </c>
      <c r="J149" s="102">
        <f>J146</f>
        <v>75.855572731097709</v>
      </c>
      <c r="K149" s="223"/>
      <c r="L149" s="99" t="s">
        <v>600</v>
      </c>
    </row>
    <row r="150" spans="1:28" x14ac:dyDescent="0.35">
      <c r="A150" s="220" t="s">
        <v>601</v>
      </c>
      <c r="B150" s="5">
        <v>7.3</v>
      </c>
      <c r="C150" s="5">
        <v>7.3</v>
      </c>
      <c r="D150" s="5">
        <v>7.3</v>
      </c>
      <c r="E150" s="5">
        <v>7.3</v>
      </c>
      <c r="F150" s="5">
        <v>7.3</v>
      </c>
      <c r="G150" s="5">
        <v>7.3</v>
      </c>
      <c r="H150" s="5">
        <v>7.3</v>
      </c>
      <c r="I150" s="5">
        <v>7.3</v>
      </c>
      <c r="J150" s="5">
        <v>7.3</v>
      </c>
      <c r="W150" s="218"/>
      <c r="X150" s="218"/>
      <c r="Y150" s="218"/>
      <c r="Z150" s="218"/>
    </row>
    <row r="151" spans="1:28" x14ac:dyDescent="0.35">
      <c r="A151" s="220" t="s">
        <v>602</v>
      </c>
      <c r="B151" s="221">
        <v>24</v>
      </c>
      <c r="C151" s="221">
        <v>32.6</v>
      </c>
      <c r="D151" s="221">
        <v>31.5</v>
      </c>
      <c r="E151" s="221">
        <v>23.7</v>
      </c>
      <c r="F151" s="224">
        <f>F152*F149*F150/1000</f>
        <v>33.60355206881809</v>
      </c>
      <c r="G151" s="224">
        <f t="shared" ref="G151:J151" si="95">G152*G149*G150/1000</f>
        <v>30.898287977582548</v>
      </c>
      <c r="H151" s="224">
        <f t="shared" si="95"/>
        <v>30.54594371806045</v>
      </c>
      <c r="I151" s="224">
        <f t="shared" si="95"/>
        <v>30.664025262806259</v>
      </c>
      <c r="J151" s="224">
        <f t="shared" si="95"/>
        <v>35.243030783121604</v>
      </c>
      <c r="W151" s="218"/>
      <c r="X151" s="218"/>
      <c r="Y151" s="218"/>
      <c r="Z151" s="218"/>
    </row>
    <row r="152" spans="1:28" x14ac:dyDescent="0.35">
      <c r="A152" s="227" t="s">
        <v>603</v>
      </c>
      <c r="B152" s="244">
        <f t="shared" ref="B152:D152" si="96">(B151*1000)/B149/B150</f>
        <v>56.343979997887104</v>
      </c>
      <c r="C152" s="244">
        <f t="shared" si="96"/>
        <v>71.212779854210396</v>
      </c>
      <c r="D152" s="244">
        <f t="shared" si="96"/>
        <v>66.652278238348558</v>
      </c>
      <c r="E152" s="244">
        <f>(E151*1000)/E149/E150</f>
        <v>44.997579244154586</v>
      </c>
      <c r="F152" s="244">
        <f>$W$189+$W$190*F157</f>
        <v>62.79981324416098</v>
      </c>
      <c r="G152" s="244">
        <f>$W$189+$W$190*G157</f>
        <v>58.950448310723381</v>
      </c>
      <c r="H152" s="244">
        <f>$W$189+$W$190*H157</f>
        <v>57.63603101637883</v>
      </c>
      <c r="I152" s="244">
        <f>$W$189+$W$190*I157</f>
        <v>57.072709318802602</v>
      </c>
      <c r="J152" s="244">
        <f>$W$189+$W$190*J157</f>
        <v>63.644795790525336</v>
      </c>
      <c r="W152" s="218"/>
      <c r="X152" s="218"/>
      <c r="Y152" s="218"/>
      <c r="Z152" s="218"/>
    </row>
    <row r="153" spans="1:28" x14ac:dyDescent="0.35">
      <c r="A153" s="220" t="s">
        <v>604</v>
      </c>
      <c r="B153" s="221">
        <v>23.1</v>
      </c>
      <c r="C153" s="221">
        <v>33.200000000000003</v>
      </c>
      <c r="D153" s="221">
        <v>29.5</v>
      </c>
      <c r="E153" s="221">
        <v>21.6</v>
      </c>
      <c r="F153" s="224">
        <f>F154*F149*F150/1000</f>
        <v>32.619153574776405</v>
      </c>
      <c r="G153" s="224">
        <f t="shared" ref="G153:J153" si="97">G154*G149*G150/1000</f>
        <v>29.654339609277628</v>
      </c>
      <c r="H153" s="224">
        <f t="shared" si="97"/>
        <v>29.191565649990324</v>
      </c>
      <c r="I153" s="224">
        <f t="shared" si="97"/>
        <v>29.249034830910109</v>
      </c>
      <c r="J153" s="224">
        <f t="shared" si="97"/>
        <v>34.289175935421262</v>
      </c>
      <c r="L153" s="226"/>
      <c r="W153" s="218"/>
      <c r="X153" s="218"/>
      <c r="Y153" s="218"/>
      <c r="Z153" s="218"/>
    </row>
    <row r="154" spans="1:28" x14ac:dyDescent="0.35">
      <c r="A154" s="227" t="s">
        <v>605</v>
      </c>
      <c r="B154" s="244">
        <f t="shared" ref="B154:D154" si="98">(B153*1000)/B149/B150</f>
        <v>54.231080747966338</v>
      </c>
      <c r="C154" s="244">
        <f t="shared" si="98"/>
        <v>72.523444514103844</v>
      </c>
      <c r="D154" s="244">
        <f t="shared" si="98"/>
        <v>62.42038755654864</v>
      </c>
      <c r="E154" s="244">
        <f>(E153*1000)/E149/E150</f>
        <v>41.010451969356076</v>
      </c>
      <c r="F154" s="244">
        <f>$W$209+$W$210*F157</f>
        <v>60.960125539210985</v>
      </c>
      <c r="G154" s="244">
        <f>$W$209+$W$210*G157</f>
        <v>56.577135134272581</v>
      </c>
      <c r="H154" s="244">
        <f>$W$209+$W$210*H157</f>
        <v>55.080504264293609</v>
      </c>
      <c r="I154" s="244">
        <f>$W$209+$W$210*I157</f>
        <v>54.439091034302628</v>
      </c>
      <c r="J154" s="244">
        <f>$W$209+$W$210*J157</f>
        <v>61.922245384197474</v>
      </c>
    </row>
    <row r="155" spans="1:28" x14ac:dyDescent="0.35">
      <c r="A155" s="220" t="s">
        <v>606</v>
      </c>
      <c r="B155" s="221">
        <v>21.9</v>
      </c>
      <c r="C155" s="221">
        <v>30.1</v>
      </c>
      <c r="D155" s="221">
        <v>28.8</v>
      </c>
      <c r="E155" s="221">
        <v>19.899999999999999</v>
      </c>
      <c r="F155" s="224">
        <f>F156*F149*F150/1000</f>
        <v>30.575075356405492</v>
      </c>
      <c r="G155" s="224">
        <f t="shared" ref="G155:J155" si="99">G156*G149*G150/1000</f>
        <v>27.817376413139815</v>
      </c>
      <c r="H155" s="224">
        <f t="shared" si="99"/>
        <v>27.391202631949209</v>
      </c>
      <c r="I155" s="224">
        <f t="shared" si="99"/>
        <v>27.448667906283621</v>
      </c>
      <c r="J155" s="224">
        <f t="shared" si="99"/>
        <v>32.135500301492776</v>
      </c>
    </row>
    <row r="156" spans="1:28" x14ac:dyDescent="0.35">
      <c r="A156" s="227" t="s">
        <v>607</v>
      </c>
      <c r="B156" s="244">
        <f>(B155*1000)/B149/B150</f>
        <v>51.413881748071979</v>
      </c>
      <c r="C156" s="244">
        <f>(C155*1000)/C149/C150</f>
        <v>65.751677104654391</v>
      </c>
      <c r="D156" s="244">
        <f>(D155*1000)/D149/D150</f>
        <v>60.939225817918675</v>
      </c>
      <c r="E156" s="244">
        <f>(E155*1000)/E149/E150</f>
        <v>37.782777508804905</v>
      </c>
      <c r="F156" s="244">
        <f>$W$235+$W$236*F157</f>
        <v>57.140061216628027</v>
      </c>
      <c r="G156" s="244">
        <f>$W$235+$W$236*G157</f>
        <v>53.07241655500404</v>
      </c>
      <c r="H156" s="244">
        <f>$W$235+$W$236*H157</f>
        <v>51.683464719327546</v>
      </c>
      <c r="I156" s="244">
        <f>$W$235+$W$236*I157</f>
        <v>51.088199646894772</v>
      </c>
      <c r="J156" s="244">
        <f>$W$235+$W$236*J157</f>
        <v>58.032958825277206</v>
      </c>
    </row>
    <row r="157" spans="1:28" x14ac:dyDescent="0.35">
      <c r="A157" s="227" t="s">
        <v>608</v>
      </c>
      <c r="B157" s="245">
        <f t="shared" ref="B157:D157" si="100">AVERAGE(B152,B154,B156)</f>
        <v>53.996314164641809</v>
      </c>
      <c r="C157" s="245">
        <f t="shared" si="100"/>
        <v>69.829300490989553</v>
      </c>
      <c r="D157" s="245">
        <f t="shared" si="100"/>
        <v>63.337297204271955</v>
      </c>
      <c r="E157" s="245">
        <f>AVERAGE(E152,E154,E156)</f>
        <v>41.263602907438525</v>
      </c>
      <c r="F157" s="245">
        <v>60.3</v>
      </c>
      <c r="G157" s="245">
        <v>56.2</v>
      </c>
      <c r="H157" s="245">
        <v>54.8</v>
      </c>
      <c r="I157" s="245">
        <v>54.2</v>
      </c>
      <c r="J157" s="245">
        <v>61.2</v>
      </c>
      <c r="L157" t="s">
        <v>609</v>
      </c>
      <c r="V157" s="211" t="s">
        <v>610</v>
      </c>
      <c r="W157" s="211" t="s">
        <v>603</v>
      </c>
      <c r="X157" s="211" t="s">
        <v>605</v>
      </c>
      <c r="Y157" s="211" t="s">
        <v>607</v>
      </c>
      <c r="Z157" s="211" t="s">
        <v>611</v>
      </c>
      <c r="AA157" s="220" t="s">
        <v>599</v>
      </c>
      <c r="AB157" s="211" t="s">
        <v>612</v>
      </c>
    </row>
    <row r="158" spans="1:28" x14ac:dyDescent="0.35">
      <c r="A158" s="220" t="s">
        <v>613</v>
      </c>
      <c r="B158" s="221">
        <v>16.7</v>
      </c>
      <c r="C158" s="221">
        <v>22.6</v>
      </c>
      <c r="D158" s="221">
        <v>23</v>
      </c>
      <c r="E158" s="221">
        <v>16.899999999999999</v>
      </c>
      <c r="F158" s="224">
        <f>F159*F149*F150/1000</f>
        <v>23.766341064869394</v>
      </c>
      <c r="G158" s="224">
        <f t="shared" ref="G158:J158" si="101">G159*G149*G150/1000</f>
        <v>21.877840126923488</v>
      </c>
      <c r="H158" s="224">
        <f t="shared" si="101"/>
        <v>21.6374867495304</v>
      </c>
      <c r="I158" s="224">
        <f t="shared" si="101"/>
        <v>21.725186943041926</v>
      </c>
      <c r="J158" s="224">
        <f t="shared" si="101"/>
        <v>24.920118555939084</v>
      </c>
      <c r="V158" s="211">
        <v>2017</v>
      </c>
      <c r="W158" s="212">
        <v>56.343979997887104</v>
      </c>
      <c r="X158" s="212">
        <v>54.231080747966338</v>
      </c>
      <c r="Y158" s="212">
        <v>51.413881748071979</v>
      </c>
      <c r="Z158" s="212">
        <v>53.996314164641809</v>
      </c>
      <c r="AA158" s="211">
        <v>58.35</v>
      </c>
      <c r="AB158" s="212">
        <v>39.206019415196437</v>
      </c>
    </row>
    <row r="159" spans="1:28" x14ac:dyDescent="0.35">
      <c r="A159" s="227" t="s">
        <v>612</v>
      </c>
      <c r="B159" s="244">
        <f>(B158*1000)/B149/B150</f>
        <v>39.206019415196437</v>
      </c>
      <c r="C159" s="244">
        <f>(C158*1000)/C149/C150</f>
        <v>49.368368855986347</v>
      </c>
      <c r="D159" s="244">
        <f>(D158*1000)/D149/D150</f>
        <v>48.666742840698937</v>
      </c>
      <c r="E159" s="244">
        <f>(E158*1000)/E149/E150</f>
        <v>32.086881401949896</v>
      </c>
      <c r="F159" s="244">
        <f>$W$259+$W$260*F157</f>
        <v>44.415595628528649</v>
      </c>
      <c r="G159" s="244">
        <f>$W$259+$W$260*G157</f>
        <v>41.740451266691132</v>
      </c>
      <c r="H159" s="244">
        <f>$W$259+$W$260*H157</f>
        <v>40.826987338258803</v>
      </c>
      <c r="I159" s="244">
        <f>$W$259+$W$260*I157</f>
        <v>40.435502797502096</v>
      </c>
      <c r="J159" s="244">
        <f>$W$259+$W$260*J157</f>
        <v>45.002822439663717</v>
      </c>
      <c r="V159" s="211">
        <v>2018</v>
      </c>
      <c r="W159" s="212">
        <v>71.212779854210396</v>
      </c>
      <c r="X159" s="212">
        <v>72.523444514103844</v>
      </c>
      <c r="Y159" s="212">
        <v>65.751677104654391</v>
      </c>
      <c r="Z159" s="212">
        <v>69.829300490989553</v>
      </c>
      <c r="AA159" s="212">
        <v>62.71</v>
      </c>
      <c r="AB159" s="212">
        <v>49.368368855986347</v>
      </c>
    </row>
    <row r="160" spans="1:28" x14ac:dyDescent="0.35">
      <c r="F160" s="67"/>
      <c r="V160" s="211">
        <v>2019</v>
      </c>
      <c r="W160" s="212">
        <v>66.652278238348558</v>
      </c>
      <c r="X160" s="212">
        <v>62.42038755654864</v>
      </c>
      <c r="Y160" s="212">
        <v>60.939225817918675</v>
      </c>
      <c r="Z160" s="212">
        <v>63.337297204271955</v>
      </c>
      <c r="AA160" s="212">
        <v>64.739999999999995</v>
      </c>
      <c r="AB160" s="212">
        <v>48.666742840698937</v>
      </c>
    </row>
    <row r="161" spans="1:52" x14ac:dyDescent="0.35">
      <c r="B161" s="218"/>
      <c r="C161" s="218"/>
      <c r="D161" s="218"/>
      <c r="E161" s="218"/>
      <c r="V161" s="211">
        <v>2020</v>
      </c>
      <c r="W161" s="212">
        <v>44.997579244154586</v>
      </c>
      <c r="X161" s="212">
        <v>41.010451969356076</v>
      </c>
      <c r="Y161" s="212">
        <v>37.782777508804905</v>
      </c>
      <c r="Z161" s="212">
        <v>41.263602907438525</v>
      </c>
      <c r="AA161" s="212">
        <v>72.150000000000006</v>
      </c>
      <c r="AB161" s="212">
        <v>32.086881401949896</v>
      </c>
    </row>
    <row r="162" spans="1:52" x14ac:dyDescent="0.35">
      <c r="A162" t="s">
        <v>570</v>
      </c>
    </row>
    <row r="163" spans="1:52" x14ac:dyDescent="0.35">
      <c r="A163" s="5" t="s">
        <v>614</v>
      </c>
      <c r="B163" s="5">
        <v>2017</v>
      </c>
      <c r="C163" s="5">
        <v>2018</v>
      </c>
      <c r="D163" s="5">
        <v>2019</v>
      </c>
      <c r="E163" s="5">
        <v>2020</v>
      </c>
      <c r="F163" s="5">
        <v>2021</v>
      </c>
      <c r="G163" s="5">
        <v>2022</v>
      </c>
      <c r="H163" s="5">
        <v>2023</v>
      </c>
      <c r="I163" s="5">
        <v>2024</v>
      </c>
      <c r="J163" s="5">
        <v>2025</v>
      </c>
    </row>
    <row r="164" spans="1:52" ht="15" thickBot="1" x14ac:dyDescent="0.4">
      <c r="A164" s="220" t="s">
        <v>615</v>
      </c>
      <c r="B164" s="246">
        <f>B157*B149*B150/1000</f>
        <v>23.000000000000004</v>
      </c>
      <c r="C164" s="246">
        <f t="shared" ref="C164:D164" si="102">C157*C149*C150/1000</f>
        <v>31.966666666666672</v>
      </c>
      <c r="D164" s="246">
        <f t="shared" si="102"/>
        <v>29.933333333333334</v>
      </c>
      <c r="E164" s="246">
        <f>E157*E149*E150/1000</f>
        <v>21.733333333333334</v>
      </c>
      <c r="F164" s="246">
        <f t="shared" ref="F164:J164" si="103">F157*F149*F150/1000</f>
        <v>32.265926999999998</v>
      </c>
      <c r="G164" s="246">
        <f t="shared" si="103"/>
        <v>29.456667999999997</v>
      </c>
      <c r="H164" s="246">
        <f t="shared" si="103"/>
        <v>29.042903999999997</v>
      </c>
      <c r="I164" s="246">
        <f t="shared" si="103"/>
        <v>29.120575999999996</v>
      </c>
      <c r="J164" s="246">
        <f t="shared" si="103"/>
        <v>33.889235673345212</v>
      </c>
      <c r="L164" s="226"/>
    </row>
    <row r="165" spans="1:52" x14ac:dyDescent="0.35">
      <c r="A165" s="220" t="s">
        <v>616</v>
      </c>
      <c r="B165" s="5">
        <v>35.200000000000003</v>
      </c>
      <c r="C165" s="5">
        <v>42.1</v>
      </c>
      <c r="D165" s="5">
        <v>39.5</v>
      </c>
      <c r="E165" s="5">
        <v>30.4</v>
      </c>
      <c r="F165" s="224">
        <f>$W$311+$W$312*F164</f>
        <v>42.246929000816536</v>
      </c>
      <c r="G165" s="224">
        <f>$W$311+$W$312*G164</f>
        <v>39.518158831739584</v>
      </c>
      <c r="H165" s="224">
        <f>$W$311+$W$312*H164</f>
        <v>39.116249694761478</v>
      </c>
      <c r="I165" s="224">
        <f>$W$311+$W$312*I164</f>
        <v>39.191696293516721</v>
      </c>
      <c r="J165" s="224">
        <f>$W$311+$W$312*J164</f>
        <v>43.823727823220707</v>
      </c>
      <c r="V165" s="97"/>
      <c r="W165" s="97" t="s">
        <v>610</v>
      </c>
      <c r="X165" s="97" t="s">
        <v>603</v>
      </c>
      <c r="Y165" s="97" t="s">
        <v>605</v>
      </c>
      <c r="Z165" s="97" t="s">
        <v>607</v>
      </c>
      <c r="AA165" s="97" t="s">
        <v>617</v>
      </c>
      <c r="AB165" s="97" t="s">
        <v>599</v>
      </c>
    </row>
    <row r="166" spans="1:52" x14ac:dyDescent="0.35">
      <c r="A166" s="220" t="s">
        <v>618</v>
      </c>
      <c r="B166" s="5">
        <v>27.9</v>
      </c>
      <c r="C166" s="5">
        <v>36.799999999999997</v>
      </c>
      <c r="D166" s="5">
        <v>31.9</v>
      </c>
      <c r="E166" s="5">
        <v>24.6</v>
      </c>
      <c r="F166" s="224">
        <f>$W$331+$W$332*F164</f>
        <v>35.911521251278316</v>
      </c>
      <c r="G166" s="224">
        <f>$W$331+$W$332*G164</f>
        <v>33.100294633245625</v>
      </c>
      <c r="H166" s="224">
        <f>$W$331+$W$332*H164</f>
        <v>32.686240831021024</v>
      </c>
      <c r="I166" s="224">
        <f>$W$331+$W$332*I164</f>
        <v>32.763967232850057</v>
      </c>
      <c r="J166" s="224">
        <f>$W$331+$W$332*J164</f>
        <v>37.535966897547105</v>
      </c>
      <c r="V166" t="s">
        <v>610</v>
      </c>
      <c r="W166">
        <v>1</v>
      </c>
    </row>
    <row r="167" spans="1:52" x14ac:dyDescent="0.35">
      <c r="A167" s="220" t="s">
        <v>619</v>
      </c>
      <c r="B167" s="221">
        <v>26.9</v>
      </c>
      <c r="C167" s="221">
        <v>37.9</v>
      </c>
      <c r="D167" s="221">
        <v>35.700000000000003</v>
      </c>
      <c r="E167" s="221">
        <v>24</v>
      </c>
      <c r="F167" s="224">
        <f>$W$353+$W$354*F164</f>
        <v>38.560528175257204</v>
      </c>
      <c r="G167" s="224">
        <f>$W$353+$W$354*G164</f>
        <v>34.835521391997965</v>
      </c>
      <c r="H167" s="224">
        <f>$W$353+$W$354*H164</f>
        <v>34.286880733849863</v>
      </c>
      <c r="I167" s="224">
        <f>$W$353+$W$354*I164</f>
        <v>34.389871852457759</v>
      </c>
      <c r="J167" s="224">
        <f>$W$353+$W$354*J164</f>
        <v>40.712994651126635</v>
      </c>
      <c r="V167" t="s">
        <v>603</v>
      </c>
      <c r="W167">
        <v>-0.42716930268383385</v>
      </c>
      <c r="X167">
        <v>1</v>
      </c>
    </row>
    <row r="168" spans="1:52" x14ac:dyDescent="0.35">
      <c r="A168" s="220" t="s">
        <v>620</v>
      </c>
      <c r="B168" s="221">
        <v>18.600000000000001</v>
      </c>
      <c r="C168" s="221">
        <v>25.9</v>
      </c>
      <c r="D168" s="221">
        <v>23</v>
      </c>
      <c r="E168" s="221">
        <v>17.2</v>
      </c>
      <c r="F168" s="224">
        <f>$W$373+$W$374*F164</f>
        <v>25.574729122414759</v>
      </c>
      <c r="G168" s="224">
        <f>$W$373+$W$374*G164</f>
        <v>23.370578934397848</v>
      </c>
      <c r="H168" s="224">
        <f>$W$373+$W$374*H164</f>
        <v>23.045938878641284</v>
      </c>
      <c r="I168" s="224">
        <f>$W$373+$W$374*I164</f>
        <v>23.106880484026778</v>
      </c>
      <c r="J168" s="224">
        <f>$W$373+$W$374*J164</f>
        <v>26.848380329926538</v>
      </c>
      <c r="V168" t="s">
        <v>605</v>
      </c>
      <c r="W168">
        <v>-0.48222544462617367</v>
      </c>
      <c r="X168">
        <v>0.98777158167609513</v>
      </c>
      <c r="Y168">
        <v>1</v>
      </c>
    </row>
    <row r="169" spans="1:52" x14ac:dyDescent="0.35">
      <c r="A169" s="220" t="s">
        <v>621</v>
      </c>
      <c r="B169" s="221">
        <v>26.6</v>
      </c>
      <c r="C169" s="221">
        <v>35.700000000000003</v>
      </c>
      <c r="D169" s="221">
        <v>27.2</v>
      </c>
      <c r="E169" s="221">
        <v>20.9</v>
      </c>
      <c r="F169" s="224">
        <f>$B$170</f>
        <v>27.6</v>
      </c>
      <c r="G169" s="224">
        <f t="shared" ref="G169:J169" si="104">$B$170</f>
        <v>27.6</v>
      </c>
      <c r="H169" s="224">
        <f t="shared" si="104"/>
        <v>27.6</v>
      </c>
      <c r="I169" s="224">
        <f t="shared" si="104"/>
        <v>27.6</v>
      </c>
      <c r="J169" s="224">
        <f t="shared" si="104"/>
        <v>27.6</v>
      </c>
    </row>
    <row r="170" spans="1:52" x14ac:dyDescent="0.35">
      <c r="A170" s="220" t="s">
        <v>622</v>
      </c>
      <c r="B170" s="247">
        <f>AVERAGE(B169:E169)</f>
        <v>27.6</v>
      </c>
      <c r="C170" s="188"/>
      <c r="D170" s="188"/>
      <c r="E170" s="188"/>
      <c r="F170" s="5" t="s">
        <v>583</v>
      </c>
      <c r="G170" s="5" t="s">
        <v>583</v>
      </c>
      <c r="H170" s="5" t="s">
        <v>583</v>
      </c>
      <c r="I170" s="5" t="s">
        <v>583</v>
      </c>
      <c r="J170" s="5" t="s">
        <v>583</v>
      </c>
      <c r="V170" t="s">
        <v>617</v>
      </c>
      <c r="W170">
        <v>-0.46523807086217916</v>
      </c>
      <c r="X170" s="248">
        <v>0.99806248611516557</v>
      </c>
      <c r="Y170" s="100">
        <v>0.99506101647893874</v>
      </c>
      <c r="Z170" s="100">
        <v>0.99799355146928892</v>
      </c>
      <c r="AA170">
        <v>1</v>
      </c>
    </row>
    <row r="171" spans="1:52" x14ac:dyDescent="0.35">
      <c r="X171" s="248"/>
      <c r="Y171" s="100"/>
      <c r="Z171" s="100"/>
      <c r="AR171" s="218"/>
      <c r="AS171" s="218"/>
      <c r="AT171" s="218"/>
      <c r="AU171" s="218"/>
      <c r="AV171" s="218"/>
      <c r="AW171" s="218"/>
      <c r="AX171" s="218"/>
      <c r="AY171" s="218"/>
      <c r="AZ171" s="218"/>
    </row>
    <row r="172" spans="1:52" ht="15" thickBot="1" x14ac:dyDescent="0.4">
      <c r="A172" s="5" t="s">
        <v>623</v>
      </c>
      <c r="B172" s="5">
        <v>2017</v>
      </c>
      <c r="C172" s="5">
        <v>2018</v>
      </c>
      <c r="D172" s="5">
        <v>2019</v>
      </c>
      <c r="E172" s="5">
        <v>2020</v>
      </c>
      <c r="F172" s="5">
        <v>2021</v>
      </c>
      <c r="G172" s="5">
        <v>2022</v>
      </c>
      <c r="H172" s="5">
        <v>2023</v>
      </c>
      <c r="I172" s="5">
        <v>2024</v>
      </c>
      <c r="J172" s="5">
        <v>2025</v>
      </c>
      <c r="V172" s="96" t="s">
        <v>599</v>
      </c>
      <c r="W172" s="96">
        <v>0.97304274308973204</v>
      </c>
      <c r="X172" s="96">
        <v>-0.54929217356256055</v>
      </c>
      <c r="Y172" s="96">
        <v>-0.57206994856011262</v>
      </c>
      <c r="Z172" s="96">
        <v>-0.59842796797406694</v>
      </c>
      <c r="AA172" s="96">
        <v>-0.57540157733009911</v>
      </c>
      <c r="AB172" s="96">
        <v>1</v>
      </c>
      <c r="AR172" s="218"/>
      <c r="AS172" s="218"/>
      <c r="AT172" s="218"/>
      <c r="AU172" s="218"/>
      <c r="AV172" s="218"/>
      <c r="AW172" s="218"/>
      <c r="AX172" s="218"/>
      <c r="AY172" s="218"/>
      <c r="AZ172" s="218"/>
    </row>
    <row r="173" spans="1:52" x14ac:dyDescent="0.35">
      <c r="A173" s="220" t="s">
        <v>567</v>
      </c>
      <c r="B173" s="221">
        <v>38.700000000000003</v>
      </c>
      <c r="C173" s="221">
        <v>39.9</v>
      </c>
      <c r="D173" s="221">
        <v>41.4</v>
      </c>
      <c r="E173" s="221">
        <v>37.200000000000003</v>
      </c>
      <c r="F173" s="221">
        <v>37.059120364407192</v>
      </c>
      <c r="G173" s="221">
        <v>39.770833885362848</v>
      </c>
      <c r="H173" s="221">
        <v>40.505723439188117</v>
      </c>
      <c r="I173" s="221">
        <v>40.505723439188117</v>
      </c>
      <c r="J173" s="221">
        <v>41.416339763150269</v>
      </c>
      <c r="AR173" s="218"/>
      <c r="AS173" s="218"/>
      <c r="AT173" s="218"/>
      <c r="AU173" s="218"/>
      <c r="AV173" s="218"/>
      <c r="AW173" s="218"/>
      <c r="AX173" s="218"/>
      <c r="AY173" s="218"/>
      <c r="AZ173" s="218"/>
    </row>
    <row r="174" spans="1:52" x14ac:dyDescent="0.35">
      <c r="A174" s="220" t="s">
        <v>616</v>
      </c>
      <c r="B174" s="5">
        <v>39.799999999999997</v>
      </c>
      <c r="C174" s="5">
        <v>43.7</v>
      </c>
      <c r="D174" s="221">
        <v>43.7</v>
      </c>
      <c r="E174" s="5">
        <v>45.6</v>
      </c>
      <c r="F174" s="5" t="s">
        <v>583</v>
      </c>
      <c r="G174" s="5" t="s">
        <v>583</v>
      </c>
      <c r="H174" s="5" t="s">
        <v>583</v>
      </c>
      <c r="I174" s="5" t="s">
        <v>583</v>
      </c>
      <c r="J174" s="5" t="s">
        <v>583</v>
      </c>
      <c r="V174" t="s">
        <v>624</v>
      </c>
      <c r="AR174" s="218"/>
      <c r="AS174" s="218"/>
      <c r="AT174" s="218"/>
      <c r="AU174" s="218"/>
      <c r="AV174" s="218"/>
      <c r="AW174" s="218"/>
      <c r="AX174" s="218"/>
      <c r="AY174" s="218"/>
      <c r="AZ174" s="218"/>
    </row>
    <row r="175" spans="1:52" x14ac:dyDescent="0.35">
      <c r="A175" s="220" t="s">
        <v>619</v>
      </c>
      <c r="B175" s="221">
        <v>34.6</v>
      </c>
      <c r="C175" s="221">
        <v>42</v>
      </c>
      <c r="D175" s="221">
        <v>43.3</v>
      </c>
      <c r="E175" s="221">
        <v>42.8</v>
      </c>
      <c r="F175" s="5" t="s">
        <v>583</v>
      </c>
      <c r="G175" s="5" t="s">
        <v>583</v>
      </c>
      <c r="H175" s="5" t="s">
        <v>583</v>
      </c>
      <c r="I175" s="5" t="s">
        <v>583</v>
      </c>
      <c r="J175" s="5" t="s">
        <v>583</v>
      </c>
      <c r="L175" s="226"/>
      <c r="AR175" s="218"/>
      <c r="AS175" s="218"/>
      <c r="AT175" s="218"/>
      <c r="AU175" s="218"/>
      <c r="AV175" s="218"/>
      <c r="AW175" s="218"/>
      <c r="AX175" s="218"/>
      <c r="AY175" s="218"/>
      <c r="AZ175" s="218"/>
    </row>
    <row r="176" spans="1:52" ht="15" thickBot="1" x14ac:dyDescent="0.4">
      <c r="A176" s="220" t="s">
        <v>620</v>
      </c>
      <c r="B176" s="221">
        <v>11.2</v>
      </c>
      <c r="C176" s="221">
        <v>15</v>
      </c>
      <c r="D176" s="221">
        <v>14</v>
      </c>
      <c r="E176" s="221">
        <v>10.9</v>
      </c>
      <c r="F176" s="5" t="s">
        <v>583</v>
      </c>
      <c r="G176" s="5" t="s">
        <v>583</v>
      </c>
      <c r="H176" s="5" t="s">
        <v>583</v>
      </c>
      <c r="I176" s="5" t="s">
        <v>583</v>
      </c>
      <c r="J176" s="5" t="s">
        <v>583</v>
      </c>
      <c r="AR176" s="218"/>
      <c r="AS176" s="218"/>
      <c r="AT176" s="218"/>
      <c r="AU176" s="218"/>
      <c r="AV176" s="218"/>
      <c r="AW176" s="218"/>
      <c r="AX176" s="218"/>
      <c r="AY176" s="218"/>
      <c r="AZ176" s="218"/>
    </row>
    <row r="177" spans="1:52" x14ac:dyDescent="0.35">
      <c r="A177" s="220" t="s">
        <v>625</v>
      </c>
      <c r="B177" s="221">
        <v>31.5</v>
      </c>
      <c r="C177" s="221">
        <v>42.5</v>
      </c>
      <c r="D177" s="221">
        <v>41.4</v>
      </c>
      <c r="E177" s="221">
        <v>33</v>
      </c>
      <c r="F177" s="5" t="s">
        <v>583</v>
      </c>
      <c r="G177" s="5" t="s">
        <v>583</v>
      </c>
      <c r="H177" s="5" t="s">
        <v>583</v>
      </c>
      <c r="I177" s="5" t="s">
        <v>583</v>
      </c>
      <c r="J177" s="5" t="s">
        <v>583</v>
      </c>
      <c r="V177" s="98" t="s">
        <v>289</v>
      </c>
      <c r="W177" s="98"/>
      <c r="AR177" s="218"/>
      <c r="AS177" s="218"/>
      <c r="AT177" s="218"/>
      <c r="AU177" s="218"/>
      <c r="AV177" s="218"/>
      <c r="AW177" s="218"/>
      <c r="AX177" s="218"/>
      <c r="AY177" s="218"/>
      <c r="AZ177" s="218"/>
    </row>
    <row r="178" spans="1:52" x14ac:dyDescent="0.35">
      <c r="A178" s="220" t="s">
        <v>626</v>
      </c>
      <c r="B178" s="221">
        <v>32</v>
      </c>
      <c r="C178" s="221">
        <v>34.700000000000003</v>
      </c>
      <c r="D178" s="221">
        <v>33.299999999999997</v>
      </c>
      <c r="E178" s="221">
        <v>28</v>
      </c>
      <c r="F178" s="5" t="s">
        <v>583</v>
      </c>
      <c r="G178" s="5" t="s">
        <v>583</v>
      </c>
      <c r="H178" s="5" t="s">
        <v>583</v>
      </c>
      <c r="I178" s="5" t="s">
        <v>583</v>
      </c>
      <c r="J178" s="5" t="s">
        <v>583</v>
      </c>
      <c r="V178" t="s">
        <v>290</v>
      </c>
      <c r="W178">
        <v>0.99806248611516557</v>
      </c>
    </row>
    <row r="179" spans="1:52" x14ac:dyDescent="0.35">
      <c r="A179" s="249" t="s">
        <v>627</v>
      </c>
      <c r="B179" s="221">
        <v>20</v>
      </c>
      <c r="C179" s="221">
        <v>27.3</v>
      </c>
      <c r="D179" s="221">
        <v>27</v>
      </c>
      <c r="E179" s="221">
        <v>26.2</v>
      </c>
      <c r="F179" s="5" t="s">
        <v>583</v>
      </c>
      <c r="G179" s="5" t="s">
        <v>583</v>
      </c>
      <c r="H179" s="5" t="s">
        <v>583</v>
      </c>
      <c r="I179" s="5" t="s">
        <v>583</v>
      </c>
      <c r="J179" s="5" t="s">
        <v>583</v>
      </c>
      <c r="V179" t="s">
        <v>292</v>
      </c>
      <c r="W179">
        <v>0.9941930892855777</v>
      </c>
      <c r="AR179" s="218"/>
      <c r="AS179" s="218"/>
      <c r="AT179" s="218"/>
      <c r="AU179" s="218"/>
      <c r="AV179" s="218"/>
      <c r="AW179" s="218"/>
      <c r="AX179" s="218"/>
      <c r="AY179" s="218"/>
      <c r="AZ179" s="218"/>
    </row>
    <row r="180" spans="1:52" x14ac:dyDescent="0.35">
      <c r="A180" s="220" t="s">
        <v>622</v>
      </c>
      <c r="B180" s="221">
        <v>13.7</v>
      </c>
      <c r="C180" s="221">
        <v>16.3</v>
      </c>
      <c r="D180" s="221">
        <v>17.100000000000001</v>
      </c>
      <c r="E180" s="221">
        <v>15.09</v>
      </c>
      <c r="F180" s="5" t="s">
        <v>583</v>
      </c>
      <c r="G180" s="5" t="s">
        <v>583</v>
      </c>
      <c r="H180" s="5" t="s">
        <v>583</v>
      </c>
      <c r="I180" s="5" t="s">
        <v>583</v>
      </c>
      <c r="J180" s="5" t="s">
        <v>583</v>
      </c>
      <c r="V180" t="s">
        <v>293</v>
      </c>
      <c r="W180">
        <v>0.8889572703900922</v>
      </c>
      <c r="AR180" s="218"/>
      <c r="AS180" s="218"/>
      <c r="AT180" s="218"/>
      <c r="AU180" s="218"/>
      <c r="AV180" s="218"/>
      <c r="AW180" s="218"/>
      <c r="AX180" s="218"/>
      <c r="AY180" s="218"/>
      <c r="AZ180" s="218"/>
    </row>
    <row r="181" spans="1:52" ht="15" thickBot="1" x14ac:dyDescent="0.4">
      <c r="A181" s="220" t="s">
        <v>628</v>
      </c>
      <c r="B181" s="5">
        <v>15.3</v>
      </c>
      <c r="C181" s="5">
        <v>14.2</v>
      </c>
      <c r="D181" s="221">
        <v>14.5</v>
      </c>
      <c r="E181" s="5">
        <v>12.7</v>
      </c>
      <c r="F181" s="5" t="s">
        <v>583</v>
      </c>
      <c r="G181" s="5" t="s">
        <v>583</v>
      </c>
      <c r="H181" s="5" t="s">
        <v>583</v>
      </c>
      <c r="I181" s="5" t="s">
        <v>583</v>
      </c>
      <c r="J181" s="5" t="s">
        <v>583</v>
      </c>
      <c r="V181" s="96" t="s">
        <v>294</v>
      </c>
      <c r="W181" s="96">
        <v>4</v>
      </c>
    </row>
    <row r="182" spans="1:52" x14ac:dyDescent="0.35">
      <c r="A182" s="220" t="s">
        <v>629</v>
      </c>
      <c r="B182" s="221">
        <v>11.8</v>
      </c>
      <c r="C182" s="221">
        <v>14.1</v>
      </c>
      <c r="D182" s="221">
        <v>15.4</v>
      </c>
      <c r="E182" s="221">
        <v>13.9</v>
      </c>
      <c r="F182" s="5" t="s">
        <v>583</v>
      </c>
      <c r="G182" s="5" t="s">
        <v>583</v>
      </c>
      <c r="H182" s="5" t="s">
        <v>583</v>
      </c>
      <c r="I182" s="5" t="s">
        <v>583</v>
      </c>
      <c r="J182" s="5" t="s">
        <v>583</v>
      </c>
      <c r="AR182" s="218"/>
      <c r="AS182" s="218"/>
      <c r="AT182" s="218"/>
      <c r="AU182" s="218"/>
      <c r="AV182" s="218"/>
      <c r="AW182" s="218"/>
      <c r="AX182" s="218"/>
      <c r="AY182" s="218"/>
      <c r="AZ182" s="218"/>
    </row>
    <row r="183" spans="1:52" ht="15" thickBot="1" x14ac:dyDescent="0.4">
      <c r="A183" s="220" t="s">
        <v>630</v>
      </c>
      <c r="B183" s="221">
        <v>3.2</v>
      </c>
      <c r="C183" s="221">
        <v>3.1</v>
      </c>
      <c r="D183" s="221">
        <v>3.3</v>
      </c>
      <c r="E183" s="221">
        <v>2.9</v>
      </c>
      <c r="F183" s="5" t="s">
        <v>583</v>
      </c>
      <c r="G183" s="5" t="s">
        <v>583</v>
      </c>
      <c r="H183" s="5" t="s">
        <v>583</v>
      </c>
      <c r="I183" s="5" t="s">
        <v>583</v>
      </c>
      <c r="J183" s="5" t="s">
        <v>583</v>
      </c>
      <c r="V183" t="s">
        <v>295</v>
      </c>
      <c r="AR183" s="218"/>
      <c r="AS183" s="218"/>
      <c r="AT183" s="218"/>
      <c r="AU183" s="218"/>
      <c r="AV183" s="218"/>
      <c r="AW183" s="218"/>
      <c r="AX183" s="218"/>
      <c r="AY183" s="218"/>
      <c r="AZ183" s="218"/>
    </row>
    <row r="184" spans="1:52" x14ac:dyDescent="0.35">
      <c r="A184" s="220" t="s">
        <v>631</v>
      </c>
      <c r="B184" s="221">
        <v>3.3</v>
      </c>
      <c r="C184" s="221">
        <v>3.5</v>
      </c>
      <c r="D184" s="221">
        <v>3.3</v>
      </c>
      <c r="E184" s="221">
        <v>2.6</v>
      </c>
      <c r="F184" s="5" t="s">
        <v>583</v>
      </c>
      <c r="G184" s="5" t="s">
        <v>583</v>
      </c>
      <c r="H184" s="5" t="s">
        <v>583</v>
      </c>
      <c r="I184" s="5" t="s">
        <v>583</v>
      </c>
      <c r="J184" s="5" t="s">
        <v>583</v>
      </c>
      <c r="V184" s="97"/>
      <c r="W184" s="97" t="s">
        <v>299</v>
      </c>
      <c r="X184" s="97" t="s">
        <v>300</v>
      </c>
      <c r="Y184" s="97" t="s">
        <v>301</v>
      </c>
      <c r="Z184" s="97" t="s">
        <v>302</v>
      </c>
      <c r="AA184" s="97" t="s">
        <v>303</v>
      </c>
    </row>
    <row r="185" spans="1:52" x14ac:dyDescent="0.35">
      <c r="A185" s="220" t="s">
        <v>632</v>
      </c>
      <c r="B185" s="221">
        <v>2.8</v>
      </c>
      <c r="C185" s="221">
        <v>2.8</v>
      </c>
      <c r="D185" s="221">
        <v>2.6</v>
      </c>
      <c r="E185" s="221">
        <v>2.4</v>
      </c>
      <c r="F185" s="5" t="s">
        <v>583</v>
      </c>
      <c r="G185" s="5" t="s">
        <v>583</v>
      </c>
      <c r="H185" s="5" t="s">
        <v>583</v>
      </c>
      <c r="I185" s="5" t="s">
        <v>583</v>
      </c>
      <c r="J185" s="5" t="s">
        <v>583</v>
      </c>
      <c r="V185" t="s">
        <v>297</v>
      </c>
      <c r="W185">
        <v>2</v>
      </c>
      <c r="X185">
        <v>1.580490057158807</v>
      </c>
      <c r="Y185">
        <v>0.79024502857940349</v>
      </c>
      <c r="AR185" s="218"/>
      <c r="AS185" s="218"/>
      <c r="AT185" s="218"/>
      <c r="AU185" s="218"/>
      <c r="AV185" s="218"/>
      <c r="AW185" s="218"/>
      <c r="AX185" s="218"/>
      <c r="AY185" s="218"/>
      <c r="AZ185" s="218"/>
    </row>
    <row r="186" spans="1:52" ht="15" thickBot="1" x14ac:dyDescent="0.4">
      <c r="A186" s="249" t="s">
        <v>633</v>
      </c>
      <c r="B186" s="221">
        <v>2.8</v>
      </c>
      <c r="C186" s="221">
        <v>3.1</v>
      </c>
      <c r="D186" s="221">
        <v>2.8</v>
      </c>
      <c r="E186" s="221">
        <v>1.9</v>
      </c>
      <c r="F186" s="5" t="s">
        <v>583</v>
      </c>
      <c r="G186" s="5" t="s">
        <v>583</v>
      </c>
      <c r="H186" s="5" t="s">
        <v>583</v>
      </c>
      <c r="I186" s="5" t="s">
        <v>583</v>
      </c>
      <c r="J186" s="5" t="s">
        <v>583</v>
      </c>
      <c r="L186" t="s">
        <v>634</v>
      </c>
      <c r="V186" s="96" t="s">
        <v>286</v>
      </c>
      <c r="W186" s="96">
        <v>3</v>
      </c>
      <c r="X186" s="96">
        <v>408.26098459722414</v>
      </c>
      <c r="Y186" s="96"/>
      <c r="Z186" s="96"/>
      <c r="AA186" s="96"/>
      <c r="AR186" s="218"/>
      <c r="AS186" s="218"/>
      <c r="AT186" s="218"/>
      <c r="AU186" s="218"/>
      <c r="AV186" s="218"/>
      <c r="AW186" s="218"/>
      <c r="AX186" s="218"/>
      <c r="AY186" s="218"/>
      <c r="AZ186" s="218"/>
    </row>
    <row r="187" spans="1:52" ht="15" thickBot="1" x14ac:dyDescent="0.4">
      <c r="A187" s="220" t="s">
        <v>635</v>
      </c>
      <c r="B187" s="221">
        <v>5.0999999999999996</v>
      </c>
      <c r="C187" s="221">
        <v>5</v>
      </c>
      <c r="D187" s="221">
        <v>4.9000000000000004</v>
      </c>
      <c r="E187" s="221">
        <v>5.0999999999999996</v>
      </c>
      <c r="F187" s="5" t="s">
        <v>583</v>
      </c>
      <c r="G187" s="5" t="s">
        <v>583</v>
      </c>
      <c r="H187" s="5" t="s">
        <v>583</v>
      </c>
      <c r="I187" s="5" t="s">
        <v>583</v>
      </c>
      <c r="J187" s="5" t="s">
        <v>583</v>
      </c>
    </row>
    <row r="188" spans="1:52" x14ac:dyDescent="0.35">
      <c r="A188" s="227" t="s">
        <v>636</v>
      </c>
      <c r="B188" s="221">
        <f>B181/B173*B174+B182/B173*B175+B183/B173*B176+B184/B173*B177+B185/B173*B178+B187/B173*B180+B186/B173*B179</f>
        <v>35.464599483204132</v>
      </c>
      <c r="C188" s="221">
        <f t="shared" ref="C188:E188" si="105">C181/C173*C174+C182/C173*C175+C183/C173*C176+C184/C173*C177+C185/C173*C178+C187/C173*C180+C186/C173*C179</f>
        <v>41.88671679197995</v>
      </c>
      <c r="D188" s="221">
        <f t="shared" si="105"/>
        <v>41.769565217391303</v>
      </c>
      <c r="E188" s="221">
        <f t="shared" si="105"/>
        <v>39.929811827956982</v>
      </c>
      <c r="F188" s="5" t="s">
        <v>583</v>
      </c>
      <c r="G188" s="5" t="s">
        <v>583</v>
      </c>
      <c r="H188" s="5" t="s">
        <v>583</v>
      </c>
      <c r="I188" s="5" t="s">
        <v>583</v>
      </c>
      <c r="J188" s="5" t="s">
        <v>583</v>
      </c>
      <c r="V188" s="97"/>
      <c r="W188" s="97" t="s">
        <v>304</v>
      </c>
      <c r="X188" s="97" t="s">
        <v>293</v>
      </c>
      <c r="Y188" s="97" t="s">
        <v>305</v>
      </c>
      <c r="Z188" s="97" t="s">
        <v>306</v>
      </c>
      <c r="AA188" s="97" t="s">
        <v>307</v>
      </c>
      <c r="AB188" s="97" t="s">
        <v>308</v>
      </c>
      <c r="AC188" s="97" t="s">
        <v>309</v>
      </c>
      <c r="AD188" s="97" t="s">
        <v>310</v>
      </c>
      <c r="AR188" s="218"/>
      <c r="AS188" s="218"/>
      <c r="AT188" s="218"/>
      <c r="AU188" s="218"/>
      <c r="AV188" s="218"/>
      <c r="AW188" s="218"/>
      <c r="AX188" s="218"/>
      <c r="AY188" s="218"/>
      <c r="AZ188" s="218"/>
    </row>
    <row r="189" spans="1:52" x14ac:dyDescent="0.35">
      <c r="A189" s="227" t="s">
        <v>637</v>
      </c>
      <c r="B189" s="239">
        <f>AVERAGE(B188:E188)</f>
        <v>39.76267333013309</v>
      </c>
      <c r="C189" s="240"/>
      <c r="D189" s="240"/>
      <c r="E189" s="241"/>
      <c r="F189" s="224">
        <f>$B$189*1.04</f>
        <v>41.353180263338416</v>
      </c>
      <c r="G189" s="224">
        <f>F189*1.04</f>
        <v>43.007307473871954</v>
      </c>
      <c r="H189" s="224">
        <f t="shared" ref="H189:J189" si="106">G189*1.04</f>
        <v>44.727599772826835</v>
      </c>
      <c r="I189" s="224">
        <f t="shared" si="106"/>
        <v>46.516703763739912</v>
      </c>
      <c r="J189" s="224">
        <f t="shared" si="106"/>
        <v>48.377371914289512</v>
      </c>
      <c r="V189" t="s">
        <v>298</v>
      </c>
      <c r="W189">
        <v>6.1859826377494258</v>
      </c>
      <c r="X189">
        <v>2.4048795194749144</v>
      </c>
      <c r="Y189">
        <v>2.5722630126186461</v>
      </c>
      <c r="Z189">
        <v>0.12370770284789345</v>
      </c>
      <c r="AA189">
        <v>-4.1613787914378939</v>
      </c>
      <c r="AB189">
        <v>16.533344066936746</v>
      </c>
      <c r="AC189">
        <v>-4.1613787914378939</v>
      </c>
      <c r="AD189">
        <v>16.533344066936746</v>
      </c>
      <c r="AR189" s="218"/>
      <c r="AS189" s="218"/>
      <c r="AT189" s="218"/>
      <c r="AU189" s="218"/>
      <c r="AV189" s="218"/>
      <c r="AW189" s="218"/>
      <c r="AX189" s="218"/>
      <c r="AY189" s="218"/>
      <c r="AZ189" s="218"/>
    </row>
    <row r="190" spans="1:52" ht="15" thickBot="1" x14ac:dyDescent="0.4">
      <c r="V190" s="96" t="s">
        <v>611</v>
      </c>
      <c r="W190" s="96">
        <v>0.9388694959603906</v>
      </c>
      <c r="X190" s="96">
        <v>4.1386570843983901E-2</v>
      </c>
      <c r="Y190" s="96">
        <v>22.685365731306245</v>
      </c>
      <c r="Z190" s="96">
        <v>1.9375138848343884E-3</v>
      </c>
      <c r="AA190" s="96">
        <v>0.76079745394355369</v>
      </c>
      <c r="AB190" s="96">
        <v>1.1169415379772274</v>
      </c>
      <c r="AC190" s="96">
        <v>0.76079745394355369</v>
      </c>
      <c r="AD190" s="96">
        <v>1.1169415379772274</v>
      </c>
    </row>
    <row r="192" spans="1:52" x14ac:dyDescent="0.35">
      <c r="A192" s="243" t="s">
        <v>595</v>
      </c>
      <c r="D192" s="67"/>
      <c r="E192" s="67"/>
      <c r="L192" s="250"/>
    </row>
    <row r="193" spans="1:52" x14ac:dyDescent="0.35">
      <c r="A193" s="5" t="s">
        <v>638</v>
      </c>
      <c r="B193" s="5">
        <v>2017</v>
      </c>
      <c r="C193" s="5">
        <v>2018</v>
      </c>
      <c r="D193" s="5">
        <v>2019</v>
      </c>
      <c r="E193" s="5">
        <v>2020</v>
      </c>
      <c r="F193" s="5">
        <v>2021</v>
      </c>
      <c r="G193" s="5">
        <v>2022</v>
      </c>
      <c r="H193" s="5">
        <v>2023</v>
      </c>
      <c r="I193" s="5">
        <v>2024</v>
      </c>
      <c r="J193" s="5">
        <v>2025</v>
      </c>
      <c r="L193" s="251" t="s">
        <v>639</v>
      </c>
      <c r="M193" s="252"/>
      <c r="N193" s="252"/>
      <c r="O193" s="252"/>
      <c r="P193" s="252"/>
      <c r="Q193" s="252"/>
      <c r="R193" s="252"/>
      <c r="S193" s="252"/>
      <c r="T193" s="252"/>
      <c r="V193" t="s">
        <v>640</v>
      </c>
    </row>
    <row r="194" spans="1:52" ht="15" thickBot="1" x14ac:dyDescent="0.4">
      <c r="A194" s="220" t="s">
        <v>641</v>
      </c>
      <c r="B194" s="253">
        <v>3.36</v>
      </c>
      <c r="C194" s="253">
        <v>3.77</v>
      </c>
      <c r="D194" s="253">
        <v>4.1900000000000004</v>
      </c>
      <c r="E194" s="253">
        <v>4.25</v>
      </c>
      <c r="F194" s="221">
        <f>E194*1.03</f>
        <v>4.3775000000000004</v>
      </c>
      <c r="G194" s="221">
        <f t="shared" ref="G194:J194" si="107">F194*1.03</f>
        <v>4.5088250000000007</v>
      </c>
      <c r="H194" s="221">
        <f t="shared" si="107"/>
        <v>4.6440897500000009</v>
      </c>
      <c r="I194" s="221">
        <f t="shared" si="107"/>
        <v>4.7834124425000013</v>
      </c>
      <c r="J194" s="221">
        <f t="shared" si="107"/>
        <v>4.9269148157750013</v>
      </c>
      <c r="L194" s="252"/>
      <c r="M194" s="252"/>
      <c r="N194" s="252"/>
      <c r="O194" s="252"/>
      <c r="P194" s="252"/>
      <c r="Q194" s="252"/>
      <c r="R194" s="252"/>
      <c r="S194" s="252"/>
      <c r="T194" s="252"/>
    </row>
    <row r="195" spans="1:52" x14ac:dyDescent="0.35">
      <c r="D195" s="67"/>
      <c r="E195" s="67"/>
      <c r="L195" s="252"/>
      <c r="M195" s="252"/>
      <c r="N195" s="252"/>
      <c r="O195" s="252"/>
      <c r="P195" s="252"/>
      <c r="Q195" s="252"/>
      <c r="R195" s="252"/>
      <c r="S195" s="252"/>
      <c r="T195" s="252"/>
      <c r="V195" s="98" t="s">
        <v>289</v>
      </c>
      <c r="W195" s="98"/>
      <c r="AQ195" t="s">
        <v>538</v>
      </c>
      <c r="AR195">
        <v>2017</v>
      </c>
      <c r="AS195">
        <v>2018</v>
      </c>
      <c r="AT195">
        <v>2019</v>
      </c>
      <c r="AU195">
        <v>2020</v>
      </c>
      <c r="AV195">
        <v>2021</v>
      </c>
      <c r="AW195">
        <v>2022</v>
      </c>
      <c r="AX195">
        <v>2023</v>
      </c>
      <c r="AY195">
        <v>2024</v>
      </c>
      <c r="AZ195">
        <v>2025</v>
      </c>
    </row>
    <row r="196" spans="1:52" x14ac:dyDescent="0.35">
      <c r="V196" t="s">
        <v>290</v>
      </c>
      <c r="W196">
        <v>0.99506101647893874</v>
      </c>
      <c r="AQ196" t="s">
        <v>642</v>
      </c>
      <c r="AR196" s="218">
        <v>65.7</v>
      </c>
      <c r="AS196" s="218">
        <v>55.8</v>
      </c>
      <c r="AT196" s="218">
        <v>61</v>
      </c>
      <c r="AU196" s="218">
        <v>47.2</v>
      </c>
      <c r="AV196" s="218">
        <v>54.248463879935024</v>
      </c>
      <c r="AW196" s="218">
        <v>58.217966975199523</v>
      </c>
      <c r="AX196" s="218">
        <v>59.293724549162896</v>
      </c>
      <c r="AY196" s="218">
        <v>59.823132804066148</v>
      </c>
      <c r="AZ196" s="218">
        <v>62.127558173057707</v>
      </c>
    </row>
    <row r="197" spans="1:52" x14ac:dyDescent="0.35">
      <c r="V197" t="s">
        <v>291</v>
      </c>
      <c r="W197">
        <v>0.99014642651609874</v>
      </c>
      <c r="AQ197" t="s">
        <v>643</v>
      </c>
      <c r="AR197" s="218">
        <v>47.7</v>
      </c>
      <c r="AS197" s="218">
        <v>59.2</v>
      </c>
      <c r="AT197" s="218">
        <v>79.7</v>
      </c>
      <c r="AU197" s="218">
        <v>61.9</v>
      </c>
      <c r="AV197" s="218">
        <v>58.217083794198814</v>
      </c>
      <c r="AW197" s="218">
        <v>62.476981269449162</v>
      </c>
      <c r="AX197" s="218">
        <v>63.631437347030996</v>
      </c>
      <c r="AY197" s="218">
        <v>64.199575180486647</v>
      </c>
      <c r="AZ197" s="218">
        <v>66.672583911221963</v>
      </c>
    </row>
    <row r="198" spans="1:52" x14ac:dyDescent="0.35">
      <c r="V198" t="s">
        <v>292</v>
      </c>
      <c r="W198">
        <v>0.98521963977414817</v>
      </c>
      <c r="AQ198" t="s">
        <v>644</v>
      </c>
      <c r="AR198" s="218">
        <v>8.4</v>
      </c>
      <c r="AS198" s="218">
        <v>8.6999999999999993</v>
      </c>
      <c r="AT198" s="218">
        <v>8.6999999999999993</v>
      </c>
      <c r="AU198" s="218">
        <v>6.3</v>
      </c>
      <c r="AV198" s="218">
        <v>7.565644577683603</v>
      </c>
      <c r="AW198" s="218">
        <v>8.1192427336655655</v>
      </c>
      <c r="AX198" s="218">
        <v>8.2692709349132762</v>
      </c>
      <c r="AY198" s="218">
        <v>8.3431037111178608</v>
      </c>
      <c r="AZ198" s="218">
        <v>8.6644854065733163</v>
      </c>
    </row>
    <row r="199" spans="1:52" x14ac:dyDescent="0.35">
      <c r="V199" t="s">
        <v>293</v>
      </c>
      <c r="W199">
        <v>1.6197212334515885</v>
      </c>
      <c r="AQ199" t="s">
        <v>645</v>
      </c>
      <c r="AR199" s="218">
        <v>6.9</v>
      </c>
      <c r="AS199" s="218">
        <v>5.4</v>
      </c>
      <c r="AT199" s="218">
        <v>5.6</v>
      </c>
      <c r="AU199" s="218">
        <v>5.2</v>
      </c>
      <c r="AV199" s="218">
        <v>5.4813810457479937</v>
      </c>
      <c r="AW199" s="218">
        <v>5.8824681452016732</v>
      </c>
      <c r="AX199" s="218">
        <v>5.9911649958404931</v>
      </c>
      <c r="AY199" s="218">
        <v>6.0446575404462131</v>
      </c>
      <c r="AZ199" s="218">
        <v>6.2775016181492704</v>
      </c>
    </row>
    <row r="200" spans="1:52" ht="15" thickBot="1" x14ac:dyDescent="0.4">
      <c r="V200" s="96" t="s">
        <v>294</v>
      </c>
      <c r="W200" s="96">
        <v>4</v>
      </c>
    </row>
    <row r="201" spans="1:52" x14ac:dyDescent="0.35">
      <c r="A201" t="s">
        <v>646</v>
      </c>
    </row>
    <row r="202" spans="1:52" ht="15" thickBot="1" x14ac:dyDescent="0.4">
      <c r="A202" s="5" t="s">
        <v>647</v>
      </c>
      <c r="B202" s="5">
        <v>2021</v>
      </c>
      <c r="C202" s="5">
        <v>2022</v>
      </c>
      <c r="D202" s="5">
        <v>2023</v>
      </c>
      <c r="E202" s="5">
        <v>2024</v>
      </c>
      <c r="F202" s="5">
        <v>2025</v>
      </c>
      <c r="V202" t="s">
        <v>295</v>
      </c>
    </row>
    <row r="203" spans="1:52" x14ac:dyDescent="0.35">
      <c r="A203" s="41" t="s">
        <v>648</v>
      </c>
      <c r="B203" s="224">
        <f>SUM(B204:B207)</f>
        <v>4083.5256021236059</v>
      </c>
      <c r="C203" s="224">
        <f t="shared" ref="C203:F203" si="108">SUM(C204:C207)</f>
        <v>4006.1008583402954</v>
      </c>
      <c r="D203" s="224">
        <f t="shared" si="108"/>
        <v>4024.8230826404574</v>
      </c>
      <c r="E203" s="224">
        <f t="shared" si="108"/>
        <v>4072.522064334803</v>
      </c>
      <c r="F203" s="224">
        <f t="shared" si="108"/>
        <v>4910.5850629288734</v>
      </c>
      <c r="V203" s="97"/>
      <c r="W203" s="97" t="s">
        <v>299</v>
      </c>
      <c r="X203" s="97" t="s">
        <v>300</v>
      </c>
      <c r="Y203" s="97" t="s">
        <v>301</v>
      </c>
      <c r="Z203" s="97" t="s">
        <v>302</v>
      </c>
      <c r="AA203" s="97" t="s">
        <v>303</v>
      </c>
    </row>
    <row r="204" spans="1:52" x14ac:dyDescent="0.35">
      <c r="A204" s="220" t="s">
        <v>649</v>
      </c>
      <c r="B204" s="221">
        <f>F158*F66</f>
        <v>130.27237143975728</v>
      </c>
      <c r="C204" s="221">
        <f>G158*G66</f>
        <v>128.69569763244235</v>
      </c>
      <c r="D204" s="221">
        <f>H158*H66</f>
        <v>129.63375321174902</v>
      </c>
      <c r="E204" s="221">
        <f>I158*I66</f>
        <v>131.32131507286198</v>
      </c>
      <c r="F204" s="221">
        <f>J158*J66</f>
        <v>156.43608455937925</v>
      </c>
      <c r="V204" t="s">
        <v>296</v>
      </c>
      <c r="W204">
        <v>1</v>
      </c>
      <c r="X204">
        <v>527.24954233188168</v>
      </c>
      <c r="Y204">
        <v>527.24954233188168</v>
      </c>
      <c r="Z204">
        <v>200.972049000049</v>
      </c>
      <c r="AA204">
        <v>4.9389835210613131E-3</v>
      </c>
    </row>
    <row r="205" spans="1:52" x14ac:dyDescent="0.35">
      <c r="A205" s="220" t="s">
        <v>650</v>
      </c>
      <c r="B205" s="221">
        <f>F151*F57</f>
        <v>1822.9410806427941</v>
      </c>
      <c r="C205" s="221">
        <f>G151*G57</f>
        <v>1798.8355090691052</v>
      </c>
      <c r="D205" s="221">
        <f>H151*H57</f>
        <v>1811.1827729129091</v>
      </c>
      <c r="E205" s="221">
        <f>I151*I57</f>
        <v>1834.4180556040983</v>
      </c>
      <c r="F205" s="221">
        <f>J151*J57</f>
        <v>2189.5634451732508</v>
      </c>
      <c r="V205" t="s">
        <v>297</v>
      </c>
      <c r="W205">
        <v>2</v>
      </c>
      <c r="X205">
        <v>5.2469937481878697</v>
      </c>
      <c r="Y205">
        <v>2.6234968740939348</v>
      </c>
    </row>
    <row r="206" spans="1:52" ht="15" thickBot="1" x14ac:dyDescent="0.4">
      <c r="A206" s="220" t="s">
        <v>651</v>
      </c>
      <c r="B206" s="221">
        <f>F153*F60</f>
        <v>1898.9919969585978</v>
      </c>
      <c r="C206" s="221">
        <f>G153*G60</f>
        <v>1852.7136203267228</v>
      </c>
      <c r="D206" s="221">
        <f>H153*H60</f>
        <v>1857.5012807191015</v>
      </c>
      <c r="E206" s="221">
        <f>I153*I60</f>
        <v>1877.7756105836861</v>
      </c>
      <c r="F206" s="221">
        <f>J153*J60</f>
        <v>2286.1479598010269</v>
      </c>
      <c r="V206" s="96" t="s">
        <v>286</v>
      </c>
      <c r="W206" s="96">
        <v>3</v>
      </c>
      <c r="X206" s="96">
        <v>532.49653608006952</v>
      </c>
      <c r="Y206" s="96"/>
      <c r="Z206" s="96"/>
      <c r="AA206" s="96"/>
    </row>
    <row r="207" spans="1:52" ht="15" thickBot="1" x14ac:dyDescent="0.4">
      <c r="A207" s="220" t="s">
        <v>652</v>
      </c>
      <c r="B207" s="221">
        <f>F155*F63</f>
        <v>231.32015308245676</v>
      </c>
      <c r="C207" s="221">
        <f>G155*G63</f>
        <v>225.85603131202532</v>
      </c>
      <c r="D207" s="221">
        <f>H155*H63</f>
        <v>226.50527579669762</v>
      </c>
      <c r="E207" s="221">
        <f>I155*I63</f>
        <v>229.00708307415661</v>
      </c>
      <c r="F207" s="221">
        <f>J155*J63</f>
        <v>278.43757339521659</v>
      </c>
      <c r="O207" s="27" t="str">
        <f>A223</f>
        <v>Производственные и операционные расходы</v>
      </c>
      <c r="P207" s="67">
        <f>B224</f>
        <v>9.862576480365004E-2</v>
      </c>
    </row>
    <row r="208" spans="1:52" x14ac:dyDescent="0.35">
      <c r="A208" s="41" t="s">
        <v>653</v>
      </c>
      <c r="B208" s="224">
        <f>SUM(B209:B213)</f>
        <v>1482.1150541964253</v>
      </c>
      <c r="C208" s="224">
        <f t="shared" ref="C208:F208" si="109">SUM(C209:C213)</f>
        <v>1451.9457561594663</v>
      </c>
      <c r="D208" s="224">
        <f t="shared" si="109"/>
        <v>1457.9810019131394</v>
      </c>
      <c r="E208" s="224">
        <f t="shared" si="109"/>
        <v>1474.9369944617263</v>
      </c>
      <c r="F208" s="224">
        <f t="shared" si="109"/>
        <v>1782.8580685182842</v>
      </c>
      <c r="O208" t="str">
        <f>A225</f>
        <v>Стоимость приобретенной нефти, газа, нефтепродуктов и услуг по переработке нефти</v>
      </c>
      <c r="P208" s="67">
        <f>B226</f>
        <v>0.1432767854603374</v>
      </c>
      <c r="V208" s="97"/>
      <c r="W208" s="97" t="s">
        <v>304</v>
      </c>
      <c r="X208" s="97" t="s">
        <v>293</v>
      </c>
      <c r="Y208" s="97" t="s">
        <v>305</v>
      </c>
      <c r="Z208" s="97" t="s">
        <v>306</v>
      </c>
      <c r="AA208" s="97" t="s">
        <v>307</v>
      </c>
      <c r="AB208" s="97" t="s">
        <v>308</v>
      </c>
      <c r="AC208" s="97" t="s">
        <v>309</v>
      </c>
      <c r="AD208" s="97" t="s">
        <v>310</v>
      </c>
    </row>
    <row r="209" spans="1:30" x14ac:dyDescent="0.35">
      <c r="A209" s="220" t="s">
        <v>539</v>
      </c>
      <c r="B209" s="221">
        <f>F165*F123</f>
        <v>30.499508179686867</v>
      </c>
      <c r="C209" s="221">
        <f t="shared" ref="C209:F213" si="110">G165*G123</f>
        <v>30.617095166457062</v>
      </c>
      <c r="D209" s="221">
        <f t="shared" si="110"/>
        <v>30.86570403705549</v>
      </c>
      <c r="E209" s="221">
        <f t="shared" si="110"/>
        <v>31.201355345977206</v>
      </c>
      <c r="F209" s="221">
        <f t="shared" si="110"/>
        <v>36.232962840816732</v>
      </c>
      <c r="O209" t="str">
        <f>A227</f>
        <v>Общехозяйственные и административные расходы</v>
      </c>
      <c r="P209" s="67">
        <f>B228</f>
        <v>2.3496010658566172E-2</v>
      </c>
      <c r="V209" t="s">
        <v>298</v>
      </c>
      <c r="W209">
        <v>-3.50190407488315</v>
      </c>
      <c r="X209">
        <v>4.3818016358391052</v>
      </c>
      <c r="Y209">
        <v>-0.79919274442749699</v>
      </c>
      <c r="Z209">
        <v>0.50801056167177205</v>
      </c>
      <c r="AA209">
        <v>-22.35527484454694</v>
      </c>
      <c r="AB209">
        <v>15.35146669478064</v>
      </c>
      <c r="AC209">
        <v>-22.35527484454694</v>
      </c>
      <c r="AD209">
        <v>15.35146669478064</v>
      </c>
    </row>
    <row r="210" spans="1:30" ht="15" thickBot="1" x14ac:dyDescent="0.4">
      <c r="A210" s="220" t="s">
        <v>543</v>
      </c>
      <c r="B210" s="221">
        <f>F166*F124</f>
        <v>205.72892668322541</v>
      </c>
      <c r="C210" s="221">
        <f t="shared" si="110"/>
        <v>203.49934116289108</v>
      </c>
      <c r="D210" s="221">
        <f t="shared" si="110"/>
        <v>204.66699839000756</v>
      </c>
      <c r="E210" s="221">
        <f t="shared" si="110"/>
        <v>206.98541660262305</v>
      </c>
      <c r="F210" s="221">
        <f t="shared" si="110"/>
        <v>246.26687796893108</v>
      </c>
      <c r="O210" t="str">
        <f>A229</f>
        <v>Тарифы за пользование нефтепроводом и расходы на транспортировку</v>
      </c>
      <c r="P210" s="67">
        <f>B230</f>
        <v>9.3962690049659278E-2</v>
      </c>
      <c r="V210" s="96" t="s">
        <v>611</v>
      </c>
      <c r="W210" s="96">
        <v>1.0690220499849774</v>
      </c>
      <c r="X210" s="96">
        <v>7.5408244927602633E-2</v>
      </c>
      <c r="Y210" s="96">
        <v>14.176461088722007</v>
      </c>
      <c r="Z210" s="96">
        <v>4.9389835210613088E-3</v>
      </c>
      <c r="AA210" s="96">
        <v>0.74456655910161174</v>
      </c>
      <c r="AB210" s="96">
        <v>1.3934775408683431</v>
      </c>
      <c r="AC210" s="96">
        <v>0.74456655910161174</v>
      </c>
      <c r="AD210" s="96">
        <v>1.3934775408683431</v>
      </c>
    </row>
    <row r="211" spans="1:30" x14ac:dyDescent="0.35">
      <c r="A211" s="220" t="s">
        <v>546</v>
      </c>
      <c r="B211" s="221">
        <f>F167*F125</f>
        <v>564.13359197637647</v>
      </c>
      <c r="C211" s="221">
        <f t="shared" si="110"/>
        <v>546.92892552754358</v>
      </c>
      <c r="D211" s="221">
        <f t="shared" si="110"/>
        <v>548.26213170825406</v>
      </c>
      <c r="E211" s="221">
        <f t="shared" si="110"/>
        <v>554.81890630354576</v>
      </c>
      <c r="F211" s="221">
        <f t="shared" si="110"/>
        <v>682.1327089838062</v>
      </c>
      <c r="O211" t="str">
        <f>A231</f>
        <v>Затраты, связанные с разведкой запасов нефти и газа</v>
      </c>
      <c r="P211" s="67">
        <f>B232</f>
        <v>1.925711221106483E-3</v>
      </c>
    </row>
    <row r="212" spans="1:30" x14ac:dyDescent="0.35">
      <c r="A212" s="220" t="s">
        <v>549</v>
      </c>
      <c r="B212" s="221">
        <f>F168*F126</f>
        <v>656.69376751255243</v>
      </c>
      <c r="C212" s="221">
        <f t="shared" si="110"/>
        <v>644.00748236162383</v>
      </c>
      <c r="D212" s="221">
        <f t="shared" si="110"/>
        <v>646.7963258475653</v>
      </c>
      <c r="E212" s="221">
        <f t="shared" si="110"/>
        <v>654.29692211923179</v>
      </c>
      <c r="F212" s="221">
        <f t="shared" si="110"/>
        <v>789.52663008497234</v>
      </c>
      <c r="O212" t="str">
        <f>A233</f>
        <v>Износ, истощение и амортизация</v>
      </c>
      <c r="P212" s="67">
        <f>B234</f>
        <v>9.2217306997287168E-2</v>
      </c>
    </row>
    <row r="213" spans="1:30" x14ac:dyDescent="0.35">
      <c r="A213" s="220" t="s">
        <v>552</v>
      </c>
      <c r="B213" s="221">
        <f>F169*F127</f>
        <v>25.059259844584183</v>
      </c>
      <c r="C213" s="221">
        <f t="shared" si="110"/>
        <v>26.892911940950853</v>
      </c>
      <c r="D213" s="221">
        <f t="shared" si="110"/>
        <v>27.389841930256942</v>
      </c>
      <c r="E213" s="221">
        <f t="shared" si="110"/>
        <v>27.634394090348522</v>
      </c>
      <c r="F213" s="221">
        <f t="shared" si="110"/>
        <v>28.698888639757698</v>
      </c>
      <c r="O213" t="str">
        <f>A235</f>
        <v>Налоги, кроме налога на прибыль и экспортная пошлина</v>
      </c>
      <c r="P213" s="67">
        <f>B236</f>
        <v>0.4275719540451377</v>
      </c>
    </row>
    <row r="214" spans="1:30" ht="15" thickBot="1" x14ac:dyDescent="0.4">
      <c r="A214" s="41" t="s">
        <v>654</v>
      </c>
      <c r="B214" s="224">
        <f>F189*F173</f>
        <v>1532.5124848300864</v>
      </c>
      <c r="C214" s="224">
        <f>G189*G173</f>
        <v>1710.4364814000855</v>
      </c>
      <c r="D214" s="224">
        <f>H189*H173</f>
        <v>1811.723786496817</v>
      </c>
      <c r="E214" s="224">
        <f>I189*I173</f>
        <v>1884.1927379566898</v>
      </c>
      <c r="F214" s="224">
        <f>J189*J173</f>
        <v>2003.6136720504978</v>
      </c>
      <c r="G214" s="218"/>
      <c r="H214" s="218"/>
      <c r="I214" s="218"/>
      <c r="J214" s="218"/>
      <c r="K214" s="218"/>
      <c r="L214" s="218"/>
      <c r="O214" t="str">
        <f>A238</f>
        <v>Операционная прибыль (EBIT)</v>
      </c>
      <c r="P214" s="67">
        <f>1-P207-P208-P209-P210-P211-P212-P213</f>
        <v>0.1189237767642557</v>
      </c>
    </row>
    <row r="215" spans="1:30" x14ac:dyDescent="0.35">
      <c r="A215" s="41" t="s">
        <v>655</v>
      </c>
      <c r="B215" s="224">
        <f>F194*F140</f>
        <v>262.19236186826726</v>
      </c>
      <c r="C215" s="224">
        <f>G194*G140</f>
        <v>297.82581699984991</v>
      </c>
      <c r="D215" s="224">
        <f>H194*H140</f>
        <v>319.34809273268814</v>
      </c>
      <c r="E215" s="224">
        <f>I194*I140</f>
        <v>338.98061125385971</v>
      </c>
      <c r="F215" s="224">
        <f>J194*J140</f>
        <v>367.88756551355692</v>
      </c>
      <c r="V215" s="98" t="s">
        <v>289</v>
      </c>
      <c r="W215" s="98"/>
    </row>
    <row r="216" spans="1:30" x14ac:dyDescent="0.35">
      <c r="A216" s="41" t="s">
        <v>656</v>
      </c>
      <c r="B216" s="224">
        <f>B203+B208+B214+B215</f>
        <v>7360.345503018385</v>
      </c>
      <c r="C216" s="224">
        <f>C203+C208+C214+C215</f>
        <v>7466.3089128996971</v>
      </c>
      <c r="D216" s="224">
        <f>D203+D208+D214+D215</f>
        <v>7613.8759637831017</v>
      </c>
      <c r="E216" s="224">
        <f>E203+E208+E214+E215</f>
        <v>7770.632408007079</v>
      </c>
      <c r="F216" s="224">
        <f>F203+F208+F214+F215</f>
        <v>9064.9443690112112</v>
      </c>
      <c r="V216" t="s">
        <v>290</v>
      </c>
      <c r="W216">
        <v>0.99799355146928881</v>
      </c>
    </row>
    <row r="217" spans="1:30" x14ac:dyDescent="0.35">
      <c r="V217" t="s">
        <v>291</v>
      </c>
      <c r="W217">
        <v>0.99599112877428408</v>
      </c>
    </row>
    <row r="218" spans="1:30" x14ac:dyDescent="0.35">
      <c r="V218" t="s">
        <v>292</v>
      </c>
      <c r="W218">
        <v>0.99398669316142607</v>
      </c>
    </row>
    <row r="219" spans="1:30" x14ac:dyDescent="0.35">
      <c r="V219" t="s">
        <v>293</v>
      </c>
      <c r="W219">
        <v>0.95598023426741252</v>
      </c>
    </row>
    <row r="220" spans="1:30" ht="15" thickBot="1" x14ac:dyDescent="0.4">
      <c r="A220" t="s">
        <v>657</v>
      </c>
      <c r="B220" s="67"/>
      <c r="C220" s="67"/>
      <c r="D220" s="67"/>
      <c r="E220" s="67"/>
      <c r="F220" s="67"/>
      <c r="G220" s="67"/>
      <c r="H220" s="67"/>
      <c r="I220" s="67"/>
      <c r="J220" s="67"/>
      <c r="L220" s="67"/>
      <c r="V220" s="96" t="s">
        <v>294</v>
      </c>
      <c r="W220" s="96">
        <v>4</v>
      </c>
    </row>
    <row r="221" spans="1:30" x14ac:dyDescent="0.35">
      <c r="A221" s="5" t="s">
        <v>658</v>
      </c>
      <c r="B221" s="5">
        <v>2017</v>
      </c>
      <c r="C221" s="5">
        <v>2018</v>
      </c>
      <c r="D221" s="5">
        <v>2019</v>
      </c>
      <c r="E221" s="5">
        <v>2020</v>
      </c>
      <c r="F221" s="254">
        <v>2021</v>
      </c>
      <c r="G221" s="254">
        <v>2022</v>
      </c>
      <c r="H221" s="254">
        <v>2023</v>
      </c>
      <c r="I221" s="254">
        <v>2024</v>
      </c>
      <c r="J221" s="254">
        <v>2025</v>
      </c>
      <c r="L221" s="67"/>
    </row>
    <row r="222" spans="1:30" ht="15" thickBot="1" x14ac:dyDescent="0.4">
      <c r="A222" s="255" t="s">
        <v>80</v>
      </c>
      <c r="B222" s="22">
        <v>6014000000</v>
      </c>
      <c r="C222" s="22">
        <v>8238000000</v>
      </c>
      <c r="D222" s="22">
        <v>8676000000</v>
      </c>
      <c r="E222" s="22">
        <v>5757000000</v>
      </c>
      <c r="F222" s="256">
        <f>B216*1000000</f>
        <v>7360345503.0183849</v>
      </c>
      <c r="G222" s="256">
        <f t="shared" ref="G222:J222" si="111">C216*1000000</f>
        <v>7466308912.8996973</v>
      </c>
      <c r="H222" s="256">
        <f t="shared" si="111"/>
        <v>7613875963.783102</v>
      </c>
      <c r="I222" s="256">
        <f t="shared" si="111"/>
        <v>7770632408.0070791</v>
      </c>
      <c r="J222" s="256">
        <f t="shared" si="111"/>
        <v>9064944369.0112114</v>
      </c>
      <c r="L222" s="67"/>
      <c r="O222">
        <v>-172000000</v>
      </c>
      <c r="P222">
        <v>-167000000</v>
      </c>
      <c r="Q222">
        <v>-200000000</v>
      </c>
      <c r="R222">
        <v>-127000000</v>
      </c>
      <c r="V222" t="s">
        <v>295</v>
      </c>
    </row>
    <row r="223" spans="1:30" x14ac:dyDescent="0.35">
      <c r="A223" s="27" t="s">
        <v>55</v>
      </c>
      <c r="B223" s="25">
        <v>-607000000</v>
      </c>
      <c r="C223" s="25">
        <v>-642000000</v>
      </c>
      <c r="D223" s="25">
        <v>-715000000</v>
      </c>
      <c r="E223" s="25">
        <v>-767000000</v>
      </c>
      <c r="F223" s="257">
        <f>-$B$224*F222</f>
        <v>-725919704.45429444</v>
      </c>
      <c r="G223" s="257">
        <f>-$B$224*G222</f>
        <v>-736370426.79504156</v>
      </c>
      <c r="H223" s="257">
        <f>-$B$224*H222</f>
        <v>-750924340.04823649</v>
      </c>
      <c r="I223" s="257">
        <f>-$B$224*I222</f>
        <v>-766384564.24772692</v>
      </c>
      <c r="J223" s="257">
        <f>-$B$224*J222</f>
        <v>-894037071.29627156</v>
      </c>
      <c r="V223" s="97"/>
      <c r="W223" s="97" t="s">
        <v>299</v>
      </c>
      <c r="X223" s="97" t="s">
        <v>300</v>
      </c>
      <c r="Y223" s="97" t="s">
        <v>301</v>
      </c>
      <c r="Z223" s="97" t="s">
        <v>302</v>
      </c>
      <c r="AA223" s="97" t="s">
        <v>303</v>
      </c>
    </row>
    <row r="224" spans="1:30" x14ac:dyDescent="0.35">
      <c r="A224" s="258" t="s">
        <v>659</v>
      </c>
      <c r="B224" s="259">
        <f>AVERAGE(ABS(B223/B222),ABS(C223/C222),ABS(D223/D222),ABS(E223/E222))</f>
        <v>9.862576480365004E-2</v>
      </c>
      <c r="C224" s="260"/>
      <c r="D224" s="260"/>
      <c r="E224" s="261"/>
      <c r="F224" s="262" t="s">
        <v>484</v>
      </c>
      <c r="G224" s="262" t="s">
        <v>484</v>
      </c>
      <c r="H224" s="262" t="s">
        <v>484</v>
      </c>
      <c r="I224" s="262" t="s">
        <v>484</v>
      </c>
      <c r="J224" s="262" t="s">
        <v>484</v>
      </c>
      <c r="V224" t="s">
        <v>296</v>
      </c>
      <c r="W224">
        <v>1</v>
      </c>
      <c r="X224">
        <v>454.11012568351413</v>
      </c>
      <c r="Y224">
        <v>454.11012568351413</v>
      </c>
      <c r="Z224">
        <v>496.89355067592891</v>
      </c>
      <c r="AA224">
        <v>2.0064485307111782E-3</v>
      </c>
    </row>
    <row r="225" spans="1:52" ht="23" x14ac:dyDescent="0.35">
      <c r="A225" s="27" t="s">
        <v>56</v>
      </c>
      <c r="B225" s="25">
        <v>-837000000</v>
      </c>
      <c r="C225" s="25">
        <v>-1099000000</v>
      </c>
      <c r="D225" s="25">
        <v>-1566000000</v>
      </c>
      <c r="E225" s="25">
        <v>-691000000</v>
      </c>
      <c r="F225" s="257">
        <f>-$B$226*F222</f>
        <v>-1054566643.5499243</v>
      </c>
      <c r="G225" s="257">
        <f>-$B$226*G222</f>
        <v>-1069748740.2941349</v>
      </c>
      <c r="H225" s="257">
        <f>-$B$226*H222</f>
        <v>-1090891672.9845712</v>
      </c>
      <c r="I225" s="257">
        <f>-$B$226*I222</f>
        <v>-1113351232.4131753</v>
      </c>
      <c r="J225" s="257">
        <f>-$B$226*J222</f>
        <v>-1298796089.5687129</v>
      </c>
    </row>
    <row r="226" spans="1:52" x14ac:dyDescent="0.35">
      <c r="A226" s="258" t="s">
        <v>659</v>
      </c>
      <c r="B226" s="259">
        <f>AVERAGE(ABS(B225/B222),ABS(C225/C222),ABS(D225/D222),ABS(E225/E222))</f>
        <v>0.1432767854603374</v>
      </c>
      <c r="C226" s="260"/>
      <c r="D226" s="260"/>
      <c r="E226" s="261"/>
      <c r="F226" s="257" t="s">
        <v>484</v>
      </c>
      <c r="G226" s="257" t="s">
        <v>484</v>
      </c>
      <c r="H226" s="257" t="s">
        <v>484</v>
      </c>
      <c r="I226" s="257" t="s">
        <v>484</v>
      </c>
      <c r="J226" s="257" t="s">
        <v>484</v>
      </c>
      <c r="V226" t="s">
        <v>297</v>
      </c>
      <c r="W226">
        <v>2</v>
      </c>
      <c r="X226">
        <v>1.8277964166199538</v>
      </c>
      <c r="Y226">
        <v>0.91389820830997692</v>
      </c>
    </row>
    <row r="227" spans="1:52" x14ac:dyDescent="0.35">
      <c r="A227" s="220" t="s">
        <v>57</v>
      </c>
      <c r="B227" s="25">
        <f>[2]IS!G10</f>
        <v>-172000000</v>
      </c>
      <c r="C227" s="25">
        <f>[2]IS!H10</f>
        <v>-167000000</v>
      </c>
      <c r="D227" s="25">
        <f>[2]IS!I10</f>
        <v>-200000000</v>
      </c>
      <c r="E227" s="25">
        <f>[2]IS!J10</f>
        <v>-127000000</v>
      </c>
      <c r="F227" s="257">
        <f>-F222*$B$228</f>
        <v>-172938756.38964957</v>
      </c>
      <c r="G227" s="257">
        <f t="shared" ref="G227:I227" si="112">-G222*$B$228</f>
        <v>-175428473.79763889</v>
      </c>
      <c r="H227" s="257">
        <f t="shared" si="112"/>
        <v>-178895710.79804856</v>
      </c>
      <c r="I227" s="257">
        <f t="shared" si="112"/>
        <v>-182578861.88233405</v>
      </c>
      <c r="J227" s="257">
        <v>-201500000</v>
      </c>
    </row>
    <row r="228" spans="1:52" x14ac:dyDescent="0.35">
      <c r="A228" s="220" t="s">
        <v>659</v>
      </c>
      <c r="B228" s="263">
        <f>AVERAGE(ABS(B227/B222),ABS(C227/C222),ABS(D227/D222),ABS(E227/E222))</f>
        <v>2.3496010658566172E-2</v>
      </c>
      <c r="C228" s="263"/>
      <c r="D228" s="263"/>
      <c r="E228" s="263"/>
      <c r="F228" s="254" t="s">
        <v>484</v>
      </c>
      <c r="G228" s="254" t="s">
        <v>484</v>
      </c>
      <c r="H228" s="254" t="s">
        <v>484</v>
      </c>
      <c r="I228" s="254" t="s">
        <v>484</v>
      </c>
      <c r="J228" s="254" t="s">
        <v>484</v>
      </c>
    </row>
    <row r="229" spans="1:52" ht="23.5" thickBot="1" x14ac:dyDescent="0.4">
      <c r="A229" s="27" t="s">
        <v>58</v>
      </c>
      <c r="B229" s="25">
        <v>-596000000</v>
      </c>
      <c r="C229" s="25">
        <v>-638000000</v>
      </c>
      <c r="D229" s="25">
        <v>-733000000</v>
      </c>
      <c r="E229" s="25">
        <v>-661000000</v>
      </c>
      <c r="F229" s="257">
        <f>-$B$230*F222*1.037</f>
        <v>-717186984.09538519</v>
      </c>
      <c r="G229" s="257">
        <v>-724000000</v>
      </c>
      <c r="H229" s="257">
        <f>-$B$230*H222*1.037</f>
        <v>-741890817.15017796</v>
      </c>
      <c r="I229" s="257">
        <f>-$B$230*I222*1.037</f>
        <v>-757165056.84781265</v>
      </c>
      <c r="J229" s="257">
        <f>-$B$230*J222*1.037</f>
        <v>-883281920.71112835</v>
      </c>
      <c r="L229" s="264" t="s">
        <v>660</v>
      </c>
      <c r="V229" s="96" t="s">
        <v>286</v>
      </c>
      <c r="W229" s="96">
        <v>3</v>
      </c>
      <c r="X229" s="96">
        <v>455.93792210013407</v>
      </c>
      <c r="Y229" s="96"/>
      <c r="Z229" s="96"/>
      <c r="AA229" s="96"/>
    </row>
    <row r="230" spans="1:52" x14ac:dyDescent="0.35">
      <c r="A230" s="258" t="s">
        <v>659</v>
      </c>
      <c r="B230" s="259">
        <f>AVERAGE(ABS(B229/B222),ABS(C229/C222),ABS(D229/D222),ABS(E229/E222))</f>
        <v>9.3962690049659278E-2</v>
      </c>
      <c r="C230" s="260"/>
      <c r="D230" s="260"/>
      <c r="E230" s="261"/>
      <c r="F230" s="257" t="s">
        <v>484</v>
      </c>
      <c r="G230" s="257" t="s">
        <v>484</v>
      </c>
      <c r="H230" s="257" t="s">
        <v>484</v>
      </c>
      <c r="I230" s="257" t="s">
        <v>484</v>
      </c>
      <c r="J230" s="257" t="s">
        <v>484</v>
      </c>
    </row>
    <row r="231" spans="1:52" x14ac:dyDescent="0.35">
      <c r="A231" s="27" t="s">
        <v>59</v>
      </c>
      <c r="B231" s="25">
        <v>-15000000</v>
      </c>
      <c r="C231" s="25">
        <v>-11000000</v>
      </c>
      <c r="D231" s="25">
        <v>-11000000</v>
      </c>
      <c r="E231" s="25">
        <v>-15000000</v>
      </c>
      <c r="F231" s="257">
        <f>-$B$232*F222</f>
        <v>-14173899.926383145</v>
      </c>
      <c r="G231" s="257">
        <f t="shared" ref="G231:J231" si="113">-$B$232*G222</f>
        <v>-14377954.853818294</v>
      </c>
      <c r="H231" s="257">
        <f t="shared" si="113"/>
        <v>-14662126.379570058</v>
      </c>
      <c r="I231" s="257">
        <f t="shared" si="113"/>
        <v>-14963994.023192924</v>
      </c>
      <c r="J231" s="257">
        <f t="shared" si="113"/>
        <v>-17456465.090110917</v>
      </c>
    </row>
    <row r="232" spans="1:52" ht="15" thickBot="1" x14ac:dyDescent="0.4">
      <c r="A232" s="258" t="s">
        <v>659</v>
      </c>
      <c r="B232" s="259">
        <f>AVERAGE(ABS(B231/B222),ABS(C231/C222),ABS(D231/D222),ABS(E231/E222))</f>
        <v>1.925711221106483E-3</v>
      </c>
      <c r="C232" s="260"/>
      <c r="D232" s="260"/>
      <c r="E232" s="261"/>
      <c r="F232" s="257" t="s">
        <v>484</v>
      </c>
      <c r="G232" s="257" t="s">
        <v>484</v>
      </c>
      <c r="H232" s="257" t="s">
        <v>484</v>
      </c>
      <c r="I232" s="257" t="s">
        <v>484</v>
      </c>
      <c r="J232" s="257" t="s">
        <v>484</v>
      </c>
    </row>
    <row r="233" spans="1:52" x14ac:dyDescent="0.35">
      <c r="A233" s="27" t="s">
        <v>60</v>
      </c>
      <c r="B233" s="25">
        <v>-586000000</v>
      </c>
      <c r="C233" s="25">
        <v>-635000000</v>
      </c>
      <c r="D233" s="25">
        <v>-687000000</v>
      </c>
      <c r="E233" s="25">
        <v>-663000000</v>
      </c>
      <c r="F233" s="257">
        <f>-$B$234*F222</f>
        <v>-678751240.85794842</v>
      </c>
      <c r="G233" s="257">
        <f t="shared" ref="G233:J233" si="114">-$B$234*G222</f>
        <v>-688522901.15745282</v>
      </c>
      <c r="H233" s="257">
        <f t="shared" si="114"/>
        <v>-702131137.19145203</v>
      </c>
      <c r="I233" s="257">
        <f t="shared" si="114"/>
        <v>-716586794.33225763</v>
      </c>
      <c r="J233" s="257">
        <f t="shared" si="114"/>
        <v>-835944757.79043651</v>
      </c>
      <c r="V233" s="97"/>
      <c r="W233" s="97" t="s">
        <v>304</v>
      </c>
      <c r="X233" s="97" t="s">
        <v>293</v>
      </c>
      <c r="Y233" s="97" t="s">
        <v>305</v>
      </c>
      <c r="Z233" s="97" t="s">
        <v>306</v>
      </c>
      <c r="AA233" s="97" t="s">
        <v>307</v>
      </c>
      <c r="AB233" s="97" t="s">
        <v>308</v>
      </c>
      <c r="AC233" s="97" t="s">
        <v>309</v>
      </c>
      <c r="AD233" s="97" t="s">
        <v>310</v>
      </c>
      <c r="AQ233" t="s">
        <v>642</v>
      </c>
      <c r="AR233" s="218">
        <v>46</v>
      </c>
      <c r="AS233" s="218">
        <v>49</v>
      </c>
      <c r="AT233" s="218">
        <v>47.5</v>
      </c>
      <c r="AU233" s="218">
        <v>43.8</v>
      </c>
      <c r="AV233" s="218">
        <v>43.90084875957465</v>
      </c>
      <c r="AW233" s="218">
        <v>47.113189581271648</v>
      </c>
      <c r="AX233" s="218">
        <v>47.983751937858507</v>
      </c>
      <c r="AY233" s="218">
        <v>48.412178294446534</v>
      </c>
      <c r="AZ233" s="218">
        <v>50.277046391462711</v>
      </c>
    </row>
    <row r="234" spans="1:52" x14ac:dyDescent="0.35">
      <c r="A234" s="258" t="s">
        <v>659</v>
      </c>
      <c r="B234" s="259">
        <f>AVERAGE(ABS(B233/B222),ABS(C233/C222),ABS(D233/D222),ABS(E233/E222))</f>
        <v>9.2217306997287168E-2</v>
      </c>
      <c r="C234" s="260"/>
      <c r="D234" s="260"/>
      <c r="E234" s="261"/>
      <c r="F234" s="257" t="s">
        <v>484</v>
      </c>
      <c r="G234" s="257" t="s">
        <v>484</v>
      </c>
      <c r="H234" s="257" t="s">
        <v>484</v>
      </c>
      <c r="I234" s="257" t="s">
        <v>484</v>
      </c>
      <c r="J234" s="257" t="s">
        <v>484</v>
      </c>
      <c r="V234" s="265"/>
      <c r="W234" s="265"/>
      <c r="X234" s="265"/>
      <c r="Y234" s="265"/>
      <c r="Z234" s="265"/>
      <c r="AA234" s="265"/>
      <c r="AB234" s="265"/>
      <c r="AC234" s="265"/>
      <c r="AD234" s="265"/>
      <c r="AQ234" t="s">
        <v>643</v>
      </c>
      <c r="AR234" s="218">
        <v>17.7</v>
      </c>
      <c r="AS234" s="218">
        <v>17</v>
      </c>
      <c r="AT234" s="218">
        <v>16.600000000000001</v>
      </c>
      <c r="AU234" s="218">
        <v>14.9</v>
      </c>
      <c r="AV234" s="218">
        <v>15.587595641124253</v>
      </c>
      <c r="AW234" s="218">
        <v>16.728181101426291</v>
      </c>
      <c r="AX234" s="218">
        <v>17.03728615015045</v>
      </c>
      <c r="AY234" s="218">
        <v>17.189404776491081</v>
      </c>
      <c r="AZ234" s="218">
        <v>17.851551651589507</v>
      </c>
    </row>
    <row r="235" spans="1:52" x14ac:dyDescent="0.35">
      <c r="A235" s="27" t="s">
        <v>661</v>
      </c>
      <c r="B235" s="25">
        <f>[2]IS!G14+[2]IS!G15</f>
        <v>-2577000000</v>
      </c>
      <c r="C235" s="25">
        <f>[2]IS!H14+[2]IS!H15</f>
        <v>-3762000000</v>
      </c>
      <c r="D235" s="25">
        <f>[2]IS!I14+[2]IS!I15</f>
        <v>-3459000000</v>
      </c>
      <c r="E235" s="25">
        <f>[2]IS!J14+[2]IS!J15</f>
        <v>-2455000000</v>
      </c>
      <c r="F235" s="257">
        <f>-$B$236*F222</f>
        <v>-3147077309.1729126</v>
      </c>
      <c r="G235" s="257">
        <f t="shared" ref="G235:J235" si="115">-$B$236*G222</f>
        <v>-3192384291.3931513</v>
      </c>
      <c r="H235" s="257">
        <f t="shared" si="115"/>
        <v>-3255479823.6920471</v>
      </c>
      <c r="I235" s="257">
        <f t="shared" si="115"/>
        <v>-3322504482.8580604</v>
      </c>
      <c r="J235" s="257">
        <f t="shared" si="115"/>
        <v>-3875915977.1685915</v>
      </c>
      <c r="L235" s="264" t="s">
        <v>662</v>
      </c>
      <c r="V235" t="s">
        <v>298</v>
      </c>
      <c r="W235">
        <v>-2.6840785628663326</v>
      </c>
      <c r="X235">
        <v>2.5861954932925815</v>
      </c>
      <c r="Y235">
        <v>-1.0378482871181298</v>
      </c>
      <c r="Z235">
        <v>0.40835524805305079</v>
      </c>
      <c r="AA235">
        <v>-13.81157966174742</v>
      </c>
      <c r="AB235">
        <v>8.4434225360147543</v>
      </c>
      <c r="AC235">
        <v>-13.81157966174742</v>
      </c>
      <c r="AD235">
        <v>8.4434225360147543</v>
      </c>
      <c r="AQ235" t="s">
        <v>644</v>
      </c>
      <c r="AR235" s="218">
        <v>4.4000000000000004</v>
      </c>
      <c r="AS235" s="218">
        <v>4.0999999999999996</v>
      </c>
      <c r="AT235" s="218">
        <v>3.7</v>
      </c>
      <c r="AU235" s="218">
        <v>3.5</v>
      </c>
      <c r="AV235" s="218">
        <v>3.6953199721056635</v>
      </c>
      <c r="AW235" s="218">
        <v>3.9657162749342798</v>
      </c>
      <c r="AX235" s="218">
        <v>4.03899518762403</v>
      </c>
      <c r="AY235" s="218">
        <v>4.075057644656388</v>
      </c>
      <c r="AZ235" s="218">
        <v>4.23203147361325</v>
      </c>
    </row>
    <row r="236" spans="1:52" ht="15" thickBot="1" x14ac:dyDescent="0.4">
      <c r="A236" s="258" t="s">
        <v>659</v>
      </c>
      <c r="B236" s="259">
        <f>AVERAGE(ABS(B235/B222),ABS(C235/C222),ABS(D235/D222),ABS(E235/E222))</f>
        <v>0.4275719540451377</v>
      </c>
      <c r="C236" s="260"/>
      <c r="D236" s="260"/>
      <c r="E236" s="261"/>
      <c r="F236" s="257" t="s">
        <v>484</v>
      </c>
      <c r="G236" s="257" t="s">
        <v>484</v>
      </c>
      <c r="H236" s="257" t="s">
        <v>484</v>
      </c>
      <c r="I236" s="257" t="s">
        <v>484</v>
      </c>
      <c r="J236" s="257" t="s">
        <v>484</v>
      </c>
      <c r="V236" s="96" t="s">
        <v>611</v>
      </c>
      <c r="W236" s="96">
        <v>0.99210845405463288</v>
      </c>
      <c r="X236" s="96">
        <v>4.4506912771628264E-2</v>
      </c>
      <c r="Y236" s="96">
        <v>22.291109229375046</v>
      </c>
      <c r="Z236" s="96">
        <v>2.0064485307111765E-3</v>
      </c>
      <c r="AA236" s="96">
        <v>0.80061066432506522</v>
      </c>
      <c r="AB236" s="96">
        <v>1.1836062437842005</v>
      </c>
      <c r="AC236" s="96">
        <v>0.80061066432506522</v>
      </c>
      <c r="AD236" s="96">
        <v>1.1836062437842005</v>
      </c>
      <c r="AQ236" t="s">
        <v>645</v>
      </c>
      <c r="AR236" s="218">
        <v>38.700000000000003</v>
      </c>
      <c r="AS236" s="218">
        <v>39.9</v>
      </c>
      <c r="AT236" s="218">
        <v>41.4</v>
      </c>
      <c r="AU236" s="218">
        <v>37.200000000000003</v>
      </c>
      <c r="AV236" s="218">
        <v>37.059120364407192</v>
      </c>
      <c r="AW236" s="218">
        <v>39.770833885362848</v>
      </c>
      <c r="AX236" s="218">
        <v>40.505723439188117</v>
      </c>
      <c r="AY236" s="218">
        <v>40.86738168418087</v>
      </c>
      <c r="AZ236" s="218">
        <v>42.441619386270688</v>
      </c>
    </row>
    <row r="237" spans="1:52" x14ac:dyDescent="0.35">
      <c r="A237" s="21" t="s">
        <v>63</v>
      </c>
      <c r="B237" s="12">
        <v>-5390000000</v>
      </c>
      <c r="C237" s="12">
        <v>-6954000000</v>
      </c>
      <c r="D237" s="12">
        <v>-7371000000</v>
      </c>
      <c r="E237" s="12">
        <v>-5379000000</v>
      </c>
      <c r="F237" s="266">
        <f>F223+F225+F227+F229+F231+F233+F235</f>
        <v>-6510614538.446497</v>
      </c>
      <c r="G237" s="266">
        <f t="shared" ref="G237:J237" si="116">G223+G225+G227+G229+G231+G233+G235</f>
        <v>-6600832788.2912378</v>
      </c>
      <c r="H237" s="266">
        <f t="shared" si="116"/>
        <v>-6734875628.2441034</v>
      </c>
      <c r="I237" s="266">
        <f t="shared" si="116"/>
        <v>-6873534986.6045599</v>
      </c>
      <c r="J237" s="266">
        <f t="shared" si="116"/>
        <v>-8006932281.6252518</v>
      </c>
    </row>
    <row r="238" spans="1:52" x14ac:dyDescent="0.35">
      <c r="A238" s="33" t="s">
        <v>663</v>
      </c>
      <c r="B238" s="32">
        <v>624000000</v>
      </c>
      <c r="C238" s="32">
        <v>1284000000</v>
      </c>
      <c r="D238" s="32">
        <v>1305000000</v>
      </c>
      <c r="E238" s="32">
        <v>378000000</v>
      </c>
      <c r="F238" s="267">
        <f>F222+F237</f>
        <v>849730964.57188797</v>
      </c>
      <c r="G238" s="267">
        <f t="shared" ref="G238:J238" si="117">G222+G237</f>
        <v>865476124.60845947</v>
      </c>
      <c r="H238" s="267">
        <f t="shared" si="117"/>
        <v>879000335.5389986</v>
      </c>
      <c r="I238" s="267">
        <f t="shared" si="117"/>
        <v>897097421.40251923</v>
      </c>
      <c r="J238" s="267">
        <f t="shared" si="117"/>
        <v>1058012087.3859596</v>
      </c>
    </row>
    <row r="239" spans="1:52" x14ac:dyDescent="0.35">
      <c r="B239" s="67">
        <v>-5.74E-2</v>
      </c>
      <c r="C239" s="67">
        <f t="shared" ref="C239:E239" si="118">C238/B238-1</f>
        <v>1.0576923076923075</v>
      </c>
      <c r="D239" s="67">
        <f t="shared" si="118"/>
        <v>1.6355140186915973E-2</v>
      </c>
      <c r="E239" s="67">
        <f t="shared" si="118"/>
        <v>-0.71034482758620687</v>
      </c>
      <c r="F239" s="67">
        <f>F238/E238-1</f>
        <v>1.2479655147404443</v>
      </c>
      <c r="G239" s="67">
        <f t="shared" ref="G239:J239" si="119">G238/F238-1</f>
        <v>1.8529582530282696E-2</v>
      </c>
      <c r="H239" s="67">
        <f t="shared" si="119"/>
        <v>1.5626324685337201E-2</v>
      </c>
      <c r="I239" s="67">
        <f t="shared" si="119"/>
        <v>2.0588258197220766E-2</v>
      </c>
      <c r="J239" s="67">
        <f t="shared" si="119"/>
        <v>0.17937256550338421</v>
      </c>
      <c r="L239" s="268">
        <f>GEOMEAN(G239:J239)</f>
        <v>3.2156925992403447E-2</v>
      </c>
      <c r="M239" s="67"/>
    </row>
    <row r="240" spans="1:52" x14ac:dyDescent="0.35">
      <c r="L240" s="67"/>
      <c r="M240" s="67">
        <f>AVERAGE(G239:J239)</f>
        <v>5.8529182729056217E-2</v>
      </c>
    </row>
    <row r="241" spans="1:27" x14ac:dyDescent="0.35">
      <c r="A241" s="269"/>
      <c r="L241" s="270"/>
      <c r="M241" s="67"/>
    </row>
    <row r="242" spans="1:27" x14ac:dyDescent="0.35">
      <c r="D242" s="269"/>
      <c r="M242" s="67"/>
    </row>
    <row r="243" spans="1:27" x14ac:dyDescent="0.35">
      <c r="C243" s="271">
        <f>'[2]этот же сайт'!$T$321+'[2]этот же сайт'!$T$322*'Доходный подход'!F233</f>
        <v>-974534707.89217401</v>
      </c>
      <c r="D243" s="271">
        <f>'[2]этот же сайт'!$T$321+'[2]этот же сайт'!$T$322*'Доходный подход'!G233</f>
        <v>-988336009.78346121</v>
      </c>
      <c r="E243" s="271">
        <f>'[2]этот же сайт'!$T$321+'[2]этот же сайт'!$T$322*'Доходный подход'!H233</f>
        <v>-1007556016.205772</v>
      </c>
      <c r="F243" s="271">
        <f>'[2]этот же сайт'!$T$321+'[2]этот же сайт'!$T$322*'Доходный подход'!I233</f>
        <v>-1027972903.6253356</v>
      </c>
      <c r="G243" s="271">
        <f>'[2]этот же сайт'!$T$321+'[2]этот же сайт'!$T$322*'Доходный подход'!J233</f>
        <v>-1196551756.7910657</v>
      </c>
      <c r="L243" s="270"/>
      <c r="M243" s="67"/>
      <c r="V243" t="s">
        <v>664</v>
      </c>
    </row>
    <row r="244" spans="1:27" ht="15" thickBot="1" x14ac:dyDescent="0.4">
      <c r="C244">
        <f>'[2]этот же сайт'!$T$321+'[2]этот же сайт'!$T$322*'Доходный подход'!F233</f>
        <v>-974534707.89217401</v>
      </c>
      <c r="M244" s="67"/>
    </row>
    <row r="245" spans="1:27" x14ac:dyDescent="0.35">
      <c r="L245" s="67"/>
      <c r="M245" s="67"/>
      <c r="V245" s="98" t="s">
        <v>289</v>
      </c>
      <c r="W245" s="98"/>
    </row>
    <row r="246" spans="1:27" x14ac:dyDescent="0.35">
      <c r="A246" s="5" t="s">
        <v>658</v>
      </c>
      <c r="B246" s="5">
        <v>2020</v>
      </c>
      <c r="C246" s="5">
        <v>2021</v>
      </c>
      <c r="D246" s="5">
        <v>2022</v>
      </c>
      <c r="E246" s="5">
        <v>2023</v>
      </c>
      <c r="F246" s="5">
        <v>2024</v>
      </c>
      <c r="G246" s="5">
        <v>2025</v>
      </c>
      <c r="L246" s="67"/>
      <c r="M246" s="67"/>
      <c r="V246" t="s">
        <v>290</v>
      </c>
      <c r="W246">
        <v>0.98033011584603824</v>
      </c>
    </row>
    <row r="247" spans="1:27" x14ac:dyDescent="0.35">
      <c r="A247" s="220" t="s">
        <v>80</v>
      </c>
      <c r="B247" s="25">
        <v>5757000000</v>
      </c>
      <c r="C247" s="125">
        <v>7347318356.4731407</v>
      </c>
      <c r="D247" s="125">
        <v>7451317716.3309507</v>
      </c>
      <c r="E247" s="125">
        <v>7598456127.9816198</v>
      </c>
      <c r="F247" s="125">
        <v>7706148478.2961483</v>
      </c>
      <c r="G247" s="125">
        <v>8731759542.3420696</v>
      </c>
      <c r="L247" s="67"/>
      <c r="M247" s="270"/>
      <c r="V247" t="s">
        <v>291</v>
      </c>
      <c r="W247">
        <v>0.96104713603470682</v>
      </c>
    </row>
    <row r="248" spans="1:27" x14ac:dyDescent="0.35">
      <c r="A248" s="27" t="s">
        <v>88</v>
      </c>
      <c r="B248" s="25">
        <f>[2]BS!J10</f>
        <v>361000000</v>
      </c>
      <c r="C248" s="125">
        <f>$B$249*C247/360</f>
        <v>399524608.15948522</v>
      </c>
      <c r="D248" s="125">
        <f t="shared" ref="D248:G248" si="120">$B$249*D247/360</f>
        <v>405179773.96013719</v>
      </c>
      <c r="E248" s="125">
        <f t="shared" si="120"/>
        <v>413180708.91460955</v>
      </c>
      <c r="F248" s="125">
        <f t="shared" si="120"/>
        <v>419036688.19489747</v>
      </c>
      <c r="G248" s="125">
        <f t="shared" si="120"/>
        <v>474806268.14320272</v>
      </c>
      <c r="V248" t="s">
        <v>292</v>
      </c>
      <c r="W248">
        <v>0.94157070405206023</v>
      </c>
    </row>
    <row r="249" spans="1:27" x14ac:dyDescent="0.35">
      <c r="A249" s="258" t="s">
        <v>665</v>
      </c>
      <c r="B249" s="272">
        <f>[2]оборач!B37</f>
        <v>19.575694417909421</v>
      </c>
      <c r="C249" s="125"/>
      <c r="D249" s="125"/>
      <c r="E249" s="125"/>
      <c r="F249" s="125"/>
      <c r="G249" s="125"/>
      <c r="V249" t="s">
        <v>293</v>
      </c>
      <c r="W249">
        <v>1.9951114633364933</v>
      </c>
    </row>
    <row r="250" spans="1:27" ht="15" thickBot="1" x14ac:dyDescent="0.4">
      <c r="A250" s="27" t="s">
        <v>5</v>
      </c>
      <c r="B250" s="25">
        <f>[2]BS!J8</f>
        <v>468000000</v>
      </c>
      <c r="C250" s="125">
        <f>$B$251*C247/360</f>
        <v>572819821.41818225</v>
      </c>
      <c r="D250" s="125">
        <f t="shared" ref="D250:G250" si="121">$B$251*D247/360</f>
        <v>580927935.40631104</v>
      </c>
      <c r="E250" s="125">
        <f t="shared" si="121"/>
        <v>592399304.22364771</v>
      </c>
      <c r="F250" s="125">
        <f t="shared" si="121"/>
        <v>600795335.24916112</v>
      </c>
      <c r="G250" s="125">
        <f t="shared" si="121"/>
        <v>680755167.94563127</v>
      </c>
      <c r="V250" s="96" t="s">
        <v>294</v>
      </c>
      <c r="W250" s="96">
        <v>4</v>
      </c>
    </row>
    <row r="251" spans="1:27" x14ac:dyDescent="0.35">
      <c r="A251" s="258" t="s">
        <v>665</v>
      </c>
      <c r="B251" s="272">
        <f>[2]оборач!B43</f>
        <v>28.066721177103446</v>
      </c>
      <c r="C251" s="125"/>
      <c r="D251" s="125"/>
      <c r="E251" s="125"/>
      <c r="F251" s="125"/>
      <c r="G251" s="125"/>
    </row>
    <row r="252" spans="1:27" ht="15" thickBot="1" x14ac:dyDescent="0.4">
      <c r="A252" s="27" t="s">
        <v>108</v>
      </c>
      <c r="B252" s="25">
        <f>[2]BS!J28</f>
        <v>1546000000</v>
      </c>
      <c r="C252" s="125">
        <f>$B$253*C247/360</f>
        <v>1340002968.1732466</v>
      </c>
      <c r="D252" s="125">
        <f t="shared" ref="D252:G252" si="122">$B$253*D247/360</f>
        <v>1358970357.9250197</v>
      </c>
      <c r="E252" s="125">
        <f t="shared" si="122"/>
        <v>1385805442.3433349</v>
      </c>
      <c r="F252" s="125">
        <f t="shared" si="122"/>
        <v>1405446359.2152548</v>
      </c>
      <c r="G252" s="125">
        <f t="shared" si="122"/>
        <v>1592497171.9518569</v>
      </c>
      <c r="V252" t="s">
        <v>295</v>
      </c>
    </row>
    <row r="253" spans="1:27" x14ac:dyDescent="0.35">
      <c r="A253" s="258" t="s">
        <v>665</v>
      </c>
      <c r="B253" s="272">
        <f>[2]оборач!B49</f>
        <v>65.656753272078291</v>
      </c>
      <c r="C253" s="125"/>
      <c r="D253" s="125"/>
      <c r="E253" s="125"/>
      <c r="F253" s="125"/>
      <c r="G253" s="125"/>
      <c r="V253" s="97"/>
      <c r="W253" s="97" t="s">
        <v>299</v>
      </c>
      <c r="X253" s="97" t="s">
        <v>300</v>
      </c>
      <c r="Y253" s="97" t="s">
        <v>301</v>
      </c>
      <c r="Z253" s="97" t="s">
        <v>302</v>
      </c>
      <c r="AA253" s="97" t="s">
        <v>303</v>
      </c>
    </row>
    <row r="254" spans="1:27" x14ac:dyDescent="0.35">
      <c r="A254" s="27" t="s">
        <v>666</v>
      </c>
      <c r="B254" s="25">
        <f>B248+B250-B252</f>
        <v>-717000000</v>
      </c>
      <c r="C254" s="125">
        <f t="shared" ref="C254:G254" si="123">C248+C250-C252</f>
        <v>-367658538.59557915</v>
      </c>
      <c r="D254" s="125">
        <f t="shared" si="123"/>
        <v>-372862648.55857158</v>
      </c>
      <c r="E254" s="125">
        <f t="shared" si="123"/>
        <v>-380225429.20507765</v>
      </c>
      <c r="F254" s="125">
        <f t="shared" si="123"/>
        <v>-385614335.77119613</v>
      </c>
      <c r="G254" s="125">
        <f t="shared" si="123"/>
        <v>-436935735.8630228</v>
      </c>
      <c r="V254" t="s">
        <v>296</v>
      </c>
      <c r="W254">
        <v>1</v>
      </c>
      <c r="X254">
        <v>196.41272373764951</v>
      </c>
      <c r="Y254">
        <v>196.41272373764951</v>
      </c>
      <c r="Z254">
        <v>49.344106604895288</v>
      </c>
      <c r="AA254">
        <v>1.9669884153961752E-2</v>
      </c>
    </row>
    <row r="255" spans="1:27" x14ac:dyDescent="0.35">
      <c r="A255" s="27" t="s">
        <v>667</v>
      </c>
      <c r="B255" s="25" t="s">
        <v>46</v>
      </c>
      <c r="C255" s="128">
        <f>C254-B254</f>
        <v>349341461.40442085</v>
      </c>
      <c r="D255" s="128">
        <f>D254-C254</f>
        <v>-5204109.9629924297</v>
      </c>
      <c r="E255" s="128">
        <f>E254-D254</f>
        <v>-7362780.6465060711</v>
      </c>
      <c r="F255" s="128">
        <f>F254-E254</f>
        <v>-5388906.5661184788</v>
      </c>
      <c r="G255" s="128">
        <f>G254-F254</f>
        <v>-51321400.091826677</v>
      </c>
      <c r="V255" t="s">
        <v>297</v>
      </c>
      <c r="W255">
        <v>2</v>
      </c>
      <c r="X255">
        <v>7.9609395022733667</v>
      </c>
      <c r="Y255">
        <v>3.9804697511366833</v>
      </c>
    </row>
    <row r="256" spans="1:27" ht="15" thickBot="1" x14ac:dyDescent="0.4"/>
    <row r="257" spans="1:30" x14ac:dyDescent="0.35">
      <c r="A257" t="s">
        <v>668</v>
      </c>
      <c r="B257">
        <v>1</v>
      </c>
      <c r="C257">
        <v>2</v>
      </c>
      <c r="D257">
        <v>3</v>
      </c>
      <c r="E257">
        <v>4</v>
      </c>
      <c r="F257">
        <v>5</v>
      </c>
      <c r="G257">
        <v>5</v>
      </c>
      <c r="V257" s="97"/>
      <c r="W257" s="97" t="s">
        <v>304</v>
      </c>
      <c r="X257" s="97" t="s">
        <v>293</v>
      </c>
      <c r="Y257" s="97" t="s">
        <v>305</v>
      </c>
      <c r="Z257" s="97" t="s">
        <v>306</v>
      </c>
      <c r="AA257" s="97" t="s">
        <v>307</v>
      </c>
      <c r="AB257" s="97" t="s">
        <v>308</v>
      </c>
      <c r="AC257" s="97" t="s">
        <v>309</v>
      </c>
      <c r="AD257" s="97" t="s">
        <v>310</v>
      </c>
    </row>
    <row r="258" spans="1:30" x14ac:dyDescent="0.35">
      <c r="A258" s="220" t="s">
        <v>669</v>
      </c>
      <c r="B258" s="273">
        <v>1</v>
      </c>
      <c r="C258" s="273">
        <v>2</v>
      </c>
      <c r="D258" s="273">
        <v>3</v>
      </c>
      <c r="E258" s="273">
        <v>4</v>
      </c>
      <c r="F258" s="273">
        <v>5</v>
      </c>
      <c r="G258" s="273">
        <v>5</v>
      </c>
      <c r="V258" s="265"/>
      <c r="W258" s="265"/>
      <c r="X258" s="265"/>
      <c r="Y258" s="265"/>
      <c r="Z258" s="265"/>
      <c r="AA258" s="265"/>
      <c r="AB258" s="265"/>
      <c r="AC258" s="265"/>
      <c r="AD258" s="265"/>
    </row>
    <row r="259" spans="1:30" x14ac:dyDescent="0.35">
      <c r="A259" s="220" t="s">
        <v>610</v>
      </c>
      <c r="B259" s="5">
        <v>2021</v>
      </c>
      <c r="C259" s="5">
        <v>2022</v>
      </c>
      <c r="D259" s="5">
        <v>2023</v>
      </c>
      <c r="E259" s="5">
        <v>2024</v>
      </c>
      <c r="F259" s="5">
        <v>2025</v>
      </c>
      <c r="G259" s="5" t="s">
        <v>670</v>
      </c>
      <c r="V259" t="s">
        <v>298</v>
      </c>
      <c r="W259">
        <v>5.07139928247922</v>
      </c>
      <c r="X259">
        <v>5.3973378215829202</v>
      </c>
      <c r="Y259">
        <v>0.9396112398597074</v>
      </c>
      <c r="Z259">
        <v>0.4466043666385815</v>
      </c>
      <c r="AA259">
        <v>-18.151471028934555</v>
      </c>
      <c r="AB259">
        <v>28.294269593892995</v>
      </c>
      <c r="AC259">
        <v>-18.151471028934555</v>
      </c>
      <c r="AD259">
        <v>28.294269593892995</v>
      </c>
    </row>
    <row r="260" spans="1:30" ht="15" thickBot="1" x14ac:dyDescent="0.4">
      <c r="A260" s="220" t="s">
        <v>80</v>
      </c>
      <c r="B260" s="125">
        <f>F222</f>
        <v>7360345503.0183849</v>
      </c>
      <c r="C260" s="125">
        <f t="shared" ref="C260:F260" si="124">G222</f>
        <v>7466308912.8996973</v>
      </c>
      <c r="D260" s="125">
        <f t="shared" si="124"/>
        <v>7613875963.783102</v>
      </c>
      <c r="E260" s="125">
        <f t="shared" si="124"/>
        <v>7770632408.0070791</v>
      </c>
      <c r="F260" s="125">
        <f t="shared" si="124"/>
        <v>9064944369.0112114</v>
      </c>
      <c r="G260" s="125" t="s">
        <v>46</v>
      </c>
      <c r="V260" s="96" t="s">
        <v>611</v>
      </c>
      <c r="W260" s="96">
        <v>0.65247423459451792</v>
      </c>
      <c r="X260" s="96">
        <v>9.2885029088953228E-2</v>
      </c>
      <c r="Y260" s="96">
        <v>7.0245360419671377</v>
      </c>
      <c r="Z260" s="96">
        <v>1.9669884153961734E-2</v>
      </c>
      <c r="AA260" s="96">
        <v>0.252822210632075</v>
      </c>
      <c r="AB260" s="96">
        <v>1.0521262585569608</v>
      </c>
      <c r="AC260" s="96">
        <v>0.252822210632075</v>
      </c>
      <c r="AD260" s="96">
        <v>1.0521262585569608</v>
      </c>
    </row>
    <row r="261" spans="1:30" x14ac:dyDescent="0.35">
      <c r="A261" s="274" t="s">
        <v>671</v>
      </c>
      <c r="B261" s="275">
        <f>F237</f>
        <v>-6510614538.446497</v>
      </c>
      <c r="C261" s="275">
        <f t="shared" ref="C261:F261" si="125">G237</f>
        <v>-6600832788.2912378</v>
      </c>
      <c r="D261" s="275">
        <f t="shared" si="125"/>
        <v>-6734875628.2441034</v>
      </c>
      <c r="E261" s="275">
        <f t="shared" si="125"/>
        <v>-6873534986.6045599</v>
      </c>
      <c r="F261" s="275">
        <f t="shared" si="125"/>
        <v>-8006932281.6252518</v>
      </c>
      <c r="G261" s="275" t="s">
        <v>46</v>
      </c>
      <c r="J261" s="37"/>
      <c r="L261" s="214"/>
    </row>
    <row r="262" spans="1:30" x14ac:dyDescent="0.35">
      <c r="A262" s="27" t="s">
        <v>663</v>
      </c>
      <c r="B262" s="125">
        <f>B260+B261</f>
        <v>849730964.57188797</v>
      </c>
      <c r="C262" s="125">
        <f t="shared" ref="C262:F262" si="126">C260+C261</f>
        <v>865476124.60845947</v>
      </c>
      <c r="D262" s="125">
        <f t="shared" si="126"/>
        <v>879000335.5389986</v>
      </c>
      <c r="E262" s="125">
        <f t="shared" si="126"/>
        <v>897097421.40251923</v>
      </c>
      <c r="F262" s="125">
        <f t="shared" si="126"/>
        <v>1058012087.3859596</v>
      </c>
      <c r="G262" s="125" t="s">
        <v>46</v>
      </c>
    </row>
    <row r="263" spans="1:30" x14ac:dyDescent="0.35">
      <c r="A263" s="220" t="s">
        <v>672</v>
      </c>
      <c r="B263" s="276">
        <v>0.2</v>
      </c>
      <c r="C263" s="276">
        <v>0.2</v>
      </c>
      <c r="D263" s="276">
        <v>0.2</v>
      </c>
      <c r="E263" s="276">
        <v>0.2</v>
      </c>
      <c r="F263" s="276">
        <v>0.2</v>
      </c>
      <c r="G263" s="276" t="s">
        <v>46</v>
      </c>
      <c r="L263" s="277"/>
    </row>
    <row r="264" spans="1:30" x14ac:dyDescent="0.35">
      <c r="A264" s="220" t="s">
        <v>673</v>
      </c>
      <c r="B264" s="125">
        <f>B262*(1-B263)</f>
        <v>679784771.6575104</v>
      </c>
      <c r="C264" s="125">
        <f t="shared" ref="C264:F264" si="127">C262*(1-C263)</f>
        <v>692380899.68676758</v>
      </c>
      <c r="D264" s="125">
        <f t="shared" si="127"/>
        <v>703200268.43119895</v>
      </c>
      <c r="E264" s="125">
        <f t="shared" si="127"/>
        <v>717677937.12201548</v>
      </c>
      <c r="F264" s="125">
        <f t="shared" si="127"/>
        <v>846409669.9087677</v>
      </c>
      <c r="G264" s="125" t="s">
        <v>46</v>
      </c>
    </row>
    <row r="265" spans="1:30" x14ac:dyDescent="0.35">
      <c r="A265" s="27" t="s">
        <v>60</v>
      </c>
      <c r="B265" s="125">
        <f>-F233</f>
        <v>678751240.85794842</v>
      </c>
      <c r="C265" s="125">
        <f t="shared" ref="C265:F265" si="128">-G233</f>
        <v>688522901.15745282</v>
      </c>
      <c r="D265" s="125">
        <f t="shared" si="128"/>
        <v>702131137.19145203</v>
      </c>
      <c r="E265" s="125">
        <f t="shared" si="128"/>
        <v>716586794.33225763</v>
      </c>
      <c r="F265" s="125">
        <f t="shared" si="128"/>
        <v>835944757.79043651</v>
      </c>
      <c r="G265" s="125" t="s">
        <v>46</v>
      </c>
      <c r="L265" s="225"/>
    </row>
    <row r="266" spans="1:30" x14ac:dyDescent="0.35">
      <c r="A266" s="27" t="s">
        <v>674</v>
      </c>
      <c r="B266" s="125">
        <v>800000000</v>
      </c>
      <c r="C266" s="125">
        <v>800000000</v>
      </c>
      <c r="D266" s="125">
        <v>800000000</v>
      </c>
      <c r="E266" s="125">
        <v>800000000</v>
      </c>
      <c r="F266" s="125">
        <v>800000000</v>
      </c>
      <c r="G266" s="125" t="s">
        <v>46</v>
      </c>
    </row>
    <row r="267" spans="1:30" x14ac:dyDescent="0.35">
      <c r="A267" s="27" t="s">
        <v>675</v>
      </c>
      <c r="B267" s="125">
        <f>C255</f>
        <v>349341461.40442085</v>
      </c>
      <c r="C267" s="125">
        <f>D255</f>
        <v>-5204109.9629924297</v>
      </c>
      <c r="D267" s="125">
        <f>E255</f>
        <v>-7362780.6465060711</v>
      </c>
      <c r="E267" s="125">
        <f>F255</f>
        <v>-5388906.5661184788</v>
      </c>
      <c r="F267" s="125">
        <f>G255</f>
        <v>-51321400.091826677</v>
      </c>
      <c r="G267" s="125" t="s">
        <v>46</v>
      </c>
      <c r="V267" t="s">
        <v>610</v>
      </c>
      <c r="W267">
        <v>2017</v>
      </c>
      <c r="X267">
        <v>2018</v>
      </c>
      <c r="Y267">
        <v>2019</v>
      </c>
      <c r="Z267">
        <v>2020</v>
      </c>
    </row>
    <row r="268" spans="1:30" x14ac:dyDescent="0.35">
      <c r="A268" s="27" t="s">
        <v>676</v>
      </c>
      <c r="B268" s="125">
        <f>B264+B265-B266-B267</f>
        <v>209194551.11103797</v>
      </c>
      <c r="C268" s="125">
        <f t="shared" ref="C268:F268" si="129">C264+C265-C266-C267</f>
        <v>586107910.80721283</v>
      </c>
      <c r="D268" s="125">
        <f t="shared" si="129"/>
        <v>612694186.26915717</v>
      </c>
      <c r="E268" s="125">
        <f t="shared" si="129"/>
        <v>639653638.0203917</v>
      </c>
      <c r="F268" s="125">
        <f t="shared" si="129"/>
        <v>933675827.79103088</v>
      </c>
      <c r="G268" s="125">
        <f>F268*(1+M240)/(G269-M240)</f>
        <v>16311317977.180826</v>
      </c>
      <c r="V268" t="s">
        <v>599</v>
      </c>
      <c r="W268">
        <v>58.35</v>
      </c>
      <c r="X268">
        <v>62.71</v>
      </c>
      <c r="Y268">
        <v>64.739999999999995</v>
      </c>
      <c r="Z268">
        <v>72.150000000000006</v>
      </c>
    </row>
    <row r="269" spans="1:30" x14ac:dyDescent="0.35">
      <c r="A269" s="27" t="s">
        <v>330</v>
      </c>
      <c r="B269" s="276">
        <f>[2]WACC!$R$39</f>
        <v>0.119120430616453</v>
      </c>
      <c r="C269" s="276">
        <f>[2]WACC!$R$39</f>
        <v>0.119120430616453</v>
      </c>
      <c r="D269" s="276">
        <f>[2]WACC!$R$39</f>
        <v>0.119120430616453</v>
      </c>
      <c r="E269" s="276">
        <f>[2]WACC!$R$39</f>
        <v>0.119120430616453</v>
      </c>
      <c r="F269" s="276">
        <f>[2]WACC!$R$39</f>
        <v>0.119120430616453</v>
      </c>
      <c r="G269" s="276">
        <f>[2]WACC!$R$39</f>
        <v>0.119120430616453</v>
      </c>
      <c r="V269" t="s">
        <v>608</v>
      </c>
      <c r="W269" s="218">
        <v>53.996314164641809</v>
      </c>
      <c r="X269" s="218">
        <v>69.829300490989553</v>
      </c>
      <c r="Y269" s="218">
        <v>63.337297204271955</v>
      </c>
      <c r="Z269" s="218">
        <v>41.263602907438525</v>
      </c>
    </row>
    <row r="270" spans="1:30" x14ac:dyDescent="0.35">
      <c r="A270" s="27" t="s">
        <v>677</v>
      </c>
      <c r="B270" s="125">
        <f>B268/(1+B269)^B257</f>
        <v>186927649.06079486</v>
      </c>
      <c r="C270" s="125">
        <f t="shared" ref="C270:F270" si="130">C268/(1+C269)^C257</f>
        <v>467976381.06040931</v>
      </c>
      <c r="D270" s="125">
        <f t="shared" si="130"/>
        <v>437132691.14833838</v>
      </c>
      <c r="E270" s="125">
        <f t="shared" si="130"/>
        <v>407790944.18980312</v>
      </c>
      <c r="F270" s="125">
        <f t="shared" si="130"/>
        <v>531877959.55539596</v>
      </c>
      <c r="G270" s="125">
        <f>G268/(1+G269)^G257</f>
        <v>9291908674.4354572</v>
      </c>
      <c r="H270" s="37">
        <f>SUM(B270:G270)</f>
        <v>11323614299.450199</v>
      </c>
      <c r="I270" s="37"/>
      <c r="V270" t="s">
        <v>601</v>
      </c>
      <c r="W270">
        <v>7.3</v>
      </c>
      <c r="X270">
        <v>7.3</v>
      </c>
      <c r="Y270">
        <v>7.3</v>
      </c>
      <c r="Z270">
        <v>7.3</v>
      </c>
    </row>
    <row r="271" spans="1:30" x14ac:dyDescent="0.35">
      <c r="V271" t="s">
        <v>678</v>
      </c>
      <c r="W271" s="95">
        <f>W269*W268*W270/1000</f>
        <v>23.000000000000004</v>
      </c>
      <c r="X271" s="95">
        <f t="shared" ref="X271:Z271" si="131">X269*X268*X270/1000</f>
        <v>31.966666666666672</v>
      </c>
      <c r="Y271" s="95">
        <f t="shared" si="131"/>
        <v>29.933333333333334</v>
      </c>
      <c r="Z271" s="95">
        <f t="shared" si="131"/>
        <v>21.733333333333334</v>
      </c>
    </row>
    <row r="272" spans="1:30" x14ac:dyDescent="0.35">
      <c r="V272" t="s">
        <v>678</v>
      </c>
      <c r="W272" s="95">
        <v>23.000000000000004</v>
      </c>
      <c r="X272" s="95">
        <v>31.966666666666672</v>
      </c>
      <c r="Y272" s="95">
        <v>29.933333333333334</v>
      </c>
      <c r="Z272" s="95">
        <v>21.733333333333334</v>
      </c>
    </row>
    <row r="273" spans="2:28" x14ac:dyDescent="0.35">
      <c r="B273" s="37"/>
      <c r="D273" s="37"/>
      <c r="V273" t="s">
        <v>616</v>
      </c>
      <c r="W273">
        <v>35.200000000000003</v>
      </c>
      <c r="X273">
        <v>42.1</v>
      </c>
      <c r="Y273">
        <v>39.5</v>
      </c>
      <c r="Z273">
        <v>30.4</v>
      </c>
    </row>
    <row r="274" spans="2:28" x14ac:dyDescent="0.35">
      <c r="B274" s="37"/>
      <c r="G274" s="2" t="s">
        <v>679</v>
      </c>
      <c r="H274" s="53">
        <f>H270*1000</f>
        <v>11323614299450.199</v>
      </c>
      <c r="L274" s="37"/>
      <c r="V274" t="s">
        <v>618</v>
      </c>
      <c r="W274">
        <v>27.9</v>
      </c>
      <c r="X274">
        <v>36.799999999999997</v>
      </c>
      <c r="Y274">
        <v>31.9</v>
      </c>
      <c r="Z274">
        <v>24.6</v>
      </c>
    </row>
    <row r="275" spans="2:28" x14ac:dyDescent="0.35">
      <c r="B275" s="277"/>
      <c r="G275" s="2" t="s">
        <v>680</v>
      </c>
      <c r="H275" s="53">
        <f>[2]WACC!R32*1000</f>
        <v>4608000000000</v>
      </c>
      <c r="V275" t="s">
        <v>619</v>
      </c>
      <c r="W275">
        <v>26.9</v>
      </c>
      <c r="X275">
        <v>37.9</v>
      </c>
      <c r="Y275">
        <v>35.700000000000003</v>
      </c>
      <c r="Z275">
        <v>24</v>
      </c>
    </row>
    <row r="276" spans="2:28" x14ac:dyDescent="0.35">
      <c r="B276" s="277"/>
      <c r="G276" s="2" t="s">
        <v>681</v>
      </c>
      <c r="H276" s="53">
        <f>[2]BS!J5*1000</f>
        <v>806000000000</v>
      </c>
      <c r="V276" t="s">
        <v>620</v>
      </c>
      <c r="W276">
        <v>18.600000000000001</v>
      </c>
      <c r="X276">
        <v>25.9</v>
      </c>
      <c r="Y276">
        <v>23</v>
      </c>
      <c r="Z276">
        <v>17.2</v>
      </c>
    </row>
    <row r="277" spans="2:28" x14ac:dyDescent="0.35">
      <c r="G277" s="2" t="s">
        <v>682</v>
      </c>
      <c r="H277" s="278">
        <f>H275-H276</f>
        <v>3802000000000</v>
      </c>
      <c r="L277" s="37"/>
    </row>
    <row r="278" spans="2:28" x14ac:dyDescent="0.35">
      <c r="B278" s="277"/>
      <c r="G278" s="2" t="s">
        <v>683</v>
      </c>
      <c r="H278" s="53">
        <f>H274-H277</f>
        <v>7521614299450.1992</v>
      </c>
      <c r="L278" s="279"/>
    </row>
    <row r="279" spans="2:28" x14ac:dyDescent="0.35">
      <c r="B279" s="277"/>
      <c r="G279" s="2" t="s">
        <v>684</v>
      </c>
      <c r="H279" s="53">
        <v>10598177817</v>
      </c>
      <c r="K279" s="277"/>
      <c r="V279" s="211" t="s">
        <v>610</v>
      </c>
      <c r="W279" s="211" t="s">
        <v>678</v>
      </c>
      <c r="X279" s="211" t="s">
        <v>616</v>
      </c>
      <c r="Y279" s="211" t="s">
        <v>618</v>
      </c>
      <c r="Z279" s="211" t="s">
        <v>619</v>
      </c>
      <c r="AA279" s="211" t="s">
        <v>620</v>
      </c>
      <c r="AB279" s="280" t="s">
        <v>552</v>
      </c>
    </row>
    <row r="280" spans="2:28" x14ac:dyDescent="0.35">
      <c r="G280" s="108" t="s">
        <v>685</v>
      </c>
      <c r="H280" s="281">
        <f>H278/H279</f>
        <v>709.70825639339239</v>
      </c>
      <c r="V280" s="211">
        <v>2017</v>
      </c>
      <c r="W280" s="282">
        <v>23.000000000000004</v>
      </c>
      <c r="X280" s="211">
        <v>35.200000000000003</v>
      </c>
      <c r="Y280" s="211">
        <v>27.9</v>
      </c>
      <c r="Z280" s="211">
        <v>26.9</v>
      </c>
      <c r="AA280" s="211">
        <v>18.600000000000001</v>
      </c>
      <c r="AB280">
        <v>26.6</v>
      </c>
    </row>
    <row r="281" spans="2:28" x14ac:dyDescent="0.35">
      <c r="G281" s="2" t="s">
        <v>686</v>
      </c>
      <c r="H281" s="18">
        <v>0.26800000000000002</v>
      </c>
      <c r="K281" s="283"/>
      <c r="M281" s="95"/>
      <c r="V281" s="211">
        <v>2018</v>
      </c>
      <c r="W281" s="282">
        <v>31.966666666666672</v>
      </c>
      <c r="X281" s="211">
        <v>42.1</v>
      </c>
      <c r="Y281" s="211">
        <v>36.799999999999997</v>
      </c>
      <c r="Z281" s="211">
        <v>37.9</v>
      </c>
      <c r="AA281" s="211">
        <v>25.9</v>
      </c>
      <c r="AB281">
        <v>35.700000000000003</v>
      </c>
    </row>
    <row r="282" spans="2:28" x14ac:dyDescent="0.35">
      <c r="G282" s="2" t="s">
        <v>687</v>
      </c>
      <c r="H282" s="18">
        <f>1-1/(1+H281)</f>
        <v>0.21135646687697163</v>
      </c>
      <c r="K282" s="284"/>
      <c r="V282" s="211">
        <v>2019</v>
      </c>
      <c r="W282" s="282">
        <v>29.933333333333334</v>
      </c>
      <c r="X282" s="211">
        <v>39.5</v>
      </c>
      <c r="Y282" s="211">
        <v>31.9</v>
      </c>
      <c r="Z282" s="211">
        <v>35.700000000000003</v>
      </c>
      <c r="AA282" s="211">
        <v>23</v>
      </c>
      <c r="AB282">
        <v>27.2</v>
      </c>
    </row>
    <row r="283" spans="2:28" x14ac:dyDescent="0.35">
      <c r="G283" s="108" t="s">
        <v>688</v>
      </c>
      <c r="H283" s="281">
        <f>H280*(1-H282)</f>
        <v>559.70682680866912</v>
      </c>
      <c r="V283" s="211">
        <v>2020</v>
      </c>
      <c r="W283" s="282">
        <v>21.733333333333334</v>
      </c>
      <c r="X283" s="211">
        <v>30.4</v>
      </c>
      <c r="Y283" s="211">
        <v>24.6</v>
      </c>
      <c r="Z283" s="211">
        <v>24</v>
      </c>
      <c r="AA283" s="211">
        <v>17.2</v>
      </c>
      <c r="AB283">
        <v>20.9</v>
      </c>
    </row>
    <row r="284" spans="2:28" x14ac:dyDescent="0.35">
      <c r="B284" s="285"/>
      <c r="C284" s="285"/>
      <c r="D284" s="285"/>
      <c r="E284" s="285"/>
      <c r="F284" s="285"/>
      <c r="G284" s="108" t="s">
        <v>689</v>
      </c>
      <c r="H284" s="41">
        <v>525.54999999999995</v>
      </c>
    </row>
    <row r="285" spans="2:28" ht="15" thickBot="1" x14ac:dyDescent="0.4">
      <c r="G285" s="108" t="s">
        <v>690</v>
      </c>
      <c r="H285" s="57">
        <f>H283/H284-1</f>
        <v>6.4992535075005575E-2</v>
      </c>
    </row>
    <row r="286" spans="2:28" x14ac:dyDescent="0.35">
      <c r="V286" s="97"/>
      <c r="W286" s="97" t="s">
        <v>610</v>
      </c>
      <c r="X286" s="97" t="s">
        <v>678</v>
      </c>
      <c r="Y286" s="97" t="s">
        <v>616</v>
      </c>
      <c r="Z286" s="97" t="s">
        <v>618</v>
      </c>
      <c r="AA286" s="97" t="s">
        <v>619</v>
      </c>
      <c r="AB286" s="97" t="s">
        <v>620</v>
      </c>
    </row>
    <row r="287" spans="2:28" x14ac:dyDescent="0.35">
      <c r="V287" t="s">
        <v>610</v>
      </c>
      <c r="W287">
        <v>1</v>
      </c>
    </row>
    <row r="288" spans="2:28" x14ac:dyDescent="0.35">
      <c r="V288" t="s">
        <v>678</v>
      </c>
      <c r="W288">
        <v>-0.1490901317824021</v>
      </c>
      <c r="X288">
        <v>1</v>
      </c>
    </row>
    <row r="289" spans="1:28" x14ac:dyDescent="0.35">
      <c r="V289" t="s">
        <v>616</v>
      </c>
      <c r="W289">
        <v>-0.42795235630253575</v>
      </c>
      <c r="X289" s="100">
        <v>0.95673039978182561</v>
      </c>
      <c r="Y289">
        <v>1</v>
      </c>
    </row>
    <row r="290" spans="1:28" x14ac:dyDescent="0.35">
      <c r="V290" t="s">
        <v>618</v>
      </c>
      <c r="W290">
        <v>-0.36312048866024377</v>
      </c>
      <c r="X290" s="100">
        <v>0.96064075934749327</v>
      </c>
      <c r="Y290">
        <v>0.97698323330313441</v>
      </c>
      <c r="Z290">
        <v>1</v>
      </c>
    </row>
    <row r="291" spans="1:28" x14ac:dyDescent="0.35">
      <c r="V291" t="s">
        <v>619</v>
      </c>
      <c r="W291">
        <v>-0.20942378444168197</v>
      </c>
      <c r="X291" s="100">
        <v>0.99678774015035965</v>
      </c>
      <c r="Y291">
        <v>0.97333045990416978</v>
      </c>
      <c r="Z291">
        <v>0.96269078795003626</v>
      </c>
      <c r="AA291">
        <v>1</v>
      </c>
    </row>
    <row r="292" spans="1:28" ht="15" thickBot="1" x14ac:dyDescent="0.4">
      <c r="V292" s="96" t="s">
        <v>620</v>
      </c>
      <c r="W292" s="96">
        <v>-0.22894293771348295</v>
      </c>
      <c r="X292" s="101">
        <v>0.989888321210456</v>
      </c>
      <c r="Y292" s="96">
        <v>0.96645420786437741</v>
      </c>
      <c r="Z292" s="96">
        <v>0.98846078177996632</v>
      </c>
      <c r="AA292" s="96">
        <v>0.98584088326167607</v>
      </c>
      <c r="AB292" s="96">
        <v>1</v>
      </c>
    </row>
    <row r="293" spans="1:28" x14ac:dyDescent="0.35">
      <c r="B293" s="286">
        <f>-B298</f>
        <v>6510.6145384464971</v>
      </c>
      <c r="C293" s="286">
        <f t="shared" ref="C293:F293" si="132">-C298</f>
        <v>6600.8327882912381</v>
      </c>
      <c r="D293" s="286">
        <f t="shared" si="132"/>
        <v>6734.8756282441036</v>
      </c>
      <c r="E293" s="286">
        <f t="shared" si="132"/>
        <v>6873.5349866045599</v>
      </c>
      <c r="F293" s="286">
        <f t="shared" si="132"/>
        <v>8006.9322816252516</v>
      </c>
    </row>
    <row r="295" spans="1:28" x14ac:dyDescent="0.35">
      <c r="V295" t="s">
        <v>691</v>
      </c>
    </row>
    <row r="296" spans="1:28" ht="15" thickBot="1" x14ac:dyDescent="0.4">
      <c r="A296" s="5" t="s">
        <v>692</v>
      </c>
      <c r="B296" s="230">
        <v>2021</v>
      </c>
      <c r="C296" s="230">
        <v>2022</v>
      </c>
      <c r="D296" s="230">
        <v>2023</v>
      </c>
      <c r="E296" s="230">
        <v>2024</v>
      </c>
      <c r="F296" s="230">
        <v>2025</v>
      </c>
      <c r="G296" s="230" t="s">
        <v>670</v>
      </c>
    </row>
    <row r="297" spans="1:28" x14ac:dyDescent="0.35">
      <c r="A297" s="220" t="s">
        <v>80</v>
      </c>
      <c r="B297" s="287">
        <f>B260/1000000</f>
        <v>7360.345503018385</v>
      </c>
      <c r="C297" s="287">
        <f t="shared" ref="C297:F297" si="133">C260/1000000</f>
        <v>7466.3089128996971</v>
      </c>
      <c r="D297" s="287">
        <f t="shared" si="133"/>
        <v>7613.8759637831017</v>
      </c>
      <c r="E297" s="287">
        <f t="shared" si="133"/>
        <v>7770.632408007079</v>
      </c>
      <c r="F297" s="287">
        <f t="shared" si="133"/>
        <v>9064.9443690112112</v>
      </c>
      <c r="G297" s="287" t="s">
        <v>46</v>
      </c>
      <c r="V297" s="98" t="s">
        <v>289</v>
      </c>
      <c r="W297" s="98"/>
    </row>
    <row r="298" spans="1:28" x14ac:dyDescent="0.35">
      <c r="A298" s="274" t="s">
        <v>671</v>
      </c>
      <c r="B298" s="287">
        <f t="shared" ref="B298:F299" si="134">B261/1000000</f>
        <v>-6510.6145384464971</v>
      </c>
      <c r="C298" s="287">
        <f t="shared" si="134"/>
        <v>-6600.8327882912381</v>
      </c>
      <c r="D298" s="287">
        <f t="shared" si="134"/>
        <v>-6734.8756282441036</v>
      </c>
      <c r="E298" s="287">
        <f t="shared" si="134"/>
        <v>-6873.5349866045599</v>
      </c>
      <c r="F298" s="287">
        <f t="shared" si="134"/>
        <v>-8006.9322816252516</v>
      </c>
      <c r="G298" s="287" t="s">
        <v>46</v>
      </c>
      <c r="V298" t="s">
        <v>290</v>
      </c>
      <c r="W298">
        <v>0.9567303997818255</v>
      </c>
    </row>
    <row r="299" spans="1:28" x14ac:dyDescent="0.35">
      <c r="A299" s="288" t="s">
        <v>663</v>
      </c>
      <c r="B299" s="287">
        <f t="shared" si="134"/>
        <v>849.73096457188797</v>
      </c>
      <c r="C299" s="287">
        <f t="shared" si="134"/>
        <v>865.47612460845949</v>
      </c>
      <c r="D299" s="287">
        <f t="shared" si="134"/>
        <v>879.00033553899857</v>
      </c>
      <c r="E299" s="287">
        <f t="shared" si="134"/>
        <v>897.09742140251922</v>
      </c>
      <c r="F299" s="287">
        <f t="shared" si="134"/>
        <v>1058.0120873859596</v>
      </c>
      <c r="G299" s="287" t="s">
        <v>46</v>
      </c>
      <c r="V299" t="s">
        <v>291</v>
      </c>
      <c r="W299">
        <v>0.91533305786669172</v>
      </c>
    </row>
    <row r="300" spans="1:28" x14ac:dyDescent="0.35">
      <c r="A300" s="220" t="s">
        <v>672</v>
      </c>
      <c r="B300" s="287">
        <v>0.2</v>
      </c>
      <c r="C300" s="287">
        <v>0.2</v>
      </c>
      <c r="D300" s="287">
        <v>0.2</v>
      </c>
      <c r="E300" s="287">
        <v>0.2</v>
      </c>
      <c r="F300" s="287">
        <v>0.2</v>
      </c>
      <c r="G300" s="287" t="s">
        <v>46</v>
      </c>
      <c r="V300" t="s">
        <v>292</v>
      </c>
      <c r="W300">
        <v>0.87299958680003753</v>
      </c>
    </row>
    <row r="301" spans="1:28" x14ac:dyDescent="0.35">
      <c r="A301" s="220" t="s">
        <v>673</v>
      </c>
      <c r="B301" s="287">
        <f t="shared" ref="B301:G305" si="135">B264/1000000</f>
        <v>679.78477165751042</v>
      </c>
      <c r="C301" s="287">
        <f t="shared" si="135"/>
        <v>692.38089968676763</v>
      </c>
      <c r="D301" s="287">
        <f t="shared" si="135"/>
        <v>703.20026843119899</v>
      </c>
      <c r="E301" s="287">
        <f t="shared" si="135"/>
        <v>717.67793712201546</v>
      </c>
      <c r="F301" s="287">
        <f t="shared" si="135"/>
        <v>846.40966990876768</v>
      </c>
      <c r="G301" s="287" t="s">
        <v>46</v>
      </c>
      <c r="V301" t="s">
        <v>293</v>
      </c>
      <c r="W301">
        <v>1.8275970199031868</v>
      </c>
    </row>
    <row r="302" spans="1:28" ht="15" thickBot="1" x14ac:dyDescent="0.4">
      <c r="A302" s="27" t="s">
        <v>60</v>
      </c>
      <c r="B302" s="287">
        <f t="shared" si="135"/>
        <v>678.75124085794846</v>
      </c>
      <c r="C302" s="287">
        <f t="shared" si="135"/>
        <v>688.52290115745279</v>
      </c>
      <c r="D302" s="287">
        <f t="shared" si="135"/>
        <v>702.13113719145201</v>
      </c>
      <c r="E302" s="287">
        <f t="shared" si="135"/>
        <v>716.58679433225768</v>
      </c>
      <c r="F302" s="287">
        <f t="shared" si="135"/>
        <v>835.94475779043648</v>
      </c>
      <c r="G302" s="287" t="s">
        <v>46</v>
      </c>
      <c r="V302" s="96" t="s">
        <v>294</v>
      </c>
      <c r="W302" s="96">
        <v>4</v>
      </c>
    </row>
    <row r="303" spans="1:28" x14ac:dyDescent="0.35">
      <c r="A303" s="27" t="s">
        <v>674</v>
      </c>
      <c r="B303" s="287">
        <f t="shared" si="135"/>
        <v>800</v>
      </c>
      <c r="C303" s="287">
        <f t="shared" si="135"/>
        <v>800</v>
      </c>
      <c r="D303" s="287">
        <f t="shared" si="135"/>
        <v>800</v>
      </c>
      <c r="E303" s="287">
        <f t="shared" si="135"/>
        <v>800</v>
      </c>
      <c r="F303" s="287">
        <f t="shared" si="135"/>
        <v>800</v>
      </c>
      <c r="G303" s="287" t="s">
        <v>46</v>
      </c>
    </row>
    <row r="304" spans="1:28" ht="15" thickBot="1" x14ac:dyDescent="0.4">
      <c r="A304" s="27" t="s">
        <v>693</v>
      </c>
      <c r="B304" s="287">
        <f t="shared" si="135"/>
        <v>349.34146140442084</v>
      </c>
      <c r="C304" s="287">
        <f t="shared" si="135"/>
        <v>-5.2041099629924297</v>
      </c>
      <c r="D304" s="287">
        <f t="shared" si="135"/>
        <v>-7.3627806465060708</v>
      </c>
      <c r="E304" s="287">
        <f t="shared" si="135"/>
        <v>-5.3889065661184787</v>
      </c>
      <c r="F304" s="287">
        <f t="shared" si="135"/>
        <v>-51.321400091826675</v>
      </c>
      <c r="G304" s="287" t="s">
        <v>46</v>
      </c>
      <c r="V304" t="s">
        <v>295</v>
      </c>
    </row>
    <row r="305" spans="1:30" x14ac:dyDescent="0.35">
      <c r="A305" s="27" t="s">
        <v>676</v>
      </c>
      <c r="B305" s="289">
        <f t="shared" si="135"/>
        <v>209.19455111103798</v>
      </c>
      <c r="C305" s="289">
        <f t="shared" si="135"/>
        <v>586.10791080721287</v>
      </c>
      <c r="D305" s="289">
        <f t="shared" si="135"/>
        <v>612.69418626915717</v>
      </c>
      <c r="E305" s="289">
        <f t="shared" si="135"/>
        <v>639.65363802039167</v>
      </c>
      <c r="F305" s="289">
        <f t="shared" si="135"/>
        <v>933.67582779103088</v>
      </c>
      <c r="G305" s="289">
        <f t="shared" si="135"/>
        <v>16311.317977180826</v>
      </c>
      <c r="V305" s="97"/>
      <c r="W305" s="97" t="s">
        <v>299</v>
      </c>
      <c r="X305" s="97" t="s">
        <v>300</v>
      </c>
      <c r="Y305" s="97" t="s">
        <v>301</v>
      </c>
      <c r="Z305" s="97" t="s">
        <v>302</v>
      </c>
      <c r="AA305" s="97" t="s">
        <v>303</v>
      </c>
    </row>
    <row r="306" spans="1:30" x14ac:dyDescent="0.35">
      <c r="V306" t="s">
        <v>296</v>
      </c>
      <c r="W306">
        <v>1</v>
      </c>
      <c r="X306">
        <v>72.21977826568201</v>
      </c>
      <c r="Y306">
        <v>72.21977826568201</v>
      </c>
      <c r="Z306">
        <v>21.621970388997845</v>
      </c>
      <c r="AA306">
        <v>4.3269600218174414E-2</v>
      </c>
    </row>
    <row r="307" spans="1:30" x14ac:dyDescent="0.35">
      <c r="V307" t="s">
        <v>297</v>
      </c>
      <c r="W307">
        <v>2</v>
      </c>
      <c r="X307">
        <v>6.6802217343180184</v>
      </c>
      <c r="Y307">
        <v>3.3401108671590092</v>
      </c>
    </row>
    <row r="308" spans="1:30" ht="15" thickBot="1" x14ac:dyDescent="0.4">
      <c r="V308" s="96" t="s">
        <v>286</v>
      </c>
      <c r="W308" s="96">
        <v>3</v>
      </c>
      <c r="X308" s="96">
        <v>78.900000000000034</v>
      </c>
      <c r="Y308" s="96"/>
      <c r="Z308" s="96"/>
      <c r="AA308" s="96"/>
    </row>
    <row r="309" spans="1:30" ht="15" thickBot="1" x14ac:dyDescent="0.4"/>
    <row r="310" spans="1:30" x14ac:dyDescent="0.35">
      <c r="V310" s="97"/>
      <c r="W310" s="97" t="s">
        <v>304</v>
      </c>
      <c r="X310" s="97" t="s">
        <v>293</v>
      </c>
      <c r="Y310" s="97" t="s">
        <v>305</v>
      </c>
      <c r="Z310" s="97" t="s">
        <v>306</v>
      </c>
      <c r="AA310" s="97" t="s">
        <v>307</v>
      </c>
      <c r="AB310" s="97" t="s">
        <v>308</v>
      </c>
      <c r="AC310" s="97" t="s">
        <v>309</v>
      </c>
      <c r="AD310" s="97" t="s">
        <v>310</v>
      </c>
    </row>
    <row r="311" spans="1:30" x14ac:dyDescent="0.35">
      <c r="V311" t="s">
        <v>298</v>
      </c>
      <c r="W311">
        <v>10.905461704559887</v>
      </c>
      <c r="X311">
        <v>5.6432620432660299</v>
      </c>
      <c r="Y311">
        <v>1.9324748028621344</v>
      </c>
      <c r="Z311">
        <v>0.19301099221396623</v>
      </c>
      <c r="AA311">
        <v>-13.375535130590233</v>
      </c>
      <c r="AB311">
        <v>35.186458539710003</v>
      </c>
      <c r="AC311">
        <v>-13.375535130590233</v>
      </c>
      <c r="AD311">
        <v>35.186458539710003</v>
      </c>
    </row>
    <row r="312" spans="1:30" ht="15" thickBot="1" x14ac:dyDescent="0.4">
      <c r="A312" s="220"/>
      <c r="B312" s="5">
        <v>2019</v>
      </c>
      <c r="C312" s="5">
        <v>2020</v>
      </c>
      <c r="D312" s="230">
        <v>2021</v>
      </c>
      <c r="E312" s="230">
        <v>2022</v>
      </c>
      <c r="F312" s="230">
        <v>2023</v>
      </c>
      <c r="G312" s="230">
        <v>2024</v>
      </c>
      <c r="H312" s="230">
        <v>2025</v>
      </c>
      <c r="V312" s="96" t="s">
        <v>678</v>
      </c>
      <c r="W312" s="96">
        <v>0.97134873255792875</v>
      </c>
      <c r="X312" s="96">
        <v>0.20889475884908706</v>
      </c>
      <c r="Y312" s="96">
        <v>4.6499430522316993</v>
      </c>
      <c r="Z312" s="96">
        <v>4.32696002181744E-2</v>
      </c>
      <c r="AA312" s="96">
        <v>7.2547128165548314E-2</v>
      </c>
      <c r="AB312" s="96">
        <v>1.8701503369503092</v>
      </c>
      <c r="AC312" s="96">
        <v>7.2547128165548314E-2</v>
      </c>
      <c r="AD312" s="96">
        <v>1.8701503369503092</v>
      </c>
    </row>
    <row r="313" spans="1:30" x14ac:dyDescent="0.35">
      <c r="A313" s="220" t="s">
        <v>695</v>
      </c>
      <c r="B313" s="221">
        <v>87.5</v>
      </c>
      <c r="C313" s="221">
        <f>B313*(1+C314)</f>
        <v>84.131250000000009</v>
      </c>
      <c r="D313" s="231">
        <v>90.8</v>
      </c>
      <c r="E313" s="231">
        <v>97.5</v>
      </c>
      <c r="F313" s="231">
        <v>102.5</v>
      </c>
      <c r="G313" s="290">
        <v>106.6</v>
      </c>
      <c r="H313" s="231">
        <v>111.1</v>
      </c>
    </row>
    <row r="314" spans="1:30" x14ac:dyDescent="0.35">
      <c r="A314" s="220" t="s">
        <v>696</v>
      </c>
      <c r="B314" s="18">
        <v>3.2000000000000001E-2</v>
      </c>
      <c r="C314" s="18">
        <v>-3.85E-2</v>
      </c>
      <c r="D314" s="291">
        <f>D313/C313-1</f>
        <v>7.9266027783968296E-2</v>
      </c>
      <c r="E314" s="291">
        <f t="shared" ref="E314:H314" si="136">E313/D313-1</f>
        <v>7.3788546255506571E-2</v>
      </c>
      <c r="F314" s="291">
        <f t="shared" si="136"/>
        <v>5.1282051282051322E-2</v>
      </c>
      <c r="G314" s="291">
        <f t="shared" si="136"/>
        <v>4.0000000000000036E-2</v>
      </c>
      <c r="H314" s="291">
        <f t="shared" si="136"/>
        <v>4.2213883677298281E-2</v>
      </c>
    </row>
    <row r="315" spans="1:30" x14ac:dyDescent="0.35">
      <c r="A315" s="220" t="s">
        <v>697</v>
      </c>
      <c r="B315" s="221">
        <v>99.7</v>
      </c>
      <c r="C315" s="221">
        <v>91</v>
      </c>
      <c r="D315" s="231">
        <v>96.2</v>
      </c>
      <c r="E315" s="231">
        <v>99.8</v>
      </c>
      <c r="F315" s="231">
        <v>101.2</v>
      </c>
      <c r="G315" s="231">
        <v>102.3</v>
      </c>
      <c r="H315" s="231">
        <v>103.8</v>
      </c>
    </row>
    <row r="316" spans="1:30" ht="15" thickBot="1" x14ac:dyDescent="0.4">
      <c r="A316" s="220" t="s">
        <v>696</v>
      </c>
      <c r="B316" s="18">
        <v>2.5000000000000001E-2</v>
      </c>
      <c r="C316" s="18">
        <f>C315/B315-1</f>
        <v>-8.7261785356068211E-2</v>
      </c>
      <c r="D316" s="291">
        <f t="shared" ref="D316:H316" si="137">D315/C315-1</f>
        <v>5.7142857142857162E-2</v>
      </c>
      <c r="E316" s="291">
        <f>E315/D315-1</f>
        <v>3.7422037422037313E-2</v>
      </c>
      <c r="F316" s="291">
        <f t="shared" si="137"/>
        <v>1.4028056112224574E-2</v>
      </c>
      <c r="G316" s="291">
        <f t="shared" si="137"/>
        <v>1.0869565217391353E-2</v>
      </c>
      <c r="H316" s="291">
        <f t="shared" si="137"/>
        <v>1.4662756598240456E-2</v>
      </c>
      <c r="V316" t="s">
        <v>694</v>
      </c>
    </row>
    <row r="317" spans="1:30" x14ac:dyDescent="0.35">
      <c r="V317" s="98" t="s">
        <v>289</v>
      </c>
      <c r="W317" s="98"/>
    </row>
    <row r="318" spans="1:30" x14ac:dyDescent="0.35">
      <c r="H318" s="67"/>
      <c r="V318" t="s">
        <v>290</v>
      </c>
      <c r="W318">
        <v>0.96064075934749338</v>
      </c>
    </row>
    <row r="319" spans="1:30" x14ac:dyDescent="0.35">
      <c r="H319" s="67"/>
      <c r="V319" t="s">
        <v>291</v>
      </c>
      <c r="W319">
        <v>0.92283066851972873</v>
      </c>
    </row>
    <row r="320" spans="1:30" x14ac:dyDescent="0.35">
      <c r="H320" s="67"/>
      <c r="V320" t="s">
        <v>292</v>
      </c>
      <c r="W320">
        <v>0.88424600277959309</v>
      </c>
    </row>
    <row r="321" spans="1:30" x14ac:dyDescent="0.35">
      <c r="A321" t="s">
        <v>699</v>
      </c>
      <c r="V321" t="s">
        <v>293</v>
      </c>
      <c r="W321">
        <v>1.7902073445206459</v>
      </c>
    </row>
    <row r="322" spans="1:30" ht="15" thickBot="1" x14ac:dyDescent="0.4">
      <c r="V322" s="96" t="s">
        <v>294</v>
      </c>
      <c r="W322" s="96">
        <v>4</v>
      </c>
    </row>
    <row r="324" spans="1:30" ht="15" thickBot="1" x14ac:dyDescent="0.4">
      <c r="A324" s="292"/>
      <c r="B324" s="292">
        <v>2021</v>
      </c>
      <c r="C324" s="292">
        <v>2022</v>
      </c>
      <c r="D324" s="292">
        <v>2023</v>
      </c>
      <c r="E324" s="292">
        <v>2024</v>
      </c>
      <c r="F324" s="292">
        <v>2025</v>
      </c>
      <c r="V324" t="s">
        <v>295</v>
      </c>
    </row>
    <row r="325" spans="1:30" x14ac:dyDescent="0.35">
      <c r="A325" s="293" t="s">
        <v>700</v>
      </c>
      <c r="B325" s="294">
        <v>65</v>
      </c>
      <c r="C325" s="294">
        <v>62.8</v>
      </c>
      <c r="D325" s="294">
        <v>60.4</v>
      </c>
      <c r="E325" s="294">
        <v>59</v>
      </c>
      <c r="F325" s="294">
        <v>59</v>
      </c>
      <c r="V325" s="97"/>
      <c r="W325" s="97" t="s">
        <v>299</v>
      </c>
      <c r="X325" s="97" t="s">
        <v>300</v>
      </c>
      <c r="Y325" s="97" t="s">
        <v>301</v>
      </c>
      <c r="Z325" s="97" t="s">
        <v>302</v>
      </c>
      <c r="AA325" s="97" t="s">
        <v>303</v>
      </c>
    </row>
    <row r="326" spans="1:30" x14ac:dyDescent="0.35">
      <c r="A326" s="293" t="s">
        <v>701</v>
      </c>
      <c r="B326" s="294">
        <v>64.900000000000006</v>
      </c>
      <c r="C326" s="294">
        <v>62.7</v>
      </c>
      <c r="D326" s="294">
        <v>59.9</v>
      </c>
      <c r="E326" s="294">
        <v>58.9</v>
      </c>
      <c r="F326" s="294">
        <v>58.6</v>
      </c>
      <c r="V326" t="s">
        <v>296</v>
      </c>
      <c r="W326">
        <v>1</v>
      </c>
      <c r="X326">
        <v>76.65031532724862</v>
      </c>
      <c r="Y326">
        <v>76.65031532724862</v>
      </c>
      <c r="Z326">
        <v>23.917031567278912</v>
      </c>
      <c r="AA326">
        <v>3.935924065250658E-2</v>
      </c>
    </row>
    <row r="327" spans="1:30" x14ac:dyDescent="0.35">
      <c r="A327" s="293" t="s">
        <v>702</v>
      </c>
      <c r="B327" s="292">
        <v>60.3</v>
      </c>
      <c r="C327" s="292">
        <v>56.2</v>
      </c>
      <c r="D327" s="292">
        <v>54.8</v>
      </c>
      <c r="E327" s="292">
        <v>54.2</v>
      </c>
      <c r="F327" s="292" t="s">
        <v>484</v>
      </c>
      <c r="V327" t="s">
        <v>297</v>
      </c>
      <c r="W327">
        <v>2</v>
      </c>
      <c r="X327">
        <v>6.4096846727513253</v>
      </c>
      <c r="Y327">
        <v>3.2048423363756626</v>
      </c>
    </row>
    <row r="328" spans="1:30" ht="15" thickBot="1" x14ac:dyDescent="0.4">
      <c r="V328" s="96" t="s">
        <v>286</v>
      </c>
      <c r="W328" s="96">
        <v>3</v>
      </c>
      <c r="X328" s="96">
        <v>83.059999999999945</v>
      </c>
      <c r="Y328" s="96"/>
      <c r="Z328" s="96"/>
      <c r="AA328" s="96"/>
    </row>
    <row r="329" spans="1:30" ht="15" thickBot="1" x14ac:dyDescent="0.4"/>
    <row r="330" spans="1:30" x14ac:dyDescent="0.35">
      <c r="V330" s="97"/>
      <c r="W330" s="97" t="s">
        <v>304</v>
      </c>
      <c r="X330" s="97" t="s">
        <v>293</v>
      </c>
      <c r="Y330" s="97" t="s">
        <v>305</v>
      </c>
      <c r="Z330" s="97" t="s">
        <v>306</v>
      </c>
      <c r="AA330" s="97" t="s">
        <v>307</v>
      </c>
      <c r="AB330" s="97" t="s">
        <v>308</v>
      </c>
      <c r="AC330" s="97" t="s">
        <v>309</v>
      </c>
      <c r="AD330" s="97" t="s">
        <v>310</v>
      </c>
    </row>
    <row r="331" spans="1:30" x14ac:dyDescent="0.35">
      <c r="V331" t="s">
        <v>298</v>
      </c>
      <c r="W331">
        <v>3.622995046360991</v>
      </c>
      <c r="X331">
        <v>5.5278100406645425</v>
      </c>
      <c r="Y331">
        <v>0.65541236397577829</v>
      </c>
      <c r="Z331">
        <v>0.57951516654603985</v>
      </c>
      <c r="AA331">
        <v>-20.161251914640797</v>
      </c>
      <c r="AB331">
        <v>27.407242007362779</v>
      </c>
      <c r="AC331">
        <v>-20.161251914640797</v>
      </c>
      <c r="AD331">
        <v>27.407242007362779</v>
      </c>
    </row>
    <row r="332" spans="1:30" ht="15" thickBot="1" x14ac:dyDescent="0.4">
      <c r="V332" s="96" t="s">
        <v>678</v>
      </c>
      <c r="W332" s="96">
        <v>1.000700404637912</v>
      </c>
      <c r="X332" s="96">
        <v>0.20462111037110076</v>
      </c>
      <c r="Y332" s="96">
        <v>4.8905042242368939</v>
      </c>
      <c r="Z332" s="96">
        <v>3.9359240652506587E-2</v>
      </c>
      <c r="AA332" s="96">
        <v>0.12028682553532899</v>
      </c>
      <c r="AB332" s="96">
        <v>1.8811139837404949</v>
      </c>
      <c r="AC332" s="96">
        <v>0.12028682553532899</v>
      </c>
      <c r="AD332" s="96">
        <v>1.8811139837404949</v>
      </c>
    </row>
    <row r="335" spans="1:30" x14ac:dyDescent="0.35">
      <c r="V335" t="s">
        <v>698</v>
      </c>
    </row>
    <row r="336" spans="1:30" ht="15" thickBot="1" x14ac:dyDescent="0.4"/>
    <row r="337" spans="22:30" x14ac:dyDescent="0.35">
      <c r="V337" s="98" t="s">
        <v>289</v>
      </c>
      <c r="W337" s="98"/>
    </row>
    <row r="338" spans="22:30" x14ac:dyDescent="0.35">
      <c r="V338" t="s">
        <v>290</v>
      </c>
      <c r="W338">
        <v>0.99678774015035976</v>
      </c>
    </row>
    <row r="339" spans="22:30" x14ac:dyDescent="0.35">
      <c r="V339" t="s">
        <v>291</v>
      </c>
      <c r="W339">
        <v>0.99358579891406107</v>
      </c>
    </row>
    <row r="340" spans="22:30" x14ac:dyDescent="0.35">
      <c r="V340" t="s">
        <v>292</v>
      </c>
      <c r="W340">
        <v>0.9903786983710916</v>
      </c>
    </row>
    <row r="341" spans="22:30" x14ac:dyDescent="0.35">
      <c r="V341" t="s">
        <v>293</v>
      </c>
      <c r="W341">
        <v>0.65908554133272601</v>
      </c>
    </row>
    <row r="343" spans="22:30" ht="15" thickBot="1" x14ac:dyDescent="0.4">
      <c r="V343" s="96" t="s">
        <v>294</v>
      </c>
      <c r="W343" s="96">
        <v>4</v>
      </c>
    </row>
    <row r="346" spans="22:30" ht="15" thickBot="1" x14ac:dyDescent="0.4">
      <c r="V346" t="s">
        <v>295</v>
      </c>
    </row>
    <row r="347" spans="22:30" x14ac:dyDescent="0.35">
      <c r="V347" s="97"/>
      <c r="W347" s="97" t="s">
        <v>299</v>
      </c>
      <c r="X347" s="97" t="s">
        <v>300</v>
      </c>
      <c r="Y347" s="97" t="s">
        <v>301</v>
      </c>
      <c r="Z347" s="97" t="s">
        <v>302</v>
      </c>
      <c r="AA347" s="97" t="s">
        <v>303</v>
      </c>
    </row>
    <row r="348" spans="22:30" x14ac:dyDescent="0.35">
      <c r="V348" t="s">
        <v>296</v>
      </c>
      <c r="W348">
        <v>1</v>
      </c>
      <c r="X348">
        <v>134.5787124984123</v>
      </c>
      <c r="Y348">
        <v>134.5787124984123</v>
      </c>
      <c r="Z348">
        <v>309.80812282052943</v>
      </c>
      <c r="AA348">
        <v>3.21225984964024E-3</v>
      </c>
    </row>
    <row r="349" spans="22:30" x14ac:dyDescent="0.35">
      <c r="V349" t="s">
        <v>297</v>
      </c>
      <c r="W349">
        <v>2</v>
      </c>
      <c r="X349">
        <v>0.86878750158770501</v>
      </c>
      <c r="Y349">
        <v>0.43439375079385251</v>
      </c>
    </row>
    <row r="350" spans="22:30" ht="15" thickBot="1" x14ac:dyDescent="0.4">
      <c r="V350" s="96" t="s">
        <v>286</v>
      </c>
      <c r="W350" s="96">
        <v>3</v>
      </c>
      <c r="X350" s="96">
        <v>135.44750000000002</v>
      </c>
      <c r="Y350" s="96"/>
      <c r="Z350" s="96"/>
      <c r="AA350" s="96"/>
    </row>
    <row r="351" spans="22:30" ht="15" thickBot="1" x14ac:dyDescent="0.4"/>
    <row r="352" spans="22:30" x14ac:dyDescent="0.35">
      <c r="V352" s="97"/>
      <c r="W352" s="97" t="s">
        <v>304</v>
      </c>
      <c r="X352" s="97" t="s">
        <v>293</v>
      </c>
      <c r="Y352" s="97" t="s">
        <v>305</v>
      </c>
      <c r="Z352" s="97" t="s">
        <v>306</v>
      </c>
      <c r="AA352" s="97" t="s">
        <v>307</v>
      </c>
      <c r="AB352" s="97" t="s">
        <v>308</v>
      </c>
      <c r="AC352" s="97" t="s">
        <v>309</v>
      </c>
      <c r="AD352" s="97" t="s">
        <v>310</v>
      </c>
    </row>
    <row r="353" spans="22:30" x14ac:dyDescent="0.35">
      <c r="V353" t="s">
        <v>298</v>
      </c>
      <c r="W353">
        <v>-4.2232795630636275</v>
      </c>
      <c r="X353">
        <v>2.0351272070171373</v>
      </c>
      <c r="Y353">
        <v>-2.075191933212686</v>
      </c>
      <c r="Z353">
        <v>0.17364478653583482</v>
      </c>
      <c r="AA353">
        <v>-12.979725195723315</v>
      </c>
      <c r="AB353">
        <v>4.5331660695960601</v>
      </c>
      <c r="AC353">
        <v>-12.979725195723315</v>
      </c>
      <c r="AD353">
        <v>4.5331660695960601</v>
      </c>
    </row>
    <row r="354" spans="22:30" ht="15" thickBot="1" x14ac:dyDescent="0.4">
      <c r="V354" s="96" t="s">
        <v>678</v>
      </c>
      <c r="W354" s="96">
        <v>1.3259748507557472</v>
      </c>
      <c r="X354" s="96">
        <v>7.5333628649117135E-2</v>
      </c>
      <c r="Y354" s="96">
        <v>17.601367072489833</v>
      </c>
      <c r="Z354" s="96">
        <v>3.2122598496402413E-3</v>
      </c>
      <c r="AA354" s="96">
        <v>1.0018404078066909</v>
      </c>
      <c r="AB354" s="96">
        <v>1.6501092937048034</v>
      </c>
      <c r="AC354" s="96">
        <v>1.0018404078066909</v>
      </c>
      <c r="AD354" s="96">
        <v>1.6501092937048034</v>
      </c>
    </row>
    <row r="357" spans="22:30" x14ac:dyDescent="0.35">
      <c r="V357" t="s">
        <v>703</v>
      </c>
    </row>
    <row r="358" spans="22:30" ht="15" thickBot="1" x14ac:dyDescent="0.4"/>
    <row r="359" spans="22:30" x14ac:dyDescent="0.35">
      <c r="V359" s="98" t="s">
        <v>289</v>
      </c>
      <c r="W359" s="98"/>
    </row>
    <row r="360" spans="22:30" x14ac:dyDescent="0.35">
      <c r="V360" t="s">
        <v>290</v>
      </c>
      <c r="W360">
        <v>0.98988832121045622</v>
      </c>
    </row>
    <row r="361" spans="22:30" x14ac:dyDescent="0.35">
      <c r="V361" t="s">
        <v>291</v>
      </c>
      <c r="W361">
        <v>0.97987888846885529</v>
      </c>
    </row>
    <row r="362" spans="22:30" x14ac:dyDescent="0.35">
      <c r="V362" t="s">
        <v>292</v>
      </c>
      <c r="W362">
        <v>0.96981833270328299</v>
      </c>
    </row>
    <row r="363" spans="22:30" x14ac:dyDescent="0.35">
      <c r="V363" t="s">
        <v>293</v>
      </c>
      <c r="W363">
        <v>0.69554796770385507</v>
      </c>
    </row>
    <row r="364" spans="22:30" ht="15" thickBot="1" x14ac:dyDescent="0.4">
      <c r="V364" s="96" t="s">
        <v>294</v>
      </c>
      <c r="W364" s="96">
        <v>4</v>
      </c>
    </row>
    <row r="366" spans="22:30" ht="15" thickBot="1" x14ac:dyDescent="0.4">
      <c r="V366" t="s">
        <v>295</v>
      </c>
    </row>
    <row r="367" spans="22:30" x14ac:dyDescent="0.35">
      <c r="V367" s="97"/>
      <c r="W367" s="97" t="s">
        <v>299</v>
      </c>
      <c r="X367" s="97" t="s">
        <v>300</v>
      </c>
      <c r="Y367" s="97" t="s">
        <v>301</v>
      </c>
      <c r="Z367" s="97" t="s">
        <v>302</v>
      </c>
      <c r="AA367" s="97" t="s">
        <v>303</v>
      </c>
    </row>
    <row r="368" spans="22:30" x14ac:dyDescent="0.35">
      <c r="V368" t="s">
        <v>296</v>
      </c>
      <c r="W368">
        <v>1</v>
      </c>
      <c r="X368">
        <v>47.119926049246061</v>
      </c>
      <c r="Y368">
        <v>47.119926049246061</v>
      </c>
      <c r="Z368">
        <v>97.398087272875784</v>
      </c>
      <c r="AA368">
        <v>1.0111678789543865E-2</v>
      </c>
    </row>
    <row r="369" spans="22:30" x14ac:dyDescent="0.35">
      <c r="V369" t="s">
        <v>297</v>
      </c>
      <c r="W369">
        <v>2</v>
      </c>
      <c r="X369">
        <v>0.96757395075392616</v>
      </c>
      <c r="Y369">
        <v>0.48378697537696308</v>
      </c>
    </row>
    <row r="370" spans="22:30" ht="15" thickBot="1" x14ac:dyDescent="0.4">
      <c r="V370" s="96" t="s">
        <v>286</v>
      </c>
      <c r="W370" s="96">
        <v>3</v>
      </c>
      <c r="X370" s="96">
        <v>48.087499999999984</v>
      </c>
      <c r="Y370" s="96"/>
      <c r="Z370" s="96"/>
      <c r="AA370" s="96"/>
    </row>
    <row r="371" spans="22:30" ht="15" thickBot="1" x14ac:dyDescent="0.4"/>
    <row r="372" spans="22:30" x14ac:dyDescent="0.35">
      <c r="V372" s="97"/>
      <c r="W372" s="97" t="s">
        <v>304</v>
      </c>
      <c r="X372" s="97" t="s">
        <v>293</v>
      </c>
      <c r="Y372" s="97" t="s">
        <v>305</v>
      </c>
      <c r="Z372" s="97" t="s">
        <v>306</v>
      </c>
      <c r="AA372" s="97" t="s">
        <v>307</v>
      </c>
      <c r="AB372" s="97" t="s">
        <v>308</v>
      </c>
      <c r="AC372" s="97" t="s">
        <v>309</v>
      </c>
      <c r="AD372" s="97" t="s">
        <v>310</v>
      </c>
    </row>
    <row r="373" spans="22:30" x14ac:dyDescent="0.35">
      <c r="V373" t="s">
        <v>298</v>
      </c>
      <c r="W373">
        <v>0.25881874761844514</v>
      </c>
      <c r="X373">
        <v>2.1477160460799607</v>
      </c>
      <c r="Y373">
        <v>0.12050882987573916</v>
      </c>
      <c r="Z373">
        <v>0.91509508696135966</v>
      </c>
      <c r="AA373">
        <v>-8.9820575607742228</v>
      </c>
      <c r="AB373">
        <v>9.4996950560111131</v>
      </c>
      <c r="AC373">
        <v>-8.9820575607742228</v>
      </c>
      <c r="AD373">
        <v>9.4996950560111131</v>
      </c>
    </row>
    <row r="374" spans="22:30" ht="15" thickBot="1" x14ac:dyDescent="0.4">
      <c r="V374" s="96" t="s">
        <v>678</v>
      </c>
      <c r="W374" s="96">
        <v>0.78460198508464718</v>
      </c>
      <c r="X374" s="96">
        <v>7.950129235227478E-2</v>
      </c>
      <c r="Y374" s="96">
        <v>9.8690469282943329</v>
      </c>
      <c r="Z374" s="96">
        <v>1.0111678789543862E-2</v>
      </c>
      <c r="AA374" s="96">
        <v>0.44253553252652195</v>
      </c>
      <c r="AB374" s="96">
        <v>1.1266684376427725</v>
      </c>
      <c r="AC374" s="96">
        <v>0.44253553252652195</v>
      </c>
      <c r="AD374" s="96">
        <v>1.1266684376427725</v>
      </c>
    </row>
  </sheetData>
  <mergeCells count="37">
    <mergeCell ref="B236:E236"/>
    <mergeCell ref="B224:E224"/>
    <mergeCell ref="B226:E226"/>
    <mergeCell ref="B228:E228"/>
    <mergeCell ref="B230:E230"/>
    <mergeCell ref="B232:E232"/>
    <mergeCell ref="B234:E234"/>
    <mergeCell ref="B115:E115"/>
    <mergeCell ref="B136:E136"/>
    <mergeCell ref="B142:E142"/>
    <mergeCell ref="B170:E170"/>
    <mergeCell ref="B189:E189"/>
    <mergeCell ref="L193:T195"/>
    <mergeCell ref="B91:E91"/>
    <mergeCell ref="B94:E94"/>
    <mergeCell ref="B103:E103"/>
    <mergeCell ref="B106:E106"/>
    <mergeCell ref="B109:E109"/>
    <mergeCell ref="B112:E112"/>
    <mergeCell ref="B68:E68"/>
    <mergeCell ref="B76:E76"/>
    <mergeCell ref="B79:E79"/>
    <mergeCell ref="B82:E82"/>
    <mergeCell ref="B85:E85"/>
    <mergeCell ref="B88:E88"/>
    <mergeCell ref="B56:E56"/>
    <mergeCell ref="P56:S56"/>
    <mergeCell ref="P58:S58"/>
    <mergeCell ref="B59:E59"/>
    <mergeCell ref="B62:E62"/>
    <mergeCell ref="B65:E65"/>
    <mergeCell ref="B41:E41"/>
    <mergeCell ref="B47:E47"/>
    <mergeCell ref="P50:S50"/>
    <mergeCell ref="P52:S52"/>
    <mergeCell ref="B53:E53"/>
    <mergeCell ref="P54:S54"/>
  </mergeCells>
  <hyperlinks>
    <hyperlink ref="L35" r:id="rId1" display="https://www.economy.gov.ru/material/directions/makroec/prognozy_socialno_ekonomicheskogo_razvitiya/scenarnye_usloviya_osnovnye_parametry_prognoza_socialno_ekonomicheskogo_razvitiya_rf_na_2022_god_i_na_planovyy_period_2023_i_2024_godov.html" xr:uid="{031E2375-382D-4AA3-8F89-B807FCBB7A67}"/>
    <hyperlink ref="L131" r:id="rId2" display="https://www.economy.gov.ru/material/directions/makroec/prognozy_socialno_ekonomicheskogo_razvitiya/scenarnye_usloviya_osnovnye_parametry_prognoza_socialno_ekonomicheskogo_razvitiya_rf_na_2022_god_i_na_planovyy_period_2023_i_2024_godov.html" xr:uid="{6C6C6E71-1572-4F76-B21A-4F9D83713305}"/>
    <hyperlink ref="L27" r:id="rId3" display="https://www.rosneft.ru/upload/site1/document_cons_report/MDA_RUS_4Q2020.pdf" xr:uid="{B5F599AF-4547-4790-8485-DDB34CF1F839}"/>
    <hyperlink ref="L28" r:id="rId4" display="https://www.rosneft.ru/upload/site1/document_cons_report/MDA_RUS_4Q2018.pdf" xr:uid="{19EEE0AF-69F0-4A9E-B115-CA68BFEE61FE}"/>
    <hyperlink ref="L149" r:id="rId5" display="https://www.invest-rating.ru/financial-encyclopedia/?id=10199" xr:uid="{88978E8D-A164-4000-B167-728A88DDDA82}"/>
  </hyperlinks>
  <pageMargins left="0.7" right="0.7" top="0.75" bottom="0.75" header="0.3" footer="0.3"/>
  <drawing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762B6-B835-4013-B98D-1975F21CDEF8}">
  <dimension ref="A1:AB378"/>
  <sheetViews>
    <sheetView zoomScaleNormal="100" workbookViewId="0">
      <selection activeCell="P148" sqref="P148"/>
    </sheetView>
  </sheetViews>
  <sheetFormatPr defaultColWidth="8.7265625" defaultRowHeight="11.5" x14ac:dyDescent="0.25"/>
  <cols>
    <col min="1" max="1" width="32.1796875" style="38" bestFit="1" customWidth="1"/>
    <col min="2" max="2" width="15.453125" style="38" customWidth="1"/>
    <col min="3" max="3" width="28" style="38" customWidth="1"/>
    <col min="4" max="4" width="22.90625" style="38" customWidth="1"/>
    <col min="5" max="5" width="19" style="38" customWidth="1"/>
    <col min="6" max="6" width="21.54296875" style="38" customWidth="1"/>
    <col min="7" max="7" width="11" style="38" customWidth="1"/>
    <col min="8" max="8" width="10.81640625" style="38" customWidth="1"/>
    <col min="9" max="9" width="7.81640625" style="38" customWidth="1"/>
    <col min="10" max="10" width="29.1796875" style="38" customWidth="1"/>
    <col min="11" max="11" width="10.1796875" style="38" customWidth="1"/>
    <col min="12" max="12" width="12.453125" style="38" customWidth="1"/>
    <col min="13" max="15" width="6.54296875" style="38" bestFit="1" customWidth="1"/>
    <col min="16" max="16" width="69.54296875" style="38" customWidth="1"/>
    <col min="17" max="19" width="18.453125" style="38" customWidth="1"/>
    <col min="20" max="16384" width="8.7265625" style="38"/>
  </cols>
  <sheetData>
    <row r="1" spans="1:28" ht="14.5" x14ac:dyDescent="0.35">
      <c r="C1" s="99" t="s">
        <v>376</v>
      </c>
    </row>
    <row r="2" spans="1:28" ht="14.5" x14ac:dyDescent="0.35">
      <c r="C2" s="38" t="s">
        <v>374</v>
      </c>
      <c r="D2" s="38">
        <v>73.87</v>
      </c>
      <c r="O2"/>
      <c r="P2"/>
      <c r="Q2"/>
      <c r="R2"/>
      <c r="S2"/>
      <c r="T2"/>
      <c r="U2"/>
      <c r="V2"/>
      <c r="W2"/>
      <c r="X2"/>
      <c r="Y2"/>
      <c r="Z2"/>
      <c r="AA2"/>
      <c r="AB2"/>
    </row>
    <row r="3" spans="1:28" ht="14.5" x14ac:dyDescent="0.35">
      <c r="A3" s="38" t="s">
        <v>365</v>
      </c>
      <c r="O3"/>
      <c r="P3"/>
      <c r="Q3"/>
      <c r="R3"/>
      <c r="S3"/>
      <c r="T3"/>
      <c r="U3"/>
      <c r="V3"/>
      <c r="W3"/>
      <c r="X3"/>
      <c r="Y3"/>
      <c r="Z3"/>
      <c r="AA3"/>
      <c r="AB3"/>
    </row>
    <row r="4" spans="1:28" ht="27.65" customHeight="1" x14ac:dyDescent="0.35">
      <c r="A4" s="187" t="s">
        <v>334</v>
      </c>
      <c r="B4" s="161" t="s">
        <v>336</v>
      </c>
      <c r="C4" s="161" t="s">
        <v>335</v>
      </c>
      <c r="D4" s="193" t="s">
        <v>372</v>
      </c>
      <c r="E4" s="193" t="s">
        <v>371</v>
      </c>
      <c r="F4" s="193" t="s">
        <v>369</v>
      </c>
      <c r="G4" s="193" t="s">
        <v>370</v>
      </c>
      <c r="H4" s="189" t="s">
        <v>368</v>
      </c>
      <c r="I4" s="161" t="s">
        <v>351</v>
      </c>
      <c r="J4" s="161" t="s">
        <v>352</v>
      </c>
      <c r="K4" s="161" t="s">
        <v>353</v>
      </c>
      <c r="O4"/>
      <c r="P4"/>
      <c r="Q4" s="199"/>
      <c r="R4" s="199"/>
      <c r="S4" s="199"/>
      <c r="T4" s="199"/>
      <c r="U4" s="199"/>
      <c r="V4" s="199"/>
      <c r="W4" s="199"/>
      <c r="X4" s="199"/>
      <c r="Y4" s="199"/>
      <c r="Z4" s="199"/>
      <c r="AA4" s="199"/>
      <c r="AB4"/>
    </row>
    <row r="5" spans="1:28" ht="15" customHeight="1" x14ac:dyDescent="0.35">
      <c r="A5" s="187"/>
      <c r="B5" s="161"/>
      <c r="C5" s="161"/>
      <c r="D5" s="194"/>
      <c r="E5" s="194"/>
      <c r="F5" s="194"/>
      <c r="G5" s="194"/>
      <c r="H5" s="189"/>
      <c r="I5" s="161"/>
      <c r="J5" s="161"/>
      <c r="K5" s="161"/>
      <c r="O5"/>
      <c r="P5"/>
      <c r="Q5" s="199"/>
      <c r="R5" s="199"/>
      <c r="S5" s="199"/>
      <c r="T5" s="199"/>
      <c r="U5" s="199"/>
      <c r="V5" s="199"/>
      <c r="W5" s="199"/>
      <c r="X5" s="199"/>
      <c r="Y5" s="199"/>
      <c r="Z5" s="199"/>
      <c r="AA5" s="199"/>
      <c r="AB5"/>
    </row>
    <row r="6" spans="1:28" ht="32.5" customHeight="1" x14ac:dyDescent="0.35">
      <c r="A6" s="187"/>
      <c r="B6" s="161"/>
      <c r="C6" s="161"/>
      <c r="D6" s="195"/>
      <c r="E6" s="195"/>
      <c r="F6" s="195"/>
      <c r="G6" s="195"/>
      <c r="H6" s="189"/>
      <c r="I6" s="161"/>
      <c r="J6" s="161"/>
      <c r="K6" s="161"/>
      <c r="O6"/>
      <c r="P6"/>
      <c r="Q6" s="199"/>
      <c r="R6"/>
      <c r="S6"/>
      <c r="T6" s="199"/>
      <c r="U6" s="199"/>
      <c r="V6" s="199"/>
      <c r="W6" s="199"/>
      <c r="X6"/>
      <c r="Y6"/>
      <c r="Z6"/>
      <c r="AA6"/>
      <c r="AB6"/>
    </row>
    <row r="7" spans="1:28" ht="14.5" x14ac:dyDescent="0.35">
      <c r="A7" s="196" t="s">
        <v>399</v>
      </c>
      <c r="B7" s="197"/>
      <c r="C7" s="197"/>
      <c r="D7" s="197"/>
      <c r="E7" s="197"/>
      <c r="F7" s="197"/>
      <c r="G7" s="197"/>
      <c r="H7" s="197"/>
      <c r="I7" s="197"/>
      <c r="J7" s="197"/>
      <c r="K7" s="198"/>
      <c r="O7"/>
      <c r="P7"/>
      <c r="Q7"/>
      <c r="R7"/>
      <c r="S7"/>
      <c r="T7"/>
      <c r="U7"/>
      <c r="V7"/>
      <c r="W7"/>
      <c r="X7"/>
      <c r="Y7"/>
      <c r="Z7"/>
      <c r="AA7"/>
      <c r="AB7"/>
    </row>
    <row r="8" spans="1:28" ht="14.5" x14ac:dyDescent="0.35">
      <c r="A8" s="114" t="s">
        <v>457</v>
      </c>
      <c r="B8" s="91" t="s">
        <v>340</v>
      </c>
      <c r="C8" s="91" t="s">
        <v>314</v>
      </c>
      <c r="D8" s="110">
        <v>42.018000000000001</v>
      </c>
      <c r="E8" s="91">
        <f>[1]IS!J6/1000000</f>
        <v>5757</v>
      </c>
      <c r="F8" s="91">
        <f>[1]IS!J26/1000000</f>
        <v>181</v>
      </c>
      <c r="G8" s="91">
        <f>[1]BS!J25/1000000</f>
        <v>15350</v>
      </c>
      <c r="H8" s="91">
        <f>[1]BS!J52/1000000</f>
        <v>5487</v>
      </c>
      <c r="I8" s="79">
        <f>F8/H8</f>
        <v>3.2987060324403135E-2</v>
      </c>
      <c r="J8" s="79">
        <f>F8/E8</f>
        <v>3.1439986103873545E-2</v>
      </c>
      <c r="K8" s="79">
        <f>F8/G8</f>
        <v>1.1791530944625407E-2</v>
      </c>
      <c r="O8"/>
      <c r="P8"/>
      <c r="Q8"/>
      <c r="R8"/>
      <c r="S8"/>
      <c r="T8"/>
      <c r="U8"/>
      <c r="V8"/>
      <c r="W8"/>
      <c r="X8"/>
      <c r="Y8"/>
      <c r="Z8"/>
      <c r="AA8"/>
      <c r="AB8"/>
    </row>
    <row r="9" spans="1:28" ht="14.5" x14ac:dyDescent="0.35">
      <c r="A9" s="114" t="s">
        <v>341</v>
      </c>
      <c r="B9" s="91" t="s">
        <v>340</v>
      </c>
      <c r="C9" s="91" t="s">
        <v>342</v>
      </c>
      <c r="D9" s="111">
        <v>177.1</v>
      </c>
      <c r="E9" s="91">
        <v>6321</v>
      </c>
      <c r="F9" s="112">
        <v>162.40700000000001</v>
      </c>
      <c r="G9" s="91">
        <v>23352</v>
      </c>
      <c r="H9" s="91">
        <v>14804</v>
      </c>
      <c r="I9" s="79">
        <f>F9/H9</f>
        <v>1.09704809510943E-2</v>
      </c>
      <c r="J9" s="79">
        <f t="shared" ref="J9:J22" si="0">F9/E9</f>
        <v>2.5693244739756368E-2</v>
      </c>
      <c r="K9" s="79">
        <f t="shared" ref="K9:K22" si="1">F9/G9</f>
        <v>6.9547362110311756E-3</v>
      </c>
      <c r="O9"/>
      <c r="P9"/>
      <c r="Q9"/>
      <c r="R9"/>
      <c r="S9"/>
      <c r="T9"/>
      <c r="U9"/>
      <c r="V9"/>
      <c r="W9"/>
      <c r="X9"/>
      <c r="Y9"/>
      <c r="Z9"/>
      <c r="AA9"/>
      <c r="AB9"/>
    </row>
    <row r="10" spans="1:28" ht="14.5" x14ac:dyDescent="0.35">
      <c r="A10" s="114" t="s">
        <v>343</v>
      </c>
      <c r="B10" s="91" t="s">
        <v>340</v>
      </c>
      <c r="C10" s="91" t="s">
        <v>344</v>
      </c>
      <c r="D10" s="111">
        <v>15.8</v>
      </c>
      <c r="E10" s="91">
        <v>5639</v>
      </c>
      <c r="F10" s="112">
        <v>16.63</v>
      </c>
      <c r="G10" s="91">
        <v>5992</v>
      </c>
      <c r="H10" s="112">
        <v>4130.76</v>
      </c>
      <c r="I10" s="79">
        <f t="shared" ref="I10:I22" si="2">F10/H10</f>
        <v>4.025893540171784E-3</v>
      </c>
      <c r="J10" s="79">
        <f t="shared" si="0"/>
        <v>2.9491044511438195E-3</v>
      </c>
      <c r="K10" s="79">
        <f t="shared" si="1"/>
        <v>2.7753671562082776E-3</v>
      </c>
      <c r="O10"/>
      <c r="P10"/>
      <c r="Q10"/>
      <c r="R10"/>
      <c r="S10"/>
      <c r="T10"/>
      <c r="U10"/>
      <c r="V10"/>
      <c r="W10"/>
      <c r="X10"/>
      <c r="Y10"/>
      <c r="Z10"/>
      <c r="AA10"/>
      <c r="AB10"/>
    </row>
    <row r="11" spans="1:28" ht="14.5" x14ac:dyDescent="0.35">
      <c r="A11" s="114" t="s">
        <v>345</v>
      </c>
      <c r="B11" s="91" t="s">
        <v>340</v>
      </c>
      <c r="C11" s="91" t="s">
        <v>346</v>
      </c>
      <c r="D11" s="111">
        <v>16.265000000000001</v>
      </c>
      <c r="E11" s="112">
        <v>711.8</v>
      </c>
      <c r="F11" s="91">
        <v>169</v>
      </c>
      <c r="G11" s="91">
        <v>2059</v>
      </c>
      <c r="H11" s="112">
        <v>1638.42</v>
      </c>
      <c r="I11" s="79">
        <f t="shared" si="2"/>
        <v>0.10314815492974939</v>
      </c>
      <c r="J11" s="79">
        <f t="shared" si="0"/>
        <v>0.2374262433267772</v>
      </c>
      <c r="K11" s="79">
        <f t="shared" si="1"/>
        <v>8.2078678970373964E-2</v>
      </c>
      <c r="O11"/>
      <c r="P11"/>
      <c r="Q11"/>
      <c r="R11"/>
      <c r="S11"/>
      <c r="T11"/>
      <c r="U11"/>
      <c r="V11"/>
      <c r="W11"/>
      <c r="X11"/>
      <c r="Y11"/>
      <c r="Z11"/>
      <c r="AA11"/>
      <c r="AB11"/>
    </row>
    <row r="12" spans="1:28" ht="14.5" x14ac:dyDescent="0.35">
      <c r="A12" s="114" t="s">
        <v>347</v>
      </c>
      <c r="B12" s="91" t="s">
        <v>340</v>
      </c>
      <c r="C12" s="91" t="s">
        <v>348</v>
      </c>
      <c r="D12" s="111">
        <f>0.76*7.3</f>
        <v>5.548</v>
      </c>
      <c r="E12" s="112">
        <v>1075.2</v>
      </c>
      <c r="F12" s="91">
        <v>743</v>
      </c>
      <c r="G12" s="91">
        <v>5876</v>
      </c>
      <c r="H12" s="112">
        <v>5160.3999999999996</v>
      </c>
      <c r="I12" s="79">
        <f t="shared" si="2"/>
        <v>0.14398108673746221</v>
      </c>
      <c r="J12" s="79">
        <f>F12/E12</f>
        <v>0.69103422619047616</v>
      </c>
      <c r="K12" s="79">
        <f t="shared" si="1"/>
        <v>0.12644656228727025</v>
      </c>
      <c r="O12"/>
      <c r="P12"/>
      <c r="Q12"/>
      <c r="R12"/>
      <c r="S12"/>
      <c r="T12"/>
      <c r="U12"/>
      <c r="V12"/>
      <c r="W12"/>
      <c r="X12"/>
      <c r="Y12"/>
      <c r="Z12"/>
      <c r="AA12"/>
      <c r="AB12"/>
    </row>
    <row r="13" spans="1:28" ht="14.5" x14ac:dyDescent="0.35">
      <c r="A13" s="114" t="s">
        <v>349</v>
      </c>
      <c r="B13" s="91" t="s">
        <v>340</v>
      </c>
      <c r="C13" s="91" t="s">
        <v>350</v>
      </c>
      <c r="D13" s="111">
        <v>6.6790000000000003</v>
      </c>
      <c r="E13" s="112">
        <v>720.7</v>
      </c>
      <c r="F13" s="112">
        <v>103.6</v>
      </c>
      <c r="G13" s="91">
        <v>1264</v>
      </c>
      <c r="H13" s="112">
        <v>831.59</v>
      </c>
      <c r="I13" s="79">
        <f t="shared" si="2"/>
        <v>0.12458062266261016</v>
      </c>
      <c r="J13" s="79">
        <f t="shared" si="0"/>
        <v>0.14374913278756762</v>
      </c>
      <c r="K13" s="79">
        <f t="shared" si="1"/>
        <v>8.1962025316455689E-2</v>
      </c>
      <c r="O13"/>
      <c r="P13"/>
      <c r="Q13"/>
      <c r="R13"/>
      <c r="S13"/>
      <c r="T13"/>
      <c r="U13"/>
      <c r="V13"/>
      <c r="W13"/>
      <c r="X13"/>
      <c r="Y13"/>
      <c r="Z13"/>
      <c r="AA13"/>
      <c r="AB13"/>
    </row>
    <row r="14" spans="1:28" ht="14.5" x14ac:dyDescent="0.35">
      <c r="A14" s="188" t="s">
        <v>395</v>
      </c>
      <c r="B14" s="188"/>
      <c r="C14" s="188"/>
      <c r="D14" s="117">
        <f>_xlfn.STDEV.S(D8:D13)</f>
        <v>66.566303603750356</v>
      </c>
      <c r="E14" s="117">
        <f t="shared" ref="E14:K14" si="3">_xlfn.STDEV.S(E8:E13)</f>
        <v>2789.4605961846214</v>
      </c>
      <c r="F14" s="117">
        <f t="shared" si="3"/>
        <v>258.98276310242477</v>
      </c>
      <c r="G14" s="117">
        <f t="shared" si="3"/>
        <v>8638.6470333418911</v>
      </c>
      <c r="H14" s="117">
        <f t="shared" si="3"/>
        <v>5002.2165702273087</v>
      </c>
      <c r="I14" s="117">
        <f t="shared" si="3"/>
        <v>6.1250395277939247E-2</v>
      </c>
      <c r="J14" s="117">
        <f t="shared" si="3"/>
        <v>0.26174025677140522</v>
      </c>
      <c r="K14" s="117">
        <f t="shared" si="3"/>
        <v>5.1794983859551037E-2</v>
      </c>
      <c r="L14"/>
      <c r="M14"/>
      <c r="N14"/>
      <c r="O14"/>
      <c r="P14" t="s">
        <v>485</v>
      </c>
      <c r="Q14"/>
      <c r="R14"/>
      <c r="S14"/>
      <c r="T14"/>
      <c r="U14"/>
      <c r="V14"/>
      <c r="W14"/>
      <c r="X14"/>
      <c r="Y14"/>
      <c r="Z14"/>
      <c r="AA14"/>
      <c r="AB14"/>
    </row>
    <row r="15" spans="1:28" ht="14.5" x14ac:dyDescent="0.35">
      <c r="A15" s="188" t="s">
        <v>383</v>
      </c>
      <c r="B15" s="188"/>
      <c r="C15" s="188"/>
      <c r="D15" s="117">
        <f>AVERAGE(D8:D13)</f>
        <v>43.901666666666664</v>
      </c>
      <c r="E15" s="117">
        <f t="shared" ref="E15:K15" si="4">AVERAGE(E8:E13)</f>
        <v>3370.7833333333333</v>
      </c>
      <c r="F15" s="117">
        <f t="shared" si="4"/>
        <v>229.27283333333332</v>
      </c>
      <c r="G15" s="117">
        <f t="shared" si="4"/>
        <v>8982.1666666666661</v>
      </c>
      <c r="H15" s="117">
        <f t="shared" si="4"/>
        <v>5342.0283333333336</v>
      </c>
      <c r="I15" s="117">
        <f t="shared" si="4"/>
        <v>6.9948883190915176E-2</v>
      </c>
      <c r="J15" s="117">
        <f t="shared" si="4"/>
        <v>0.18871532293326579</v>
      </c>
      <c r="K15" s="117">
        <f t="shared" si="4"/>
        <v>5.2001483480994128E-2</v>
      </c>
      <c r="L15"/>
      <c r="M15"/>
      <c r="N15"/>
      <c r="O15"/>
      <c r="P15"/>
      <c r="Q15"/>
      <c r="R15"/>
      <c r="S15"/>
      <c r="T15"/>
      <c r="U15"/>
      <c r="V15"/>
      <c r="W15"/>
      <c r="X15"/>
      <c r="Y15"/>
      <c r="Z15"/>
      <c r="AA15"/>
      <c r="AB15"/>
    </row>
    <row r="16" spans="1:28" ht="14.5" x14ac:dyDescent="0.35">
      <c r="A16" s="188" t="s">
        <v>398</v>
      </c>
      <c r="B16" s="188"/>
      <c r="C16" s="188"/>
      <c r="D16" s="118">
        <f>D14/D15</f>
        <v>1.5162591459037325</v>
      </c>
      <c r="E16" s="118">
        <f t="shared" ref="E16:K16" si="5">E14/E15</f>
        <v>0.82754075843437624</v>
      </c>
      <c r="F16" s="118">
        <f t="shared" si="5"/>
        <v>1.1295832974938509</v>
      </c>
      <c r="G16" s="118">
        <f t="shared" si="5"/>
        <v>0.96175537082833296</v>
      </c>
      <c r="H16" s="118">
        <f t="shared" si="5"/>
        <v>0.93638900022568983</v>
      </c>
      <c r="I16" s="118">
        <f t="shared" si="5"/>
        <v>0.87564507800310853</v>
      </c>
      <c r="J16" s="118">
        <f t="shared" si="5"/>
        <v>1.3869581584743003</v>
      </c>
      <c r="K16" s="118">
        <f t="shared" si="5"/>
        <v>0.99602896672133279</v>
      </c>
      <c r="L16"/>
      <c r="M16"/>
      <c r="N16"/>
      <c r="O16"/>
      <c r="P16">
        <v>8.9644572526416901</v>
      </c>
      <c r="Q16">
        <f>MAX(P16:P21)</f>
        <v>28.111842105263158</v>
      </c>
      <c r="R16"/>
      <c r="S16" t="s">
        <v>486</v>
      </c>
      <c r="T16"/>
      <c r="U16">
        <f>MAX(S17:S21)</f>
        <v>8.9644572526416901</v>
      </c>
      <c r="V16"/>
      <c r="W16"/>
      <c r="X16"/>
      <c r="Y16"/>
      <c r="Z16"/>
      <c r="AA16"/>
      <c r="AB16"/>
    </row>
    <row r="17" spans="1:28" ht="14.5" x14ac:dyDescent="0.35">
      <c r="A17" s="196" t="s">
        <v>400</v>
      </c>
      <c r="B17" s="197"/>
      <c r="C17" s="197"/>
      <c r="D17" s="197"/>
      <c r="E17" s="197"/>
      <c r="F17" s="197"/>
      <c r="G17" s="197"/>
      <c r="H17" s="197"/>
      <c r="I17" s="197"/>
      <c r="J17" s="197"/>
      <c r="K17" s="198"/>
      <c r="L17"/>
      <c r="M17"/>
      <c r="N17"/>
      <c r="O17"/>
      <c r="P17">
        <v>5.9195470798569723</v>
      </c>
      <c r="Q17">
        <f>MIN(P16:P21)</f>
        <v>5.5502008032128511</v>
      </c>
      <c r="R17"/>
      <c r="S17">
        <v>8.9644572526416901</v>
      </c>
      <c r="T17"/>
      <c r="U17">
        <f>MIN(S17:S21)</f>
        <v>5.5502008032128511</v>
      </c>
      <c r="V17"/>
      <c r="W17"/>
      <c r="X17"/>
      <c r="Y17"/>
      <c r="Z17"/>
      <c r="AA17"/>
      <c r="AB17"/>
    </row>
    <row r="18" spans="1:28" ht="14.5" x14ac:dyDescent="0.35">
      <c r="A18" s="115" t="s">
        <v>354</v>
      </c>
      <c r="B18" s="109" t="s">
        <v>358</v>
      </c>
      <c r="C18" s="91" t="s">
        <v>367</v>
      </c>
      <c r="D18" s="111">
        <v>22.45</v>
      </c>
      <c r="E18" s="112">
        <v>13191</v>
      </c>
      <c r="F18" s="112">
        <v>-1657.6428000000001</v>
      </c>
      <c r="G18" s="113">
        <v>24580</v>
      </c>
      <c r="H18" s="113">
        <v>12124</v>
      </c>
      <c r="I18" s="79">
        <f t="shared" si="2"/>
        <v>-0.13672408446057407</v>
      </c>
      <c r="J18" s="79">
        <f t="shared" si="0"/>
        <v>-0.12566468046395271</v>
      </c>
      <c r="K18" s="79">
        <f t="shared" si="1"/>
        <v>-6.7438681855166799E-2</v>
      </c>
      <c r="O18"/>
      <c r="P18">
        <v>6.253275109170306</v>
      </c>
      <c r="Q18">
        <f>AVERAGE(P16:P21)</f>
        <v>10.171395438245765</v>
      </c>
      <c r="R18"/>
      <c r="S18">
        <v>5.9195470798569723</v>
      </c>
      <c r="T18"/>
      <c r="U18">
        <f>AVERAGE(S17:S21)</f>
        <v>6.5833061048422845</v>
      </c>
      <c r="V18"/>
      <c r="W18"/>
      <c r="X18"/>
      <c r="Y18"/>
      <c r="Z18"/>
      <c r="AA18"/>
      <c r="AB18"/>
    </row>
    <row r="19" spans="1:28" ht="14.5" x14ac:dyDescent="0.35">
      <c r="A19" s="115" t="s">
        <v>356</v>
      </c>
      <c r="B19" s="109" t="s">
        <v>358</v>
      </c>
      <c r="C19" s="91" t="s">
        <v>373</v>
      </c>
      <c r="D19" s="111">
        <v>13</v>
      </c>
      <c r="E19" s="91">
        <v>6979</v>
      </c>
      <c r="F19" s="91">
        <v>-409</v>
      </c>
      <c r="G19" s="91">
        <v>17713</v>
      </c>
      <c r="H19" s="91">
        <v>9804</v>
      </c>
      <c r="I19" s="79">
        <f t="shared" si="2"/>
        <v>-4.1717666258669933E-2</v>
      </c>
      <c r="J19" s="79">
        <f t="shared" si="0"/>
        <v>-5.8604384582318383E-2</v>
      </c>
      <c r="K19" s="79">
        <f t="shared" si="1"/>
        <v>-2.309038559250268E-2</v>
      </c>
      <c r="O19"/>
      <c r="P19">
        <v>28.111842105263158</v>
      </c>
      <c r="Q19">
        <f>_xlfn.STDEV.S(P16:P21)</f>
        <v>8.8729221001730778</v>
      </c>
      <c r="R19"/>
      <c r="S19">
        <v>6.253275109170306</v>
      </c>
      <c r="T19"/>
      <c r="U19">
        <f>_xlfn.STDEV.S(S17:S21)</f>
        <v>1.3612660507946892</v>
      </c>
      <c r="V19"/>
      <c r="W19"/>
      <c r="X19"/>
      <c r="Y19"/>
      <c r="Z19"/>
      <c r="AA19"/>
      <c r="AB19"/>
    </row>
    <row r="20" spans="1:28" ht="22" customHeight="1" x14ac:dyDescent="0.35">
      <c r="A20" s="115" t="s">
        <v>357</v>
      </c>
      <c r="B20" s="109" t="s">
        <v>362</v>
      </c>
      <c r="C20" s="91" t="s">
        <v>381</v>
      </c>
      <c r="D20" s="111">
        <v>9.8000000000000007</v>
      </c>
      <c r="E20" s="112">
        <f>180543000*$D$2/1000000</f>
        <v>13336.71141</v>
      </c>
      <c r="F20" s="112">
        <f>-21680000*$D$2/1000000</f>
        <v>-1601.5016000000001</v>
      </c>
      <c r="G20" s="112">
        <f>379267000*$D$2/1000000</f>
        <v>28016.453290000001</v>
      </c>
      <c r="H20" s="112">
        <f>158537000*$D$2/1000000</f>
        <v>11711.128189999999</v>
      </c>
      <c r="I20" s="79">
        <f t="shared" si="2"/>
        <v>-0.13675041157584666</v>
      </c>
      <c r="J20" s="79">
        <f t="shared" si="0"/>
        <v>-0.12008219648504789</v>
      </c>
      <c r="K20" s="79">
        <f t="shared" si="1"/>
        <v>-5.716289579636509E-2</v>
      </c>
      <c r="O20"/>
      <c r="P20">
        <v>5.5502008032128511</v>
      </c>
      <c r="Q20"/>
      <c r="R20"/>
      <c r="S20">
        <v>5.5502008032128511</v>
      </c>
      <c r="T20"/>
      <c r="U20"/>
      <c r="V20"/>
      <c r="W20"/>
      <c r="X20"/>
      <c r="Y20"/>
      <c r="Z20"/>
      <c r="AA20"/>
      <c r="AB20"/>
    </row>
    <row r="21" spans="1:28" ht="21.65" customHeight="1" x14ac:dyDescent="0.35">
      <c r="A21" s="115" t="s">
        <v>360</v>
      </c>
      <c r="B21" s="109" t="s">
        <v>361</v>
      </c>
      <c r="C21" s="91" t="s">
        <v>375</v>
      </c>
      <c r="D21" s="111">
        <v>12.680999999999999</v>
      </c>
      <c r="E21" s="112">
        <f>119704000*$D$2/1000000</f>
        <v>8842.5344800000003</v>
      </c>
      <c r="F21" s="112">
        <f>-7242000*$D$2/1000000</f>
        <v>-534.96654000000001</v>
      </c>
      <c r="G21" s="112">
        <f>266132000*$D$2/1000000</f>
        <v>19659.170839999999</v>
      </c>
      <c r="H21" s="112">
        <f>180543000*$D$2/1000000</f>
        <v>13336.71141</v>
      </c>
      <c r="I21" s="79">
        <f t="shared" si="2"/>
        <v>-4.0112327811103174E-2</v>
      </c>
      <c r="J21" s="79">
        <f t="shared" si="0"/>
        <v>-6.0499231437545944E-2</v>
      </c>
      <c r="K21" s="79">
        <f t="shared" si="1"/>
        <v>-2.7212060180662231E-2</v>
      </c>
      <c r="O21"/>
      <c r="P21">
        <v>6.2290502793296092</v>
      </c>
      <c r="Q21">
        <f>(Q16-Q18)/Q19</f>
        <v>2.0219321734682465</v>
      </c>
      <c r="R21"/>
      <c r="S21">
        <v>6.2290502793296092</v>
      </c>
      <c r="T21"/>
      <c r="U21">
        <f>(U16-U18)/U19</f>
        <v>1.7492180506590325</v>
      </c>
      <c r="V21"/>
      <c r="W21"/>
      <c r="X21"/>
      <c r="Y21"/>
      <c r="Z21"/>
      <c r="AA21"/>
      <c r="AB21"/>
    </row>
    <row r="22" spans="1:28" ht="14.5" x14ac:dyDescent="0.35">
      <c r="A22" s="115" t="s">
        <v>355</v>
      </c>
      <c r="B22" s="109" t="s">
        <v>359</v>
      </c>
      <c r="C22" s="91" t="s">
        <v>355</v>
      </c>
      <c r="D22" s="111">
        <v>19.341000000000001</v>
      </c>
      <c r="E22" s="112">
        <f>180366000*$D$2/1000000</f>
        <v>13323.636420000001</v>
      </c>
      <c r="F22" s="112">
        <f>-20306000*$D$2/1000000</f>
        <v>-1500.00422</v>
      </c>
      <c r="G22" s="112">
        <f>267654000*$D$2/1000000</f>
        <v>19771.600979999999</v>
      </c>
      <c r="H22" s="112">
        <f>85568000*$D$2/1000000</f>
        <v>6320.90816</v>
      </c>
      <c r="I22" s="79">
        <f t="shared" si="2"/>
        <v>-0.23730833956619299</v>
      </c>
      <c r="J22" s="79">
        <f t="shared" si="0"/>
        <v>-0.11258219398334497</v>
      </c>
      <c r="K22" s="79">
        <f t="shared" si="1"/>
        <v>-7.5866603899063717E-2</v>
      </c>
      <c r="O22"/>
      <c r="P22"/>
      <c r="Q22">
        <f>ABS(Q17-Q18)/Q19</f>
        <v>0.5208199263851051</v>
      </c>
      <c r="R22"/>
      <c r="T22"/>
      <c r="U22">
        <f>ABS(U17-U18)/U19</f>
        <v>0.75892974854277762</v>
      </c>
      <c r="V22"/>
      <c r="W22"/>
      <c r="X22"/>
      <c r="Y22"/>
      <c r="Z22"/>
      <c r="AA22"/>
      <c r="AB22"/>
    </row>
    <row r="23" spans="1:28" ht="14.5" x14ac:dyDescent="0.35">
      <c r="A23" s="188" t="s">
        <v>395</v>
      </c>
      <c r="B23" s="188"/>
      <c r="C23" s="188"/>
      <c r="D23" s="117">
        <f>_xlfn.STDEV.S(D18:D22)</f>
        <v>5.2376556110534933</v>
      </c>
      <c r="E23" s="117">
        <f t="shared" ref="E23:K23" si="6">_xlfn.STDEV.S(E18:E22)</f>
        <v>3016.3111483789794</v>
      </c>
      <c r="F23" s="117">
        <f t="shared" si="6"/>
        <v>614.60665886553284</v>
      </c>
      <c r="G23" s="117">
        <f t="shared" si="6"/>
        <v>4232.7362881680801</v>
      </c>
      <c r="H23" s="117">
        <f t="shared" si="6"/>
        <v>2737.3985060992818</v>
      </c>
      <c r="I23" s="117">
        <f t="shared" si="6"/>
        <v>8.1885236318034932E-2</v>
      </c>
      <c r="J23" s="117">
        <f t="shared" si="6"/>
        <v>3.3137339262564368E-2</v>
      </c>
      <c r="K23" s="117">
        <f t="shared" si="6"/>
        <v>2.3810683913854123E-2</v>
      </c>
      <c r="O23"/>
      <c r="P23"/>
      <c r="Q23">
        <v>1.89</v>
      </c>
      <c r="R23"/>
      <c r="S23"/>
      <c r="T23"/>
      <c r="U23">
        <v>1.79</v>
      </c>
      <c r="V23"/>
      <c r="W23"/>
      <c r="X23"/>
      <c r="Y23"/>
      <c r="Z23"/>
      <c r="AA23"/>
      <c r="AB23"/>
    </row>
    <row r="24" spans="1:28" ht="14.5" x14ac:dyDescent="0.35">
      <c r="A24" s="188" t="s">
        <v>383</v>
      </c>
      <c r="B24" s="188"/>
      <c r="C24" s="188"/>
      <c r="D24" s="117">
        <f>AVERAGE(D18:D22)</f>
        <v>15.454399999999998</v>
      </c>
      <c r="E24" s="117">
        <f t="shared" ref="E24:K24" si="7">AVERAGE(E18:E22)</f>
        <v>11134.576462000001</v>
      </c>
      <c r="F24" s="117">
        <f t="shared" si="7"/>
        <v>-1140.623032</v>
      </c>
      <c r="G24" s="117">
        <f t="shared" si="7"/>
        <v>21948.045022000002</v>
      </c>
      <c r="H24" s="117">
        <f t="shared" si="7"/>
        <v>10659.349552000001</v>
      </c>
      <c r="I24" s="117">
        <f t="shared" si="7"/>
        <v>-0.11852256593447737</v>
      </c>
      <c r="J24" s="117">
        <f t="shared" si="7"/>
        <v>-9.5486537390441967E-2</v>
      </c>
      <c r="K24" s="117">
        <f t="shared" si="7"/>
        <v>-5.0154125464752106E-2</v>
      </c>
      <c r="O24"/>
      <c r="P24"/>
      <c r="Q24"/>
      <c r="R24" s="67"/>
      <c r="S24" s="100">
        <f>AVERAGE(S17:S21)</f>
        <v>6.5833061048422845</v>
      </c>
      <c r="T24"/>
      <c r="U24"/>
      <c r="V24"/>
      <c r="W24"/>
      <c r="X24"/>
      <c r="Y24"/>
      <c r="Z24"/>
      <c r="AA24"/>
      <c r="AB24"/>
    </row>
    <row r="25" spans="1:28" ht="14.5" x14ac:dyDescent="0.35">
      <c r="A25" s="188" t="s">
        <v>398</v>
      </c>
      <c r="B25" s="188"/>
      <c r="C25" s="188"/>
      <c r="D25" s="118">
        <f>D23/D24</f>
        <v>0.33891031751821449</v>
      </c>
      <c r="E25" s="118">
        <f t="shared" ref="E25:K25" si="8">E23/E24</f>
        <v>0.27089590328586127</v>
      </c>
      <c r="F25" s="118">
        <f t="shared" si="8"/>
        <v>-0.53883416485801139</v>
      </c>
      <c r="G25" s="118">
        <f t="shared" si="8"/>
        <v>0.19285254262624865</v>
      </c>
      <c r="H25" s="118">
        <f t="shared" si="8"/>
        <v>0.2568072744725467</v>
      </c>
      <c r="I25" s="118">
        <f t="shared" si="8"/>
        <v>-0.69088308772612472</v>
      </c>
      <c r="J25" s="118">
        <f t="shared" si="8"/>
        <v>-0.34703676736194389</v>
      </c>
      <c r="K25" s="118">
        <f t="shared" si="8"/>
        <v>-0.47475025619952382</v>
      </c>
      <c r="O25"/>
      <c r="P25"/>
      <c r="Q25"/>
      <c r="R25"/>
      <c r="S25"/>
      <c r="T25"/>
      <c r="U25"/>
      <c r="V25"/>
      <c r="W25"/>
      <c r="X25"/>
      <c r="Y25"/>
      <c r="Z25"/>
      <c r="AA25"/>
      <c r="AB25"/>
    </row>
    <row r="26" spans="1:28" ht="14.5" x14ac:dyDescent="0.35">
      <c r="A26" s="196" t="s">
        <v>401</v>
      </c>
      <c r="B26" s="197"/>
      <c r="C26" s="197"/>
      <c r="D26" s="197"/>
      <c r="E26" s="197"/>
      <c r="F26" s="197"/>
      <c r="G26" s="197"/>
      <c r="H26" s="197"/>
      <c r="I26" s="197"/>
      <c r="J26" s="197"/>
      <c r="K26" s="198"/>
      <c r="L26"/>
    </row>
    <row r="27" spans="1:28" ht="14.5" x14ac:dyDescent="0.35">
      <c r="A27" s="188" t="s">
        <v>395</v>
      </c>
      <c r="B27" s="188"/>
      <c r="C27" s="188"/>
      <c r="D27" s="117">
        <f t="shared" ref="D27:K27" si="9">_xlfn.STDEV.S(D8:D13,D18:D22)</f>
        <v>49.469316998427516</v>
      </c>
      <c r="E27" s="117">
        <f t="shared" si="9"/>
        <v>4895.7981379605471</v>
      </c>
      <c r="F27" s="117">
        <f t="shared" si="9"/>
        <v>834.52775746750444</v>
      </c>
      <c r="G27" s="117">
        <f t="shared" si="9"/>
        <v>9504.1468328655028</v>
      </c>
      <c r="H27" s="117">
        <f t="shared" si="9"/>
        <v>4818.6606567094614</v>
      </c>
      <c r="I27" s="117">
        <f t="shared" si="9"/>
        <v>0.11935476756819374</v>
      </c>
      <c r="J27" s="117">
        <f t="shared" si="9"/>
        <v>0.23816294071506536</v>
      </c>
      <c r="K27" s="117">
        <f t="shared" si="9"/>
        <v>6.64398849267996E-2</v>
      </c>
      <c r="L27"/>
    </row>
    <row r="28" spans="1:28" ht="14.5" x14ac:dyDescent="0.35">
      <c r="A28" s="188" t="s">
        <v>383</v>
      </c>
      <c r="B28" s="188"/>
      <c r="C28" s="188"/>
      <c r="D28" s="117">
        <f t="shared" ref="D28:K28" si="10">AVERAGE(D8:D13,D18:D22)</f>
        <v>30.971090909090904</v>
      </c>
      <c r="E28" s="117">
        <f t="shared" si="10"/>
        <v>6899.7802099999999</v>
      </c>
      <c r="F28" s="117">
        <f t="shared" si="10"/>
        <v>-393.4071054545455</v>
      </c>
      <c r="G28" s="117">
        <f t="shared" si="10"/>
        <v>14875.747737272728</v>
      </c>
      <c r="H28" s="117">
        <f t="shared" si="10"/>
        <v>7758.9925236363642</v>
      </c>
      <c r="I28" s="117">
        <f t="shared" si="10"/>
        <v>-1.5719957320626889E-2</v>
      </c>
      <c r="J28" s="117">
        <f t="shared" si="10"/>
        <v>5.9532659149762246E-2</v>
      </c>
      <c r="K28" s="117">
        <f t="shared" si="10"/>
        <v>5.567115778382206E-3</v>
      </c>
      <c r="L28"/>
    </row>
    <row r="29" spans="1:28" ht="14.5" x14ac:dyDescent="0.35">
      <c r="A29" s="188" t="s">
        <v>398</v>
      </c>
      <c r="B29" s="188"/>
      <c r="C29" s="188"/>
      <c r="D29" s="118">
        <f>D27/D28</f>
        <v>1.597273959242645</v>
      </c>
      <c r="E29" s="118">
        <f t="shared" ref="E29:K29" si="11">E27/E28</f>
        <v>0.70955856403439654</v>
      </c>
      <c r="F29" s="118">
        <f t="shared" si="11"/>
        <v>-2.1212828794825271</v>
      </c>
      <c r="G29" s="118">
        <f t="shared" si="11"/>
        <v>0.63890212449972361</v>
      </c>
      <c r="H29" s="118">
        <f t="shared" si="11"/>
        <v>0.62104205436856463</v>
      </c>
      <c r="I29" s="118">
        <f t="shared" si="11"/>
        <v>-7.5925630797726651</v>
      </c>
      <c r="J29" s="118">
        <f t="shared" si="11"/>
        <v>4.0005426284744834</v>
      </c>
      <c r="K29" s="118">
        <f t="shared" si="11"/>
        <v>11.934345821366573</v>
      </c>
      <c r="L29"/>
    </row>
    <row r="30" spans="1:28" ht="14.5" x14ac:dyDescent="0.35">
      <c r="A30"/>
      <c r="B30"/>
      <c r="C30"/>
      <c r="D30"/>
      <c r="E30"/>
      <c r="F30"/>
      <c r="G30"/>
      <c r="H30"/>
      <c r="I30"/>
      <c r="J30"/>
      <c r="K30"/>
      <c r="L30"/>
    </row>
    <row r="32" spans="1:28" x14ac:dyDescent="0.25">
      <c r="A32" s="38" t="s">
        <v>382</v>
      </c>
    </row>
    <row r="33" spans="1:22" ht="14.5" x14ac:dyDescent="0.35">
      <c r="A33" s="38" t="s">
        <v>388</v>
      </c>
      <c r="B33" s="38">
        <v>73.58</v>
      </c>
      <c r="T33" s="110">
        <v>17.053651233656378</v>
      </c>
      <c r="V33">
        <f>MAX(T34:T38)</f>
        <v>18.733272567808143</v>
      </c>
    </row>
    <row r="34" spans="1:22" ht="14.5" x14ac:dyDescent="0.35">
      <c r="A34" s="187" t="s">
        <v>334</v>
      </c>
      <c r="B34" s="161" t="s">
        <v>384</v>
      </c>
      <c r="C34" s="193" t="s">
        <v>458</v>
      </c>
      <c r="D34" s="189" t="s">
        <v>363</v>
      </c>
      <c r="E34" s="189" t="s">
        <v>364</v>
      </c>
      <c r="F34" s="189" t="s">
        <v>377</v>
      </c>
      <c r="G34" s="193" t="s">
        <v>378</v>
      </c>
      <c r="H34" s="193" t="s">
        <v>379</v>
      </c>
      <c r="I34" s="193" t="s">
        <v>380</v>
      </c>
      <c r="J34" s="193" t="s">
        <v>337</v>
      </c>
      <c r="K34" s="189" t="s">
        <v>339</v>
      </c>
      <c r="P34" s="2" t="s">
        <v>402</v>
      </c>
      <c r="Q34" s="110">
        <f>J65</f>
        <v>28.214597112819281</v>
      </c>
      <c r="T34" s="110">
        <v>18.733272567808143</v>
      </c>
      <c r="V34">
        <f>MIN(T34:T38)</f>
        <v>3.4733245686049643</v>
      </c>
    </row>
    <row r="35" spans="1:22" ht="14.5" x14ac:dyDescent="0.35">
      <c r="A35" s="187"/>
      <c r="B35" s="161"/>
      <c r="C35" s="194"/>
      <c r="D35" s="189"/>
      <c r="E35" s="189"/>
      <c r="F35" s="189"/>
      <c r="G35" s="194"/>
      <c r="H35" s="194"/>
      <c r="I35" s="194"/>
      <c r="J35" s="194"/>
      <c r="K35" s="189"/>
      <c r="P35" s="2" t="s">
        <v>386</v>
      </c>
      <c r="Q35" s="119">
        <f>F8*1000000</f>
        <v>181000000</v>
      </c>
      <c r="T35" s="110">
        <v>9.8104249544003039</v>
      </c>
      <c r="V35">
        <f>AVERAGE(T34:T38)</f>
        <v>10.672340696937804</v>
      </c>
    </row>
    <row r="36" spans="1:22" ht="14.5" x14ac:dyDescent="0.35">
      <c r="A36" s="187"/>
      <c r="B36" s="161"/>
      <c r="C36" s="195"/>
      <c r="D36" s="189"/>
      <c r="E36" s="189"/>
      <c r="F36" s="189"/>
      <c r="G36" s="195"/>
      <c r="H36" s="195"/>
      <c r="I36" s="195"/>
      <c r="J36" s="195"/>
      <c r="K36" s="189"/>
      <c r="P36" s="2" t="s">
        <v>287</v>
      </c>
      <c r="Q36" s="119">
        <v>10598177817</v>
      </c>
      <c r="T36" s="110">
        <v>3.4733245686049643</v>
      </c>
      <c r="V36">
        <f>_xlfn.STDEV.S(T34:T38)</f>
        <v>7.6663992392140505</v>
      </c>
    </row>
    <row r="37" spans="1:22" ht="14.5" x14ac:dyDescent="0.35">
      <c r="A37" s="181" t="s">
        <v>399</v>
      </c>
      <c r="B37" s="182"/>
      <c r="C37" s="182"/>
      <c r="D37" s="182"/>
      <c r="E37" s="182"/>
      <c r="F37" s="182"/>
      <c r="G37" s="182"/>
      <c r="H37" s="182"/>
      <c r="I37" s="182"/>
      <c r="J37" s="182"/>
      <c r="K37" s="183"/>
      <c r="P37" s="2" t="s">
        <v>385</v>
      </c>
      <c r="Q37" s="120">
        <v>525.54999999999995</v>
      </c>
      <c r="V37"/>
    </row>
    <row r="38" spans="1:22" ht="14.5" x14ac:dyDescent="0.35">
      <c r="A38" s="114" t="s">
        <v>457</v>
      </c>
      <c r="B38" s="91">
        <v>5530</v>
      </c>
      <c r="C38" s="112">
        <f>F8</f>
        <v>181</v>
      </c>
      <c r="D38" s="91">
        <v>4608</v>
      </c>
      <c r="E38" s="91">
        <f>[1]BS!J5/1000000</f>
        <v>806</v>
      </c>
      <c r="F38" s="112">
        <f>B38+D38-E38</f>
        <v>9332</v>
      </c>
      <c r="G38" s="91">
        <f>[1]IS!J17/1000000</f>
        <v>378</v>
      </c>
      <c r="H38" s="91">
        <f>-[1]IS!J13/1000000</f>
        <v>663</v>
      </c>
      <c r="I38" s="112">
        <f>G38+H38</f>
        <v>1041</v>
      </c>
      <c r="J38" s="110">
        <f>B38/C38</f>
        <v>30.552486187845304</v>
      </c>
      <c r="K38" s="110">
        <f>F38/I38</f>
        <v>8.9644572526416901</v>
      </c>
      <c r="P38" s="108" t="s">
        <v>404</v>
      </c>
      <c r="Q38" s="121">
        <f>Q34*Q35/Q36*1000</f>
        <v>481.86038822906551</v>
      </c>
      <c r="V38">
        <f>(V33-V35)/V36</f>
        <v>1.051462573151452</v>
      </c>
    </row>
    <row r="39" spans="1:22" ht="14.5" x14ac:dyDescent="0.35">
      <c r="A39" s="115" t="s">
        <v>341</v>
      </c>
      <c r="B39" s="91">
        <v>6060</v>
      </c>
      <c r="C39" s="112">
        <v>135</v>
      </c>
      <c r="D39" s="91">
        <v>4908</v>
      </c>
      <c r="E39" s="91">
        <v>1035</v>
      </c>
      <c r="F39" s="112">
        <f t="shared" ref="F39:F51" si="12">B39+D39-E39</f>
        <v>9933</v>
      </c>
      <c r="G39" s="91">
        <v>615</v>
      </c>
      <c r="H39" s="112">
        <v>1063</v>
      </c>
      <c r="I39" s="112">
        <f t="shared" ref="I39:I51" si="13">G39+H39</f>
        <v>1678</v>
      </c>
      <c r="J39" s="110">
        <f t="shared" ref="J39:J43" si="14">B39/C39</f>
        <v>44.888888888888886</v>
      </c>
      <c r="K39" s="110">
        <f t="shared" ref="K39:K50" si="15">F39/I39</f>
        <v>5.9195470798569723</v>
      </c>
      <c r="P39" s="108" t="s">
        <v>405</v>
      </c>
      <c r="Q39" s="122">
        <f>Q38/Q37-1</f>
        <v>-8.3131218287383568E-2</v>
      </c>
      <c r="V39">
        <f>ABS(V34-V35)/V36</f>
        <v>0.93903485896083772</v>
      </c>
    </row>
    <row r="40" spans="1:22" ht="14.5" x14ac:dyDescent="0.35">
      <c r="A40" s="115" t="s">
        <v>343</v>
      </c>
      <c r="B40" s="112">
        <v>3980</v>
      </c>
      <c r="C40" s="112">
        <f>F10</f>
        <v>16.63</v>
      </c>
      <c r="D40" s="91">
        <v>660</v>
      </c>
      <c r="E40" s="91">
        <v>344</v>
      </c>
      <c r="F40" s="112">
        <f t="shared" si="12"/>
        <v>4296</v>
      </c>
      <c r="G40" s="91">
        <v>282</v>
      </c>
      <c r="H40" s="112">
        <v>405</v>
      </c>
      <c r="I40" s="112">
        <f t="shared" si="13"/>
        <v>687</v>
      </c>
      <c r="J40" s="110">
        <f t="shared" si="14"/>
        <v>239.32651834034877</v>
      </c>
      <c r="K40" s="110">
        <f t="shared" si="15"/>
        <v>6.253275109170306</v>
      </c>
      <c r="P40" s="2" t="s">
        <v>403</v>
      </c>
      <c r="Q40" s="110" t="s">
        <v>366</v>
      </c>
      <c r="V40">
        <v>1.65</v>
      </c>
    </row>
    <row r="41" spans="1:22" x14ac:dyDescent="0.25">
      <c r="A41" s="115" t="s">
        <v>345</v>
      </c>
      <c r="B41" s="91">
        <v>4160</v>
      </c>
      <c r="C41" s="112">
        <v>79</v>
      </c>
      <c r="D41" s="91">
        <v>233</v>
      </c>
      <c r="E41" s="91">
        <v>120</v>
      </c>
      <c r="F41" s="112">
        <f t="shared" si="12"/>
        <v>4273</v>
      </c>
      <c r="G41" s="112">
        <v>113</v>
      </c>
      <c r="H41" s="91">
        <v>39</v>
      </c>
      <c r="I41" s="112">
        <f t="shared" si="13"/>
        <v>152</v>
      </c>
      <c r="J41" s="110">
        <f t="shared" si="14"/>
        <v>52.658227848101269</v>
      </c>
      <c r="K41" s="110">
        <f t="shared" si="15"/>
        <v>28.111842105263158</v>
      </c>
      <c r="P41" s="2" t="s">
        <v>386</v>
      </c>
      <c r="Q41" s="119" t="s">
        <v>366</v>
      </c>
    </row>
    <row r="42" spans="1:22" x14ac:dyDescent="0.25">
      <c r="A42" s="115" t="s">
        <v>347</v>
      </c>
      <c r="B42" s="91">
        <v>1560</v>
      </c>
      <c r="C42" s="112">
        <f>F12</f>
        <v>743</v>
      </c>
      <c r="D42" s="91">
        <v>0</v>
      </c>
      <c r="E42" s="91">
        <v>178</v>
      </c>
      <c r="F42" s="112">
        <f t="shared" si="12"/>
        <v>1382</v>
      </c>
      <c r="G42" s="112">
        <v>165</v>
      </c>
      <c r="H42" s="91">
        <v>84</v>
      </c>
      <c r="I42" s="112">
        <f t="shared" si="13"/>
        <v>249</v>
      </c>
      <c r="J42" s="110">
        <f t="shared" si="14"/>
        <v>2.0995962314939436</v>
      </c>
      <c r="K42" s="110">
        <f t="shared" si="15"/>
        <v>5.5502008032128511</v>
      </c>
      <c r="P42" s="2" t="s">
        <v>287</v>
      </c>
      <c r="Q42" s="119" t="s">
        <v>366</v>
      </c>
    </row>
    <row r="43" spans="1:22" x14ac:dyDescent="0.25">
      <c r="A43" s="114" t="s">
        <v>349</v>
      </c>
      <c r="B43" s="91">
        <v>1120</v>
      </c>
      <c r="C43" s="112">
        <v>103</v>
      </c>
      <c r="D43" s="91">
        <v>35</v>
      </c>
      <c r="E43" s="91">
        <v>40</v>
      </c>
      <c r="F43" s="112">
        <f t="shared" si="12"/>
        <v>1115</v>
      </c>
      <c r="G43" s="112">
        <v>138</v>
      </c>
      <c r="H43" s="112">
        <v>41</v>
      </c>
      <c r="I43" s="112">
        <f t="shared" si="13"/>
        <v>179</v>
      </c>
      <c r="J43" s="110">
        <f t="shared" si="14"/>
        <v>10.873786407766991</v>
      </c>
      <c r="K43" s="110">
        <f t="shared" si="15"/>
        <v>6.2290502793296092</v>
      </c>
      <c r="P43" s="2" t="s">
        <v>385</v>
      </c>
      <c r="Q43" s="120">
        <v>525.54999999999995</v>
      </c>
    </row>
    <row r="44" spans="1:22" x14ac:dyDescent="0.25">
      <c r="A44" s="184" t="s">
        <v>395</v>
      </c>
      <c r="B44" s="185"/>
      <c r="C44" s="185"/>
      <c r="D44" s="185"/>
      <c r="E44" s="185"/>
      <c r="F44" s="185"/>
      <c r="G44" s="185"/>
      <c r="H44" s="185"/>
      <c r="I44" s="186"/>
      <c r="J44" s="117">
        <f>_xlfn.STDEV.S(J38:J43)</f>
        <v>88.322011456947365</v>
      </c>
      <c r="K44" s="117">
        <f>_xlfn.STDEV.S(K38:K43)</f>
        <v>8.8729221001730778</v>
      </c>
      <c r="P44" s="108" t="s">
        <v>406</v>
      </c>
      <c r="Q44" s="121" t="s">
        <v>366</v>
      </c>
    </row>
    <row r="45" spans="1:22" x14ac:dyDescent="0.25">
      <c r="A45" s="184" t="s">
        <v>383</v>
      </c>
      <c r="B45" s="185"/>
      <c r="C45" s="185"/>
      <c r="D45" s="185"/>
      <c r="E45" s="185"/>
      <c r="F45" s="185"/>
      <c r="G45" s="185"/>
      <c r="H45" s="185"/>
      <c r="I45" s="186"/>
      <c r="J45" s="117">
        <f>AVERAGE(J38:J43)</f>
        <v>63.399917317407528</v>
      </c>
      <c r="K45" s="117">
        <f>AVERAGE(K38:K43)</f>
        <v>10.171395438245765</v>
      </c>
      <c r="P45" s="108" t="s">
        <v>416</v>
      </c>
      <c r="Q45" s="122" t="s">
        <v>366</v>
      </c>
    </row>
    <row r="46" spans="1:22" x14ac:dyDescent="0.25">
      <c r="A46" s="181" t="s">
        <v>400</v>
      </c>
      <c r="B46" s="182"/>
      <c r="C46" s="182"/>
      <c r="D46" s="182"/>
      <c r="E46" s="182"/>
      <c r="F46" s="182"/>
      <c r="G46" s="182"/>
      <c r="H46" s="182"/>
      <c r="I46" s="182"/>
      <c r="J46" s="182"/>
      <c r="K46" s="183"/>
      <c r="P46" s="2" t="s">
        <v>407</v>
      </c>
      <c r="Q46" s="110">
        <f>Q34</f>
        <v>28.214597112819281</v>
      </c>
    </row>
    <row r="47" spans="1:22" ht="14.5" x14ac:dyDescent="0.35">
      <c r="A47" s="115" t="s">
        <v>354</v>
      </c>
      <c r="B47" s="112">
        <f>249.44*$B$33</f>
        <v>18353.7952</v>
      </c>
      <c r="C47" s="112">
        <f>F18</f>
        <v>-1657.6428000000001</v>
      </c>
      <c r="D47" s="112">
        <f>67.64*$D$2</f>
        <v>4996.5668000000005</v>
      </c>
      <c r="E47" s="112">
        <f>4.36*$D$2</f>
        <v>322.07320000000004</v>
      </c>
      <c r="F47" s="112">
        <f t="shared" si="12"/>
        <v>23028.288800000002</v>
      </c>
      <c r="G47" s="112">
        <f>-27.72*$D$2</f>
        <v>-2047.6764000000001</v>
      </c>
      <c r="H47" s="112">
        <f>46*$D$2</f>
        <v>3398.0200000000004</v>
      </c>
      <c r="I47" s="112">
        <f t="shared" si="13"/>
        <v>1350.3436000000004</v>
      </c>
      <c r="J47" s="110" t="s">
        <v>46</v>
      </c>
      <c r="K47" s="110">
        <f t="shared" si="15"/>
        <v>17.053651233656378</v>
      </c>
      <c r="P47" s="2" t="s">
        <v>386</v>
      </c>
      <c r="Q47" s="119">
        <f>Q35</f>
        <v>181000000</v>
      </c>
      <c r="T47">
        <v>8.9644572526416901</v>
      </c>
      <c r="V47">
        <f>MAX(T47:T56)</f>
        <v>28.111842105263158</v>
      </c>
    </row>
    <row r="48" spans="1:22" ht="14.5" x14ac:dyDescent="0.35">
      <c r="A48" s="115" t="s">
        <v>356</v>
      </c>
      <c r="B48" s="112">
        <f>200.75*$B$33</f>
        <v>14771.184999999999</v>
      </c>
      <c r="C48" s="112">
        <f>F19</f>
        <v>-409</v>
      </c>
      <c r="D48" s="112">
        <f>44.32*$D$2</f>
        <v>3273.9184</v>
      </c>
      <c r="E48" s="112">
        <f>5.62*$D$2</f>
        <v>415.14940000000001</v>
      </c>
      <c r="F48" s="112">
        <f t="shared" si="12"/>
        <v>17629.954000000002</v>
      </c>
      <c r="G48" s="112">
        <f>-6.76*$D$2</f>
        <v>-499.3612</v>
      </c>
      <c r="H48" s="112">
        <f>19.5*$D$2</f>
        <v>1440.4650000000001</v>
      </c>
      <c r="I48" s="112">
        <f t="shared" si="13"/>
        <v>941.10380000000009</v>
      </c>
      <c r="J48" s="110" t="s">
        <v>46</v>
      </c>
      <c r="K48" s="110">
        <f t="shared" si="15"/>
        <v>18.733272567808143</v>
      </c>
      <c r="P48" s="2" t="s">
        <v>287</v>
      </c>
      <c r="Q48" s="119">
        <v>10598177817</v>
      </c>
      <c r="T48">
        <v>5.9195470798569723</v>
      </c>
      <c r="V48">
        <f>MIN(T47:T56)</f>
        <v>3.4733245686049643</v>
      </c>
    </row>
    <row r="49" spans="1:22" ht="14.5" x14ac:dyDescent="0.35">
      <c r="A49" s="115" t="s">
        <v>357</v>
      </c>
      <c r="B49" s="112">
        <f>(150.87)*$B$33</f>
        <v>11101.0146</v>
      </c>
      <c r="C49" s="112">
        <f>F20</f>
        <v>-1601.5016000000001</v>
      </c>
      <c r="D49" s="112">
        <f>108.01*$D$2</f>
        <v>7978.6987000000008</v>
      </c>
      <c r="E49" s="112">
        <f>31.765*$D$2</f>
        <v>2346.4805500000002</v>
      </c>
      <c r="F49" s="112">
        <f t="shared" si="12"/>
        <v>16733.232750000003</v>
      </c>
      <c r="G49" s="112">
        <f>-22.91*$D$2</f>
        <v>-1692.3617000000002</v>
      </c>
      <c r="H49" s="112">
        <f>46*$D$2</f>
        <v>3398.0200000000004</v>
      </c>
      <c r="I49" s="112">
        <f t="shared" si="13"/>
        <v>1705.6583000000003</v>
      </c>
      <c r="J49" s="110" t="s">
        <v>46</v>
      </c>
      <c r="K49" s="110">
        <f t="shared" si="15"/>
        <v>9.8104249544003039</v>
      </c>
      <c r="P49" s="2" t="s">
        <v>385</v>
      </c>
      <c r="Q49" s="120">
        <v>525.54999999999995</v>
      </c>
      <c r="T49">
        <v>6.253275109170306</v>
      </c>
      <c r="V49">
        <f>AVERAGE(T47:T56)</f>
        <v>11.009904595394438</v>
      </c>
    </row>
    <row r="50" spans="1:22" ht="14.5" x14ac:dyDescent="0.35">
      <c r="A50" s="115" t="s">
        <v>360</v>
      </c>
      <c r="B50" s="112">
        <f>123.8*$B$33</f>
        <v>9109.2039999999997</v>
      </c>
      <c r="C50" s="112">
        <f>F21</f>
        <v>-534.96654000000001</v>
      </c>
      <c r="D50" s="112">
        <f>77.3*$D$2</f>
        <v>5710.1509999999998</v>
      </c>
      <c r="E50" s="112">
        <f>35.77*$D$2</f>
        <v>2642.3299000000002</v>
      </c>
      <c r="F50" s="112">
        <f t="shared" si="12"/>
        <v>12177.025099999999</v>
      </c>
      <c r="G50" s="112">
        <f>-4.98*$D$2</f>
        <v>-367.87260000000003</v>
      </c>
      <c r="H50" s="112">
        <f>52.44*$D$2</f>
        <v>3873.7428</v>
      </c>
      <c r="I50" s="112">
        <f t="shared" si="13"/>
        <v>3505.8701999999998</v>
      </c>
      <c r="J50" s="110" t="s">
        <v>46</v>
      </c>
      <c r="K50" s="110">
        <f t="shared" si="15"/>
        <v>3.4733245686049643</v>
      </c>
      <c r="P50" s="108" t="s">
        <v>408</v>
      </c>
      <c r="Q50" s="121">
        <f>Q46*Q47/Q48*1000</f>
        <v>481.86038822906551</v>
      </c>
      <c r="T50">
        <v>28.111842105263158</v>
      </c>
      <c r="V50">
        <f>_xlfn.STDEV.S(T47:T56)</f>
        <v>7.8335347122526287</v>
      </c>
    </row>
    <row r="51" spans="1:22" ht="14.5" x14ac:dyDescent="0.35">
      <c r="A51" s="115" t="s">
        <v>355</v>
      </c>
      <c r="B51" s="112">
        <f>88.76*$B$33</f>
        <v>6530.9607999999998</v>
      </c>
      <c r="C51" s="112">
        <f>F22</f>
        <v>-1500.00422</v>
      </c>
      <c r="D51" s="112">
        <f>43.47*$D$2</f>
        <v>3211.1289000000002</v>
      </c>
      <c r="E51" s="112">
        <f>29.53*$D$2</f>
        <v>2181.3811000000001</v>
      </c>
      <c r="F51" s="112">
        <f t="shared" si="12"/>
        <v>7560.7085999999999</v>
      </c>
      <c r="G51" s="112">
        <f>-21.73*$D$2</f>
        <v>-1605.1951000000001</v>
      </c>
      <c r="H51" s="112">
        <f>14.89*$D$2</f>
        <v>1099.9243000000001</v>
      </c>
      <c r="I51" s="112">
        <f t="shared" si="13"/>
        <v>-505.27080000000001</v>
      </c>
      <c r="J51" s="110" t="s">
        <v>46</v>
      </c>
      <c r="K51" s="110" t="s">
        <v>46</v>
      </c>
      <c r="P51" s="108" t="s">
        <v>409</v>
      </c>
      <c r="Q51" s="122">
        <f>Q50/Q49-1</f>
        <v>-8.3131218287383568E-2</v>
      </c>
      <c r="T51">
        <v>5.5502008032128511</v>
      </c>
      <c r="V51"/>
    </row>
    <row r="52" spans="1:22" ht="14.5" x14ac:dyDescent="0.35">
      <c r="A52" s="184" t="s">
        <v>395</v>
      </c>
      <c r="B52" s="185"/>
      <c r="C52" s="185"/>
      <c r="D52" s="185"/>
      <c r="E52" s="185"/>
      <c r="F52" s="185"/>
      <c r="G52" s="185"/>
      <c r="H52" s="185"/>
      <c r="I52" s="186"/>
      <c r="J52" s="117" t="s">
        <v>366</v>
      </c>
      <c r="K52" s="117">
        <f>_xlfn.STDEV.S(K47:K51)</f>
        <v>7.0258616960144709</v>
      </c>
      <c r="T52">
        <v>6.2290502793296092</v>
      </c>
      <c r="V52">
        <f>(V47-V49)/V50</f>
        <v>2.1831699402721925</v>
      </c>
    </row>
    <row r="53" spans="1:22" ht="14.5" x14ac:dyDescent="0.35">
      <c r="A53" s="184" t="s">
        <v>383</v>
      </c>
      <c r="B53" s="185"/>
      <c r="C53" s="185"/>
      <c r="D53" s="185"/>
      <c r="E53" s="185"/>
      <c r="F53" s="185"/>
      <c r="G53" s="185"/>
      <c r="H53" s="185"/>
      <c r="I53" s="186"/>
      <c r="J53" s="117" t="s">
        <v>366</v>
      </c>
      <c r="K53" s="117">
        <f>AVERAGE(K47:K51)</f>
        <v>12.267668331117449</v>
      </c>
      <c r="L53" s="107"/>
      <c r="T53" s="110">
        <v>17.053651233656378</v>
      </c>
      <c r="V53">
        <f>ABS(V48-V49)/V50</f>
        <v>0.96209186575778116</v>
      </c>
    </row>
    <row r="54" spans="1:22" ht="14.5" x14ac:dyDescent="0.35">
      <c r="A54" s="181" t="s">
        <v>401</v>
      </c>
      <c r="B54" s="182"/>
      <c r="C54" s="182"/>
      <c r="D54" s="182"/>
      <c r="E54" s="182"/>
      <c r="F54" s="182"/>
      <c r="G54" s="182"/>
      <c r="H54" s="182"/>
      <c r="I54" s="182"/>
      <c r="J54" s="182"/>
      <c r="K54" s="183"/>
      <c r="P54" s="2" t="s">
        <v>410</v>
      </c>
      <c r="Q54" s="110">
        <f>S24</f>
        <v>6.5833061048422845</v>
      </c>
      <c r="T54" s="110">
        <v>18.733272567808143</v>
      </c>
      <c r="V54">
        <v>2.15</v>
      </c>
    </row>
    <row r="55" spans="1:22" x14ac:dyDescent="0.25">
      <c r="A55" s="184" t="s">
        <v>395</v>
      </c>
      <c r="B55" s="185"/>
      <c r="C55" s="185"/>
      <c r="D55" s="185"/>
      <c r="E55" s="185"/>
      <c r="F55" s="185"/>
      <c r="G55" s="185"/>
      <c r="H55" s="185"/>
      <c r="I55" s="186"/>
      <c r="J55" s="117">
        <f>_xlfn.STDEV.S(J38:J43)</f>
        <v>88.322011456947365</v>
      </c>
      <c r="K55" s="117">
        <f>_xlfn.STDEV.S(K38:K43,K47:K51)</f>
        <v>7.8335347122526287</v>
      </c>
      <c r="P55" s="2" t="s">
        <v>387</v>
      </c>
      <c r="Q55" s="119">
        <f>[1]IS!J17-[1]IS!J13</f>
        <v>1041000000</v>
      </c>
      <c r="T55" s="110">
        <v>9.8104249544003039</v>
      </c>
    </row>
    <row r="56" spans="1:22" x14ac:dyDescent="0.25">
      <c r="A56" s="184" t="s">
        <v>383</v>
      </c>
      <c r="B56" s="185"/>
      <c r="C56" s="185"/>
      <c r="D56" s="185"/>
      <c r="E56" s="185"/>
      <c r="F56" s="185"/>
      <c r="G56" s="185"/>
      <c r="H56" s="185"/>
      <c r="I56" s="186"/>
      <c r="J56" s="117">
        <f>AVERAGE(J38:J43)</f>
        <v>63.399917317407528</v>
      </c>
      <c r="K56" s="117">
        <f>AVERAGE(K38:K43,K47:K51)</f>
        <v>11.009904595394438</v>
      </c>
      <c r="P56" s="2" t="s">
        <v>287</v>
      </c>
      <c r="Q56" s="119">
        <v>10598177817</v>
      </c>
      <c r="T56" s="110">
        <v>3.4733245686049643</v>
      </c>
    </row>
    <row r="57" spans="1:22" x14ac:dyDescent="0.25">
      <c r="P57" s="2" t="s">
        <v>385</v>
      </c>
      <c r="Q57" s="120">
        <v>525.54999999999995</v>
      </c>
    </row>
    <row r="58" spans="1:22" x14ac:dyDescent="0.25">
      <c r="A58" s="38" t="s">
        <v>487</v>
      </c>
      <c r="G58" s="38" t="s">
        <v>488</v>
      </c>
      <c r="P58" s="108" t="s">
        <v>411</v>
      </c>
      <c r="Q58" s="121">
        <f>Q54*Q55/Q56*1000</f>
        <v>646.64150512250444</v>
      </c>
      <c r="T58" s="38" t="s">
        <v>489</v>
      </c>
    </row>
    <row r="59" spans="1:22" ht="14.5" x14ac:dyDescent="0.35">
      <c r="A59" s="109" t="s">
        <v>490</v>
      </c>
      <c r="B59" s="109" t="s">
        <v>488</v>
      </c>
      <c r="D59" s="2" t="s">
        <v>491</v>
      </c>
      <c r="E59" s="106">
        <f>G59</f>
        <v>239.32651834034877</v>
      </c>
      <c r="F59" s="38">
        <v>30.552486187845304</v>
      </c>
      <c r="G59">
        <f>MAX(F59:F64)</f>
        <v>239.32651834034877</v>
      </c>
      <c r="P59" s="108" t="s">
        <v>412</v>
      </c>
      <c r="Q59" s="122">
        <f>Q58/Q57-1</f>
        <v>0.23040910498050526</v>
      </c>
    </row>
    <row r="60" spans="1:22" ht="14.5" x14ac:dyDescent="0.35">
      <c r="A60" s="114" t="s">
        <v>457</v>
      </c>
      <c r="B60" s="102">
        <f>J38</f>
        <v>30.552486187845304</v>
      </c>
      <c r="D60" s="2" t="s">
        <v>492</v>
      </c>
      <c r="E60" s="106">
        <f t="shared" ref="E60:E62" si="16">G60</f>
        <v>2.0995962314939436</v>
      </c>
      <c r="F60" s="38">
        <v>44.888888888888886</v>
      </c>
      <c r="G60">
        <f>MIN(F59:F64)</f>
        <v>2.0995962314939436</v>
      </c>
      <c r="J60" s="38">
        <v>30.552486187845304</v>
      </c>
      <c r="L60">
        <f>MAX(J60:J64)</f>
        <v>52.658227848101269</v>
      </c>
      <c r="P60" s="2" t="s">
        <v>413</v>
      </c>
      <c r="Q60" s="110">
        <f>K53</f>
        <v>12.267668331117449</v>
      </c>
      <c r="T60">
        <v>8.9644572526416901</v>
      </c>
      <c r="V60">
        <f>MAX(T60:T68)</f>
        <v>18.733272567808143</v>
      </c>
    </row>
    <row r="61" spans="1:22" ht="14.5" x14ac:dyDescent="0.35">
      <c r="A61" s="115" t="s">
        <v>341</v>
      </c>
      <c r="B61" s="102">
        <f t="shared" ref="B61:B65" si="17">J39</f>
        <v>44.888888888888886</v>
      </c>
      <c r="D61" s="2" t="s">
        <v>493</v>
      </c>
      <c r="E61" s="106">
        <f t="shared" si="16"/>
        <v>63.399917317407528</v>
      </c>
      <c r="F61" s="38">
        <v>239.32651834034877</v>
      </c>
      <c r="G61">
        <f>AVERAGE(F59:F64)</f>
        <v>63.399917317407528</v>
      </c>
      <c r="J61" s="38">
        <v>44.888888888888886</v>
      </c>
      <c r="L61">
        <f>MIN(J60:J64)</f>
        <v>2.0995962314939436</v>
      </c>
      <c r="P61" s="2" t="s">
        <v>387</v>
      </c>
      <c r="Q61" s="119">
        <f>Q55</f>
        <v>1041000000</v>
      </c>
      <c r="T61">
        <v>5.9195470798569723</v>
      </c>
      <c r="V61">
        <f>MIN(T60:T68)</f>
        <v>3.4733245686049643</v>
      </c>
    </row>
    <row r="62" spans="1:22" ht="14.5" x14ac:dyDescent="0.35">
      <c r="A62" s="115" t="s">
        <v>343</v>
      </c>
      <c r="B62" s="102">
        <f t="shared" si="17"/>
        <v>239.32651834034877</v>
      </c>
      <c r="D62" s="2" t="s">
        <v>494</v>
      </c>
      <c r="E62" s="106">
        <f t="shared" si="16"/>
        <v>88.322011456947365</v>
      </c>
      <c r="F62" s="38">
        <v>52.658227848101269</v>
      </c>
      <c r="G62">
        <f>_xlfn.STDEV.S(F59:F64)</f>
        <v>88.322011456947365</v>
      </c>
      <c r="J62" s="38">
        <v>52.658227848101269</v>
      </c>
      <c r="L62">
        <f>AVERAGE(J60:J64)</f>
        <v>28.214597112819281</v>
      </c>
      <c r="P62" s="2" t="s">
        <v>287</v>
      </c>
      <c r="Q62" s="119">
        <f>Q56</f>
        <v>10598177817</v>
      </c>
      <c r="T62">
        <v>6.253275109170306</v>
      </c>
      <c r="V62">
        <f>AVERAGE(T60:T68)</f>
        <v>9.1096893165201358</v>
      </c>
    </row>
    <row r="63" spans="1:22" ht="14.5" x14ac:dyDescent="0.35">
      <c r="A63" s="115" t="s">
        <v>345</v>
      </c>
      <c r="B63" s="102">
        <f t="shared" si="17"/>
        <v>52.658227848101269</v>
      </c>
      <c r="D63" s="2"/>
      <c r="E63" s="2"/>
      <c r="F63" s="38">
        <v>2.0995962314939436</v>
      </c>
      <c r="G63"/>
      <c r="J63" s="38">
        <v>2.0995962314939436</v>
      </c>
      <c r="L63">
        <f>_xlfn.STDEV.S(J60:J64)</f>
        <v>21.585213700723063</v>
      </c>
      <c r="P63" s="2" t="s">
        <v>385</v>
      </c>
      <c r="Q63" s="120">
        <v>525.54999999999995</v>
      </c>
      <c r="T63">
        <v>5.5502008032128511</v>
      </c>
      <c r="V63">
        <f>_xlfn.STDEV.S(T60:T68)</f>
        <v>5.3303935741948401</v>
      </c>
    </row>
    <row r="64" spans="1:22" ht="14.5" x14ac:dyDescent="0.35">
      <c r="A64" s="115" t="s">
        <v>347</v>
      </c>
      <c r="B64" s="102">
        <f t="shared" si="17"/>
        <v>2.0995962314939436</v>
      </c>
      <c r="D64" s="2" t="s">
        <v>495</v>
      </c>
      <c r="E64" s="106">
        <f>G64</f>
        <v>1.9918772016271029</v>
      </c>
      <c r="F64" s="38">
        <v>10.873786407766991</v>
      </c>
      <c r="G64">
        <f>(G59-G61)/G62</f>
        <v>1.9918772016271029</v>
      </c>
      <c r="J64" s="38">
        <v>10.873786407766991</v>
      </c>
      <c r="L64"/>
      <c r="P64" s="108" t="s">
        <v>414</v>
      </c>
      <c r="Q64" s="121">
        <f>Q60*Q61/Q62*1000</f>
        <v>1204.9847580598737</v>
      </c>
      <c r="T64">
        <v>6.2290502793296092</v>
      </c>
      <c r="V64"/>
    </row>
    <row r="65" spans="1:22" ht="14.5" x14ac:dyDescent="0.35">
      <c r="A65" s="114" t="s">
        <v>349</v>
      </c>
      <c r="B65" s="102">
        <f t="shared" si="17"/>
        <v>10.873786407766991</v>
      </c>
      <c r="D65" s="2" t="s">
        <v>496</v>
      </c>
      <c r="E65" s="106">
        <f t="shared" ref="E65:E66" si="18">G65</f>
        <v>0.6940548576137725</v>
      </c>
      <c r="G65">
        <f>ABS(G60-G61)/G62</f>
        <v>0.6940548576137725</v>
      </c>
      <c r="J65" s="105">
        <f>AVERAGE(J60:J64)</f>
        <v>28.214597112819281</v>
      </c>
      <c r="L65">
        <f>(L60-L62)/L63</f>
        <v>1.1324247734671802</v>
      </c>
      <c r="P65" s="108" t="s">
        <v>417</v>
      </c>
      <c r="Q65" s="122">
        <f>Q64/Q63-1</f>
        <v>1.2928070746073139</v>
      </c>
      <c r="T65" s="110">
        <v>17.053651233656378</v>
      </c>
      <c r="V65">
        <f>(V60-V62)/V63</f>
        <v>1.8054170142101855</v>
      </c>
    </row>
    <row r="66" spans="1:22" ht="14.5" x14ac:dyDescent="0.35">
      <c r="D66" s="2" t="s">
        <v>497</v>
      </c>
      <c r="E66" s="106">
        <f t="shared" si="18"/>
        <v>1.89</v>
      </c>
      <c r="F66"/>
      <c r="G66">
        <v>1.89</v>
      </c>
      <c r="J66" s="105">
        <f>_xlfn.STDEV.S(J60:J65)</f>
        <v>19.306402057470624</v>
      </c>
      <c r="L66">
        <f>ABS(L61-L62)/L63</f>
        <v>1.2098560266026244</v>
      </c>
      <c r="P66" s="2" t="s">
        <v>415</v>
      </c>
      <c r="Q66" s="110">
        <f>T70</f>
        <v>9.1096893165201358</v>
      </c>
      <c r="T66" s="110">
        <v>18.733272567808143</v>
      </c>
      <c r="V66">
        <f>ABS(V61-V62)/V63</f>
        <v>1.0574012349109791</v>
      </c>
    </row>
    <row r="67" spans="1:22" ht="14.5" x14ac:dyDescent="0.35">
      <c r="F67"/>
      <c r="G67"/>
      <c r="L67">
        <v>1.79</v>
      </c>
      <c r="P67" s="2" t="s">
        <v>387</v>
      </c>
      <c r="Q67" s="119">
        <f>Q55</f>
        <v>1041000000</v>
      </c>
      <c r="T67" s="110">
        <v>9.8104249544003039</v>
      </c>
      <c r="V67">
        <v>2.1</v>
      </c>
    </row>
    <row r="68" spans="1:22" ht="14.5" x14ac:dyDescent="0.35">
      <c r="F68"/>
      <c r="G68"/>
      <c r="P68" s="2" t="s">
        <v>287</v>
      </c>
      <c r="Q68" s="119">
        <v>10598177817</v>
      </c>
      <c r="T68" s="110">
        <v>3.4733245686049643</v>
      </c>
    </row>
    <row r="69" spans="1:22" ht="14.5" x14ac:dyDescent="0.35">
      <c r="F69"/>
      <c r="G69"/>
      <c r="P69" s="2" t="s">
        <v>385</v>
      </c>
      <c r="Q69" s="120">
        <v>525.54999999999995</v>
      </c>
    </row>
    <row r="70" spans="1:22" ht="14.5" x14ac:dyDescent="0.35">
      <c r="F70"/>
      <c r="G70"/>
      <c r="P70" s="108" t="s">
        <v>418</v>
      </c>
      <c r="Q70" s="121">
        <f>Q66*Q67/Q68*1000</f>
        <v>894.79406198355741</v>
      </c>
      <c r="T70" s="105">
        <f>AVERAGE(T60:T68)</f>
        <v>9.1096893165201358</v>
      </c>
    </row>
    <row r="71" spans="1:22" ht="14.5" x14ac:dyDescent="0.35">
      <c r="F71"/>
      <c r="G71"/>
      <c r="P71" s="108" t="s">
        <v>419</v>
      </c>
      <c r="Q71" s="122">
        <f>Q70/Q69-1</f>
        <v>0.70258598037019793</v>
      </c>
    </row>
    <row r="73" spans="1:22" x14ac:dyDescent="0.25">
      <c r="A73" s="38" t="s">
        <v>389</v>
      </c>
    </row>
    <row r="74" spans="1:22" ht="14.5" customHeight="1" x14ac:dyDescent="0.35">
      <c r="A74" s="187" t="s">
        <v>334</v>
      </c>
      <c r="B74" s="161" t="s">
        <v>384</v>
      </c>
      <c r="C74" s="189" t="s">
        <v>370</v>
      </c>
      <c r="D74" s="189" t="s">
        <v>391</v>
      </c>
      <c r="E74" s="162" t="s">
        <v>392</v>
      </c>
      <c r="F74" s="189" t="s">
        <v>390</v>
      </c>
      <c r="G74"/>
      <c r="H74"/>
      <c r="I74"/>
      <c r="J74" t="s">
        <v>390</v>
      </c>
      <c r="K74"/>
      <c r="L74"/>
      <c r="M74"/>
      <c r="N74"/>
      <c r="O74"/>
      <c r="P74" s="2" t="s">
        <v>420</v>
      </c>
      <c r="Q74" s="110">
        <f>F85</f>
        <v>1.0947944924478765</v>
      </c>
      <c r="R74"/>
    </row>
    <row r="75" spans="1:22" ht="14.5" customHeight="1" x14ac:dyDescent="0.35">
      <c r="A75" s="187"/>
      <c r="B75" s="161"/>
      <c r="C75" s="189"/>
      <c r="D75" s="189"/>
      <c r="E75" s="162"/>
      <c r="F75" s="189"/>
      <c r="G75"/>
      <c r="H75"/>
      <c r="I75"/>
      <c r="J75">
        <v>1.0078367049389465</v>
      </c>
      <c r="K75"/>
      <c r="L75">
        <f>MAX(J75:J80)</f>
        <v>2.5396825396825395</v>
      </c>
      <c r="M75"/>
      <c r="N75"/>
      <c r="O75"/>
      <c r="P75" s="2" t="s">
        <v>421</v>
      </c>
      <c r="Q75" s="119">
        <f>[1]BS!J25-[1]BS!J35-[1]BS!J42</f>
        <v>5487000000</v>
      </c>
      <c r="R75"/>
    </row>
    <row r="76" spans="1:22" ht="14.5" customHeight="1" x14ac:dyDescent="0.35">
      <c r="A76" s="187"/>
      <c r="B76" s="161"/>
      <c r="C76" s="189"/>
      <c r="D76" s="189"/>
      <c r="E76" s="162"/>
      <c r="F76" s="189"/>
      <c r="G76"/>
      <c r="H76"/>
      <c r="I76"/>
      <c r="J76">
        <v>0.40932117527862211</v>
      </c>
      <c r="K76"/>
      <c r="L76">
        <f>MIN(J75:J80)</f>
        <v>0.30232558139534882</v>
      </c>
      <c r="M76"/>
      <c r="N76"/>
      <c r="O76"/>
      <c r="P76" s="2" t="s">
        <v>287</v>
      </c>
      <c r="Q76" s="119">
        <v>10598177817</v>
      </c>
      <c r="R76"/>
    </row>
    <row r="77" spans="1:22" ht="14.5" customHeight="1" x14ac:dyDescent="0.35">
      <c r="A77" s="187" t="s">
        <v>399</v>
      </c>
      <c r="B77" s="187"/>
      <c r="C77" s="187"/>
      <c r="D77" s="187"/>
      <c r="E77" s="187"/>
      <c r="F77" s="187"/>
      <c r="G77"/>
      <c r="H77"/>
      <c r="I77"/>
      <c r="J77">
        <v>0.9634471072379569</v>
      </c>
      <c r="K77"/>
      <c r="L77">
        <f>AVERAGE(J75:J80)</f>
        <v>1.0947944924478765</v>
      </c>
      <c r="M77"/>
      <c r="N77"/>
      <c r="O77"/>
      <c r="P77" s="2" t="s">
        <v>385</v>
      </c>
      <c r="Q77" s="120">
        <v>525.54999999999995</v>
      </c>
      <c r="R77"/>
    </row>
    <row r="78" spans="1:22" ht="14.5" x14ac:dyDescent="0.35">
      <c r="A78" s="114" t="s">
        <v>457</v>
      </c>
      <c r="B78" s="91">
        <v>5530</v>
      </c>
      <c r="C78" s="112">
        <f t="shared" ref="C78:C83" si="19">G8</f>
        <v>15350</v>
      </c>
      <c r="D78" s="112">
        <f>([1]BS!J35+[1]BS!J42)/1000000</f>
        <v>9863</v>
      </c>
      <c r="E78" s="112">
        <f>C78-D78</f>
        <v>5487</v>
      </c>
      <c r="F78" s="110">
        <f>B78/E78</f>
        <v>1.0078367049389465</v>
      </c>
      <c r="G78"/>
      <c r="H78"/>
      <c r="I78"/>
      <c r="J78">
        <v>2.5396825396825395</v>
      </c>
      <c r="K78"/>
      <c r="L78">
        <f>_xlfn.STDEV.S(J75:J80)</f>
        <v>0.80914491034459513</v>
      </c>
      <c r="M78"/>
      <c r="N78"/>
      <c r="O78"/>
      <c r="P78" s="108" t="s">
        <v>422</v>
      </c>
      <c r="Q78" s="121">
        <f>Q74*Q75/Q76*1000</f>
        <v>566.80851027294091</v>
      </c>
      <c r="R78"/>
    </row>
    <row r="79" spans="1:22" ht="14.5" customHeight="1" x14ac:dyDescent="0.35">
      <c r="A79" s="115" t="s">
        <v>341</v>
      </c>
      <c r="B79" s="91">
        <v>6060</v>
      </c>
      <c r="C79" s="112">
        <f t="shared" si="19"/>
        <v>23352</v>
      </c>
      <c r="D79" s="112">
        <v>8547</v>
      </c>
      <c r="E79" s="112">
        <f t="shared" ref="E79:E91" si="20">C79-D79</f>
        <v>14805</v>
      </c>
      <c r="F79" s="110">
        <f t="shared" ref="F79:F91" si="21">B79/E79</f>
        <v>0.40932117527862211</v>
      </c>
      <c r="G79"/>
      <c r="H79"/>
      <c r="I79"/>
      <c r="J79">
        <v>0.30232558139534882</v>
      </c>
      <c r="K79"/>
      <c r="L79"/>
      <c r="M79"/>
      <c r="N79"/>
      <c r="O79"/>
      <c r="P79" s="108" t="s">
        <v>423</v>
      </c>
      <c r="Q79" s="122">
        <f>Q78/Q77-1</f>
        <v>7.8505394868120915E-2</v>
      </c>
      <c r="R79"/>
    </row>
    <row r="80" spans="1:22" ht="14.5" customHeight="1" x14ac:dyDescent="0.35">
      <c r="A80" s="115" t="s">
        <v>343</v>
      </c>
      <c r="B80" s="112">
        <v>3980</v>
      </c>
      <c r="C80" s="112">
        <f t="shared" si="19"/>
        <v>5992</v>
      </c>
      <c r="D80" s="112">
        <v>1861</v>
      </c>
      <c r="E80" s="112">
        <f t="shared" si="20"/>
        <v>4131</v>
      </c>
      <c r="F80" s="110">
        <f t="shared" si="21"/>
        <v>0.9634471072379569</v>
      </c>
      <c r="G80"/>
      <c r="H80"/>
      <c r="I80"/>
      <c r="J80">
        <v>1.3461538461538463</v>
      </c>
      <c r="K80"/>
      <c r="L80">
        <f>(L75-L77)/L78</f>
        <v>1.785697504566049</v>
      </c>
      <c r="M80"/>
      <c r="N80"/>
      <c r="O80"/>
      <c r="P80" s="2" t="s">
        <v>424</v>
      </c>
      <c r="Q80" s="110">
        <f>F93</f>
        <v>1.2328066529845274</v>
      </c>
      <c r="R80"/>
    </row>
    <row r="81" spans="1:19" ht="14.5" customHeight="1" x14ac:dyDescent="0.35">
      <c r="A81" s="115" t="s">
        <v>345</v>
      </c>
      <c r="B81" s="91">
        <v>4160</v>
      </c>
      <c r="C81" s="112">
        <f t="shared" si="19"/>
        <v>2059</v>
      </c>
      <c r="D81" s="112">
        <v>421</v>
      </c>
      <c r="E81" s="112">
        <f t="shared" si="20"/>
        <v>1638</v>
      </c>
      <c r="F81" s="110">
        <f t="shared" si="21"/>
        <v>2.5396825396825395</v>
      </c>
      <c r="G81"/>
      <c r="H81"/>
      <c r="I81"/>
      <c r="J81"/>
      <c r="K81"/>
      <c r="L81">
        <f>ABS(L76-L77)/L78</f>
        <v>0.97939058989450289</v>
      </c>
      <c r="M81"/>
      <c r="N81"/>
      <c r="O81"/>
      <c r="P81" s="2" t="s">
        <v>421</v>
      </c>
      <c r="Q81" s="119">
        <f>Q75</f>
        <v>5487000000</v>
      </c>
      <c r="R81"/>
    </row>
    <row r="82" spans="1:19" ht="14.5" customHeight="1" x14ac:dyDescent="0.35">
      <c r="A82" s="115" t="s">
        <v>347</v>
      </c>
      <c r="B82" s="91">
        <v>1560</v>
      </c>
      <c r="C82" s="112">
        <f t="shared" si="19"/>
        <v>5876</v>
      </c>
      <c r="D82" s="112">
        <v>716</v>
      </c>
      <c r="E82" s="112">
        <f t="shared" si="20"/>
        <v>5160</v>
      </c>
      <c r="F82" s="110">
        <f t="shared" si="21"/>
        <v>0.30232558139534882</v>
      </c>
      <c r="G82"/>
      <c r="H82"/>
      <c r="I82"/>
      <c r="J82"/>
      <c r="K82"/>
      <c r="L82">
        <v>1.89</v>
      </c>
      <c r="M82"/>
      <c r="N82"/>
      <c r="O82"/>
      <c r="P82" s="2" t="s">
        <v>287</v>
      </c>
      <c r="Q82" s="119">
        <f>Q76</f>
        <v>10598177817</v>
      </c>
      <c r="R82"/>
    </row>
    <row r="83" spans="1:19" ht="14.5" customHeight="1" x14ac:dyDescent="0.35">
      <c r="A83" s="114" t="s">
        <v>349</v>
      </c>
      <c r="B83" s="91">
        <v>1120</v>
      </c>
      <c r="C83" s="112">
        <f t="shared" si="19"/>
        <v>1264</v>
      </c>
      <c r="D83" s="112">
        <v>432</v>
      </c>
      <c r="E83" s="112">
        <f t="shared" si="20"/>
        <v>832</v>
      </c>
      <c r="F83" s="110">
        <f t="shared" si="21"/>
        <v>1.3461538461538463</v>
      </c>
      <c r="G83"/>
      <c r="H83"/>
      <c r="I83"/>
      <c r="J83"/>
      <c r="K83"/>
      <c r="L83"/>
      <c r="M83"/>
      <c r="N83"/>
      <c r="O83"/>
      <c r="P83" s="2" t="s">
        <v>385</v>
      </c>
      <c r="Q83" s="120">
        <v>525.54999999999995</v>
      </c>
      <c r="R83"/>
    </row>
    <row r="84" spans="1:19" ht="14.5" customHeight="1" x14ac:dyDescent="0.35">
      <c r="A84" s="188" t="s">
        <v>395</v>
      </c>
      <c r="B84" s="188"/>
      <c r="C84" s="188"/>
      <c r="D84" s="188"/>
      <c r="E84" s="188"/>
      <c r="F84" s="117">
        <f>_xlfn.STDEV.S(F78:F83)</f>
        <v>0.80914491034459513</v>
      </c>
      <c r="G84"/>
      <c r="H84"/>
      <c r="I84"/>
      <c r="J84">
        <v>1.5138348513943447</v>
      </c>
      <c r="K84"/>
      <c r="L84">
        <f>MAX(J84:J89)</f>
        <v>1.5138348513943447</v>
      </c>
      <c r="M84"/>
      <c r="N84"/>
      <c r="O84"/>
      <c r="P84" s="108" t="s">
        <v>425</v>
      </c>
      <c r="Q84" s="121">
        <f>Q80*Q81/Q82*1000</f>
        <v>638.26161645218428</v>
      </c>
      <c r="R84"/>
    </row>
    <row r="85" spans="1:19" ht="14.5" customHeight="1" x14ac:dyDescent="0.35">
      <c r="A85" s="188" t="s">
        <v>383</v>
      </c>
      <c r="B85" s="188"/>
      <c r="C85" s="188"/>
      <c r="D85" s="188"/>
      <c r="E85" s="188"/>
      <c r="F85" s="117">
        <f>AVERAGE(F78:F83)</f>
        <v>1.0947944924478765</v>
      </c>
      <c r="G85"/>
      <c r="H85"/>
      <c r="I85"/>
      <c r="J85">
        <v>1.5065753935411021</v>
      </c>
      <c r="K85"/>
      <c r="L85">
        <f>MIN(J84:J89)</f>
        <v>0.94790309011210638</v>
      </c>
      <c r="M85"/>
      <c r="N85"/>
      <c r="O85"/>
      <c r="P85" s="108" t="s">
        <v>426</v>
      </c>
      <c r="Q85" s="122">
        <f>Q84/Q83-1</f>
        <v>0.21446411654872866</v>
      </c>
      <c r="R85"/>
    </row>
    <row r="86" spans="1:19" ht="14.5" customHeight="1" x14ac:dyDescent="0.35">
      <c r="A86" s="187" t="s">
        <v>400</v>
      </c>
      <c r="B86" s="187"/>
      <c r="C86" s="187"/>
      <c r="D86" s="187"/>
      <c r="E86" s="187"/>
      <c r="F86" s="187"/>
      <c r="G86"/>
      <c r="H86"/>
      <c r="I86"/>
      <c r="J86">
        <v>0.94790309011210638</v>
      </c>
      <c r="K86"/>
      <c r="L86">
        <f>AVERAGE(J84:J88)</f>
        <v>1.2328066529845274</v>
      </c>
      <c r="M86"/>
      <c r="N86"/>
      <c r="O86"/>
      <c r="P86" s="2" t="s">
        <v>427</v>
      </c>
      <c r="Q86" s="110">
        <v>1.02</v>
      </c>
      <c r="R86"/>
    </row>
    <row r="87" spans="1:19" ht="14.5" customHeight="1" x14ac:dyDescent="0.35">
      <c r="A87" s="115" t="s">
        <v>354</v>
      </c>
      <c r="B87" s="112">
        <f>249.44*$B$33</f>
        <v>18353.7952</v>
      </c>
      <c r="C87" s="112">
        <f>G18</f>
        <v>24580</v>
      </c>
      <c r="D87" s="112">
        <f>168.62*$D$2</f>
        <v>12455.959400000002</v>
      </c>
      <c r="E87" s="112">
        <f t="shared" si="20"/>
        <v>12124.040599999998</v>
      </c>
      <c r="F87" s="110">
        <f t="shared" si="21"/>
        <v>1.5138348513943447</v>
      </c>
      <c r="G87"/>
      <c r="H87"/>
      <c r="I87"/>
      <c r="J87">
        <v>1.1624402257309596</v>
      </c>
      <c r="K87"/>
      <c r="L87">
        <f>_xlfn.STDEV.S(J84:J88)</f>
        <v>0.2645083406732166</v>
      </c>
      <c r="M87"/>
      <c r="N87"/>
      <c r="O87"/>
      <c r="P87" s="2" t="s">
        <v>421</v>
      </c>
      <c r="Q87" s="119">
        <f>Q75</f>
        <v>5487000000</v>
      </c>
      <c r="R87"/>
    </row>
    <row r="88" spans="1:19" ht="14.5" customHeight="1" x14ac:dyDescent="0.35">
      <c r="A88" s="115" t="s">
        <v>356</v>
      </c>
      <c r="B88" s="112">
        <f>200.75*$B$33</f>
        <v>14771.184999999999</v>
      </c>
      <c r="C88" s="112">
        <f>G19</f>
        <v>17713</v>
      </c>
      <c r="D88" s="112">
        <f>107.06*$D$2</f>
        <v>7908.5222000000003</v>
      </c>
      <c r="E88" s="112">
        <f t="shared" si="20"/>
        <v>9804.4778000000006</v>
      </c>
      <c r="F88" s="110">
        <f t="shared" si="21"/>
        <v>1.5065753935411021</v>
      </c>
      <c r="G88"/>
      <c r="H88"/>
      <c r="I88"/>
      <c r="J88">
        <v>1.0332797041441244</v>
      </c>
      <c r="K88"/>
      <c r="L88"/>
      <c r="M88"/>
      <c r="N88"/>
      <c r="O88"/>
      <c r="P88" s="2" t="s">
        <v>287</v>
      </c>
      <c r="Q88" s="119">
        <v>10598177817</v>
      </c>
      <c r="R88"/>
    </row>
    <row r="89" spans="1:19" ht="14.5" customHeight="1" x14ac:dyDescent="0.35">
      <c r="A89" s="115" t="s">
        <v>357</v>
      </c>
      <c r="B89" s="112">
        <f>(150.87)*$B$33</f>
        <v>11101.0146</v>
      </c>
      <c r="C89" s="112">
        <f>G20</f>
        <v>28016.453290000001</v>
      </c>
      <c r="D89" s="112">
        <f>220.73*$D$2</f>
        <v>16305.3251</v>
      </c>
      <c r="E89" s="112">
        <f t="shared" si="20"/>
        <v>11711.128190000001</v>
      </c>
      <c r="F89" s="110">
        <f t="shared" si="21"/>
        <v>0.94790309011210638</v>
      </c>
      <c r="G89"/>
      <c r="H89"/>
      <c r="I89"/>
      <c r="J89"/>
      <c r="K89"/>
      <c r="L89">
        <f>(L84-L86)/L87</f>
        <v>1.0624549596226531</v>
      </c>
      <c r="M89"/>
      <c r="N89"/>
      <c r="O89"/>
      <c r="P89" s="2" t="s">
        <v>385</v>
      </c>
      <c r="Q89" s="120">
        <v>525.54999999999995</v>
      </c>
      <c r="R89"/>
    </row>
    <row r="90" spans="1:19" ht="14.5" customHeight="1" x14ac:dyDescent="0.35">
      <c r="A90" s="115" t="s">
        <v>360</v>
      </c>
      <c r="B90" s="112">
        <f>123.8*$B$33</f>
        <v>9109.2039999999997</v>
      </c>
      <c r="C90" s="112">
        <f>G21</f>
        <v>19659.170839999999</v>
      </c>
      <c r="D90" s="112">
        <f>160.05*$D$2</f>
        <v>11822.893500000002</v>
      </c>
      <c r="E90" s="112">
        <f t="shared" si="20"/>
        <v>7836.2773399999969</v>
      </c>
      <c r="F90" s="110">
        <f t="shared" si="21"/>
        <v>1.1624402257309596</v>
      </c>
      <c r="G90"/>
      <c r="H90"/>
      <c r="I90"/>
      <c r="J90"/>
      <c r="K90"/>
      <c r="L90">
        <f>ABS(L85-L86)/L87</f>
        <v>1.0771061590999182</v>
      </c>
      <c r="M90"/>
      <c r="N90"/>
      <c r="O90"/>
      <c r="P90" s="108" t="s">
        <v>428</v>
      </c>
      <c r="Q90" s="121">
        <f>Q86*Q87/Q88*1000</f>
        <v>528.08511959693226</v>
      </c>
      <c r="R90"/>
      <c r="S90" s="104"/>
    </row>
    <row r="91" spans="1:19" ht="14.5" customHeight="1" x14ac:dyDescent="0.35">
      <c r="A91" s="115" t="s">
        <v>355</v>
      </c>
      <c r="B91" s="112">
        <f>88.76*$B$33</f>
        <v>6530.9607999999998</v>
      </c>
      <c r="C91" s="112">
        <f>G22</f>
        <v>19771.600979999999</v>
      </c>
      <c r="D91" s="112">
        <f>182.09*$D$2</f>
        <v>13450.988300000001</v>
      </c>
      <c r="E91" s="112">
        <f t="shared" si="20"/>
        <v>6320.6126799999984</v>
      </c>
      <c r="F91" s="110">
        <f t="shared" si="21"/>
        <v>1.0332797041441244</v>
      </c>
      <c r="G91"/>
      <c r="H91"/>
      <c r="I91"/>
      <c r="J91"/>
      <c r="K91"/>
      <c r="L91">
        <v>1.79</v>
      </c>
      <c r="M91"/>
      <c r="N91"/>
      <c r="O91"/>
      <c r="P91" s="108" t="s">
        <v>429</v>
      </c>
      <c r="Q91" s="122">
        <f>Q90/Q89-1</f>
        <v>4.8237457842874587E-3</v>
      </c>
      <c r="R91"/>
    </row>
    <row r="92" spans="1:19" ht="14.5" customHeight="1" x14ac:dyDescent="0.35">
      <c r="A92" s="188" t="s">
        <v>395</v>
      </c>
      <c r="B92" s="188"/>
      <c r="C92" s="188"/>
      <c r="D92" s="188"/>
      <c r="E92" s="188"/>
      <c r="F92" s="116">
        <f>_xlfn.STDEV.S(F87:F91)</f>
        <v>0.2645083406732166</v>
      </c>
      <c r="G92"/>
      <c r="H92"/>
      <c r="I92"/>
      <c r="J92"/>
      <c r="K92"/>
      <c r="L92"/>
      <c r="M92"/>
      <c r="N92"/>
      <c r="O92"/>
      <c r="P92"/>
      <c r="Q92"/>
      <c r="R92"/>
    </row>
    <row r="93" spans="1:19" ht="14.5" customHeight="1" x14ac:dyDescent="0.35">
      <c r="A93" s="188" t="s">
        <v>383</v>
      </c>
      <c r="B93" s="188"/>
      <c r="C93" s="188"/>
      <c r="D93" s="188"/>
      <c r="E93" s="188"/>
      <c r="F93" s="116">
        <f>AVERAGE(F87:F91)</f>
        <v>1.2328066529845274</v>
      </c>
      <c r="G93"/>
      <c r="H93"/>
      <c r="I93"/>
      <c r="J93"/>
      <c r="K93"/>
      <c r="L93"/>
      <c r="M93"/>
      <c r="N93"/>
      <c r="O93"/>
      <c r="P93"/>
      <c r="Q93"/>
      <c r="R93"/>
    </row>
    <row r="94" spans="1:19" ht="14.5" customHeight="1" x14ac:dyDescent="0.35">
      <c r="A94" s="187" t="s">
        <v>401</v>
      </c>
      <c r="B94" s="187"/>
      <c r="C94" s="187"/>
      <c r="D94" s="187"/>
      <c r="E94" s="187"/>
      <c r="F94" s="187"/>
      <c r="G94"/>
      <c r="H94"/>
      <c r="I94"/>
      <c r="J94">
        <v>1.0078367049389465</v>
      </c>
      <c r="K94"/>
      <c r="L94">
        <f>MAX(J94:J104)</f>
        <v>2.5396825396825395</v>
      </c>
      <c r="M94"/>
      <c r="N94"/>
      <c r="O94"/>
      <c r="P94"/>
      <c r="Q94"/>
      <c r="R94"/>
    </row>
    <row r="95" spans="1:19" ht="14.5" customHeight="1" x14ac:dyDescent="0.35">
      <c r="A95" s="188" t="s">
        <v>395</v>
      </c>
      <c r="B95" s="188"/>
      <c r="C95" s="188"/>
      <c r="D95" s="188"/>
      <c r="E95" s="188"/>
      <c r="F95" s="117">
        <f>_xlfn.STDEV.S(F78:F83,F87:F91)</f>
        <v>0.60044845029483451</v>
      </c>
      <c r="G95"/>
      <c r="H95"/>
      <c r="I95"/>
      <c r="J95">
        <v>0.40932117527862211</v>
      </c>
      <c r="K95"/>
      <c r="L95">
        <f>MIN(J94:J104)</f>
        <v>0.30232558139534882</v>
      </c>
      <c r="M95"/>
      <c r="N95"/>
      <c r="O95"/>
      <c r="P95"/>
      <c r="Q95"/>
      <c r="R95"/>
    </row>
    <row r="96" spans="1:19" ht="14.5" customHeight="1" x14ac:dyDescent="0.35">
      <c r="A96" s="188" t="s">
        <v>383</v>
      </c>
      <c r="B96" s="188"/>
      <c r="C96" s="188"/>
      <c r="D96" s="188"/>
      <c r="E96" s="188"/>
      <c r="F96" s="117">
        <f>AVERAGE(F78:F83,F87:F91)</f>
        <v>1.1575272926918088</v>
      </c>
      <c r="G96"/>
      <c r="H96"/>
      <c r="I96"/>
      <c r="J96">
        <v>0.9634471072379569</v>
      </c>
      <c r="K96"/>
      <c r="L96">
        <f>AVERAGE(J94:J104)</f>
        <v>1.1575272926918088</v>
      </c>
      <c r="M96"/>
      <c r="N96"/>
      <c r="O96"/>
      <c r="P96"/>
      <c r="Q96"/>
      <c r="R96"/>
    </row>
    <row r="97" spans="1:18" ht="14.5" customHeight="1" x14ac:dyDescent="0.35">
      <c r="G97"/>
      <c r="H97"/>
      <c r="I97"/>
      <c r="J97">
        <v>2.5396825396825395</v>
      </c>
      <c r="K97"/>
      <c r="L97">
        <f>_xlfn.STDEV.S(J94:J104)</f>
        <v>0.60044845029483451</v>
      </c>
      <c r="M97"/>
      <c r="N97"/>
      <c r="O97"/>
      <c r="P97"/>
      <c r="Q97"/>
      <c r="R97"/>
    </row>
    <row r="98" spans="1:18" ht="14.5" x14ac:dyDescent="0.35">
      <c r="J98">
        <v>0.30232558139534882</v>
      </c>
      <c r="L98"/>
    </row>
    <row r="99" spans="1:18" ht="14.5" x14ac:dyDescent="0.35">
      <c r="J99">
        <v>1.3461538461538463</v>
      </c>
      <c r="L99">
        <f>(L94-L96)/L97</f>
        <v>2.301871619973471</v>
      </c>
    </row>
    <row r="100" spans="1:18" ht="14.5" x14ac:dyDescent="0.35">
      <c r="A100" s="38" t="s">
        <v>389</v>
      </c>
      <c r="J100">
        <v>1.5138348513943447</v>
      </c>
      <c r="L100">
        <f>ABS(L95-L96)/L97</f>
        <v>1.4242716604173689</v>
      </c>
      <c r="P100" s="2" t="s">
        <v>430</v>
      </c>
      <c r="Q100" s="110">
        <f>P143</f>
        <v>1.12600304852953</v>
      </c>
    </row>
    <row r="101" spans="1:18" ht="14.5" x14ac:dyDescent="0.35">
      <c r="A101" s="187" t="s">
        <v>334</v>
      </c>
      <c r="B101" s="161" t="s">
        <v>384</v>
      </c>
      <c r="C101" s="189" t="s">
        <v>393</v>
      </c>
      <c r="D101" s="190" t="s">
        <v>338</v>
      </c>
      <c r="E101"/>
      <c r="F101"/>
      <c r="G101"/>
      <c r="J101">
        <v>1.5065753935411021</v>
      </c>
      <c r="L101">
        <v>2.19</v>
      </c>
      <c r="P101" s="2" t="s">
        <v>431</v>
      </c>
      <c r="Q101" s="119">
        <f>[1]IS!J6</f>
        <v>5757000000</v>
      </c>
    </row>
    <row r="102" spans="1:18" ht="14.5" x14ac:dyDescent="0.35">
      <c r="A102" s="187"/>
      <c r="B102" s="161"/>
      <c r="C102" s="189"/>
      <c r="D102" s="191"/>
      <c r="E102"/>
      <c r="F102"/>
      <c r="G102"/>
      <c r="J102">
        <v>0.94790309011210638</v>
      </c>
      <c r="P102" s="2" t="s">
        <v>287</v>
      </c>
      <c r="Q102" s="119">
        <v>10598177817</v>
      </c>
    </row>
    <row r="103" spans="1:18" ht="14.5" x14ac:dyDescent="0.35">
      <c r="A103" s="187"/>
      <c r="B103" s="161"/>
      <c r="C103" s="189"/>
      <c r="D103" s="192"/>
      <c r="E103"/>
      <c r="F103"/>
      <c r="G103"/>
      <c r="J103">
        <v>1.1624402257309596</v>
      </c>
      <c r="P103" s="2" t="s">
        <v>385</v>
      </c>
      <c r="Q103" s="120">
        <v>525.54999999999995</v>
      </c>
    </row>
    <row r="104" spans="1:18" ht="14.5" x14ac:dyDescent="0.35">
      <c r="A104" s="181" t="s">
        <v>399</v>
      </c>
      <c r="B104" s="182"/>
      <c r="C104" s="182"/>
      <c r="D104" s="183"/>
      <c r="E104"/>
      <c r="F104"/>
      <c r="G104"/>
      <c r="J104">
        <v>1.0332797041441244</v>
      </c>
      <c r="P104" s="108" t="s">
        <v>432</v>
      </c>
      <c r="Q104" s="121">
        <f>Q100*Q101/Q102*1000</f>
        <v>611.65227290170731</v>
      </c>
    </row>
    <row r="105" spans="1:18" ht="14.5" x14ac:dyDescent="0.35">
      <c r="A105" s="114" t="s">
        <v>457</v>
      </c>
      <c r="B105" s="112">
        <f t="shared" ref="B105:B110" si="22">B78</f>
        <v>5530</v>
      </c>
      <c r="C105" s="112">
        <f t="shared" ref="C105:C110" si="23">E8</f>
        <v>5757</v>
      </c>
      <c r="D105" s="110">
        <f>B105/C105</f>
        <v>0.96056974118464478</v>
      </c>
      <c r="E105"/>
      <c r="F105"/>
      <c r="G105"/>
      <c r="P105" s="108" t="s">
        <v>433</v>
      </c>
      <c r="Q105" s="122">
        <f>Q104/Q103-1</f>
        <v>0.16383269508459208</v>
      </c>
    </row>
    <row r="106" spans="1:18" ht="14.5" x14ac:dyDescent="0.35">
      <c r="A106" s="115" t="s">
        <v>341</v>
      </c>
      <c r="B106" s="112">
        <f t="shared" si="22"/>
        <v>6060</v>
      </c>
      <c r="C106" s="112">
        <f t="shared" si="23"/>
        <v>6321</v>
      </c>
      <c r="D106" s="110">
        <f t="shared" ref="D106:D118" si="24">B106/C106</f>
        <v>0.95870906502135733</v>
      </c>
      <c r="E106"/>
      <c r="F106"/>
      <c r="G106"/>
      <c r="P106" s="2" t="s">
        <v>434</v>
      </c>
      <c r="Q106" s="110">
        <f>D120</f>
        <v>1.1721215793644046</v>
      </c>
    </row>
    <row r="107" spans="1:18" ht="14.5" x14ac:dyDescent="0.35">
      <c r="A107" s="115" t="s">
        <v>343</v>
      </c>
      <c r="B107" s="112">
        <f t="shared" si="22"/>
        <v>3980</v>
      </c>
      <c r="C107" s="112">
        <f t="shared" si="23"/>
        <v>5639</v>
      </c>
      <c r="D107" s="110">
        <f t="shared" si="24"/>
        <v>0.70579890051427563</v>
      </c>
      <c r="E107"/>
      <c r="F107"/>
      <c r="G107"/>
      <c r="J107" s="38" t="s">
        <v>486</v>
      </c>
      <c r="P107" s="2" t="s">
        <v>431</v>
      </c>
      <c r="Q107" s="119">
        <f>Q101</f>
        <v>5757000000</v>
      </c>
    </row>
    <row r="108" spans="1:18" ht="14.5" x14ac:dyDescent="0.35">
      <c r="A108" s="115" t="s">
        <v>345</v>
      </c>
      <c r="B108" s="112">
        <f t="shared" si="22"/>
        <v>4160</v>
      </c>
      <c r="C108" s="112">
        <f t="shared" si="23"/>
        <v>711.8</v>
      </c>
      <c r="D108" s="110">
        <f t="shared" si="24"/>
        <v>5.8443382972745157</v>
      </c>
      <c r="E108"/>
      <c r="F108"/>
      <c r="G108"/>
      <c r="P108" s="2" t="s">
        <v>287</v>
      </c>
      <c r="Q108" s="119">
        <f>Q102</f>
        <v>10598177817</v>
      </c>
    </row>
    <row r="109" spans="1:18" ht="14.5" x14ac:dyDescent="0.35">
      <c r="A109" s="115" t="s">
        <v>347</v>
      </c>
      <c r="B109" s="112">
        <f t="shared" si="22"/>
        <v>1560</v>
      </c>
      <c r="C109" s="112">
        <f t="shared" si="23"/>
        <v>1075.2</v>
      </c>
      <c r="D109" s="110">
        <f t="shared" si="24"/>
        <v>1.450892857142857</v>
      </c>
      <c r="E109"/>
      <c r="F109"/>
      <c r="G109"/>
      <c r="J109">
        <v>1.0078367049389465</v>
      </c>
      <c r="L109">
        <f>MAX(J109:J119)</f>
        <v>1.5138348513943447</v>
      </c>
      <c r="P109" s="2" t="s">
        <v>385</v>
      </c>
      <c r="Q109" s="120">
        <v>525.54999999999995</v>
      </c>
    </row>
    <row r="110" spans="1:18" ht="14.5" x14ac:dyDescent="0.35">
      <c r="A110" s="114" t="s">
        <v>349</v>
      </c>
      <c r="B110" s="112">
        <f t="shared" si="22"/>
        <v>1120</v>
      </c>
      <c r="C110" s="112">
        <f t="shared" si="23"/>
        <v>720.7</v>
      </c>
      <c r="D110" s="110">
        <f t="shared" si="24"/>
        <v>1.554044678784515</v>
      </c>
      <c r="E110"/>
      <c r="F110"/>
      <c r="G110"/>
      <c r="J110">
        <v>0.40932117527862211</v>
      </c>
      <c r="L110">
        <f>MIN(J109:J119)</f>
        <v>0.30232558139534882</v>
      </c>
      <c r="P110" s="108" t="s">
        <v>435</v>
      </c>
      <c r="Q110" s="121">
        <f>Q106*Q107/Q108*1000</f>
        <v>636.70416263226934</v>
      </c>
    </row>
    <row r="111" spans="1:18" ht="14.5" x14ac:dyDescent="0.35">
      <c r="A111" s="184" t="s">
        <v>395</v>
      </c>
      <c r="B111" s="185"/>
      <c r="C111" s="186"/>
      <c r="D111" s="116">
        <f>_xlfn.STDEV.S(D106:D110)</f>
        <v>2.1204822733023723</v>
      </c>
      <c r="E111"/>
      <c r="F111"/>
      <c r="G111"/>
      <c r="J111">
        <v>0.9634471072379569</v>
      </c>
      <c r="L111">
        <f>AVERAGE(J109:J118)</f>
        <v>1.0193117679927357</v>
      </c>
      <c r="P111" s="108" t="s">
        <v>436</v>
      </c>
      <c r="Q111" s="122">
        <f>Q110/Q109-1</f>
        <v>0.21150064243605637</v>
      </c>
    </row>
    <row r="112" spans="1:18" ht="14.5" x14ac:dyDescent="0.35">
      <c r="A112" s="184" t="s">
        <v>383</v>
      </c>
      <c r="B112" s="185"/>
      <c r="C112" s="186"/>
      <c r="D112" s="116">
        <f>AVERAGE(D106:D110)</f>
        <v>2.1027567597475043</v>
      </c>
      <c r="E112"/>
      <c r="F112"/>
      <c r="G112"/>
      <c r="J112">
        <v>0.30232558139534882</v>
      </c>
      <c r="L112">
        <f>_xlfn.STDEV.S(J109:J118)</f>
        <v>0.40879157622766266</v>
      </c>
      <c r="P112" s="2" t="s">
        <v>437</v>
      </c>
      <c r="Q112" s="110">
        <f>P185</f>
        <v>1.1490623139469673</v>
      </c>
    </row>
    <row r="113" spans="1:19" ht="14.5" x14ac:dyDescent="0.35">
      <c r="A113" s="181" t="s">
        <v>400</v>
      </c>
      <c r="B113" s="182"/>
      <c r="C113" s="182"/>
      <c r="D113" s="183"/>
      <c r="E113"/>
      <c r="F113"/>
      <c r="G113"/>
      <c r="J113">
        <v>1.3461538461538463</v>
      </c>
      <c r="L113"/>
      <c r="P113" s="2" t="s">
        <v>431</v>
      </c>
      <c r="Q113" s="119">
        <f>Q101</f>
        <v>5757000000</v>
      </c>
    </row>
    <row r="114" spans="1:19" ht="14.5" x14ac:dyDescent="0.35">
      <c r="A114" s="115" t="s">
        <v>354</v>
      </c>
      <c r="B114" s="112">
        <f>B87</f>
        <v>18353.7952</v>
      </c>
      <c r="C114" s="112">
        <f>E18</f>
        <v>13191</v>
      </c>
      <c r="D114" s="110">
        <f>B114/C114</f>
        <v>1.3913877037373967</v>
      </c>
      <c r="E114"/>
      <c r="F114"/>
      <c r="G114"/>
      <c r="J114">
        <v>1.5138348513943447</v>
      </c>
      <c r="L114">
        <f>(L109-L111)/L112</f>
        <v>1.2097193586156507</v>
      </c>
      <c r="P114" s="2" t="s">
        <v>287</v>
      </c>
      <c r="Q114" s="119">
        <v>10598177817</v>
      </c>
    </row>
    <row r="115" spans="1:19" ht="14.5" x14ac:dyDescent="0.35">
      <c r="A115" s="115" t="s">
        <v>356</v>
      </c>
      <c r="B115" s="112">
        <f>B88</f>
        <v>14771.184999999999</v>
      </c>
      <c r="C115" s="112">
        <f>E19</f>
        <v>6979</v>
      </c>
      <c r="D115" s="110">
        <f t="shared" si="24"/>
        <v>2.1165188422410086</v>
      </c>
      <c r="E115"/>
      <c r="F115"/>
      <c r="G115"/>
      <c r="J115">
        <v>1.5065753935411021</v>
      </c>
      <c r="L115">
        <f>ABS(L110-L111)/L112</f>
        <v>1.7539162455688315</v>
      </c>
      <c r="P115" s="2" t="s">
        <v>385</v>
      </c>
      <c r="Q115" s="120">
        <v>525.54999999999995</v>
      </c>
    </row>
    <row r="116" spans="1:19" ht="14.5" x14ac:dyDescent="0.35">
      <c r="A116" s="115" t="s">
        <v>357</v>
      </c>
      <c r="B116" s="112">
        <f>B89</f>
        <v>11101.0146</v>
      </c>
      <c r="C116" s="112">
        <f>E20</f>
        <v>13336.71141</v>
      </c>
      <c r="D116" s="110">
        <f t="shared" si="24"/>
        <v>0.83236521048782297</v>
      </c>
      <c r="E116"/>
      <c r="F116"/>
      <c r="G116"/>
      <c r="J116">
        <v>0.94790309011210638</v>
      </c>
      <c r="L116">
        <v>2.15</v>
      </c>
      <c r="P116" s="108" t="s">
        <v>438</v>
      </c>
      <c r="Q116" s="121">
        <f>Q112*Q113/Q114*1000</f>
        <v>624.17821776698838</v>
      </c>
    </row>
    <row r="117" spans="1:19" ht="14.5" x14ac:dyDescent="0.35">
      <c r="A117" s="115" t="s">
        <v>360</v>
      </c>
      <c r="B117" s="112">
        <f>B90</f>
        <v>9109.2039999999997</v>
      </c>
      <c r="C117" s="112">
        <f>E21</f>
        <v>8842.5344800000003</v>
      </c>
      <c r="D117" s="110">
        <f t="shared" si="24"/>
        <v>1.030157588935972</v>
      </c>
      <c r="E117"/>
      <c r="F117"/>
      <c r="G117"/>
      <c r="J117">
        <v>1.1624402257309596</v>
      </c>
      <c r="P117" s="108" t="s">
        <v>439</v>
      </c>
      <c r="Q117" s="122">
        <f>Q116/Q115-1</f>
        <v>0.18766666876032434</v>
      </c>
    </row>
    <row r="118" spans="1:19" ht="14.5" x14ac:dyDescent="0.35">
      <c r="A118" s="115" t="s">
        <v>355</v>
      </c>
      <c r="B118" s="112">
        <f>B91</f>
        <v>6530.9607999999998</v>
      </c>
      <c r="C118" s="112">
        <f>E22</f>
        <v>13323.636420000001</v>
      </c>
      <c r="D118" s="110">
        <f t="shared" si="24"/>
        <v>0.49017855141982325</v>
      </c>
      <c r="E118"/>
      <c r="F118"/>
      <c r="G118"/>
      <c r="J118">
        <v>1.0332797041441244</v>
      </c>
    </row>
    <row r="119" spans="1:19" ht="14.5" x14ac:dyDescent="0.35">
      <c r="A119" s="184" t="s">
        <v>395</v>
      </c>
      <c r="B119" s="185"/>
      <c r="C119" s="186"/>
      <c r="D119" s="116">
        <f>_xlfn.STDEV.S(D114:D118)</f>
        <v>0.62060419785060328</v>
      </c>
      <c r="E119"/>
      <c r="F119"/>
      <c r="G119"/>
    </row>
    <row r="120" spans="1:19" ht="14.5" x14ac:dyDescent="0.35">
      <c r="A120" s="184" t="s">
        <v>383</v>
      </c>
      <c r="B120" s="185"/>
      <c r="C120" s="186"/>
      <c r="D120" s="116">
        <f>AVERAGE(D114:D118)</f>
        <v>1.1721215793644046</v>
      </c>
      <c r="E120"/>
      <c r="F120"/>
      <c r="G120"/>
      <c r="J120" s="144">
        <f>AVERAGE(F78:F80,F82:F83,F87:F91)</f>
        <v>1.0193117679927357</v>
      </c>
    </row>
    <row r="121" spans="1:19" ht="14.5" x14ac:dyDescent="0.35">
      <c r="A121" s="181" t="s">
        <v>401</v>
      </c>
      <c r="B121" s="182"/>
      <c r="C121" s="182"/>
      <c r="D121" s="183"/>
      <c r="E121"/>
      <c r="F121"/>
      <c r="G121"/>
    </row>
    <row r="122" spans="1:19" ht="14.5" x14ac:dyDescent="0.35">
      <c r="A122" s="184" t="s">
        <v>395</v>
      </c>
      <c r="B122" s="185"/>
      <c r="C122" s="186"/>
      <c r="D122" s="117">
        <f>_xlfn.STDEV.S(D105:D110,D114:D118)</f>
        <v>1.4868787840809774</v>
      </c>
      <c r="E122"/>
      <c r="F122"/>
      <c r="G122"/>
    </row>
    <row r="123" spans="1:19" ht="14.5" x14ac:dyDescent="0.35">
      <c r="A123" s="184" t="s">
        <v>383</v>
      </c>
      <c r="B123" s="185"/>
      <c r="C123" s="186"/>
      <c r="D123" s="117">
        <f>AVERAGE(D105:D110,D114:D118)</f>
        <v>1.5759055851585628</v>
      </c>
      <c r="E123"/>
      <c r="F123"/>
      <c r="G123"/>
      <c r="P123" s="38" t="s">
        <v>338</v>
      </c>
    </row>
    <row r="124" spans="1:19" ht="14.5" x14ac:dyDescent="0.35">
      <c r="E124"/>
      <c r="F124"/>
      <c r="G124"/>
      <c r="P124" s="38">
        <v>0.96056974118464478</v>
      </c>
      <c r="Q124">
        <f>MAX(P124:P129)</f>
        <v>5.8443382972745157</v>
      </c>
      <c r="S124" s="107"/>
    </row>
    <row r="125" spans="1:19" ht="14.5" x14ac:dyDescent="0.35">
      <c r="C125"/>
      <c r="D125"/>
      <c r="E125"/>
      <c r="F125"/>
      <c r="G125"/>
      <c r="P125" s="38">
        <v>0.95870906502135733</v>
      </c>
      <c r="Q125">
        <f>MIN(P124:P129)</f>
        <v>0.70579890051427563</v>
      </c>
    </row>
    <row r="126" spans="1:19" ht="14.5" x14ac:dyDescent="0.35">
      <c r="C126"/>
      <c r="D126"/>
      <c r="P126" s="38">
        <v>0.70579890051427563</v>
      </c>
      <c r="Q126">
        <f>AVERAGE(P124:P129)</f>
        <v>1.9123922566536944</v>
      </c>
    </row>
    <row r="127" spans="1:19" ht="14.5" x14ac:dyDescent="0.35">
      <c r="C127"/>
      <c r="D127"/>
      <c r="P127" s="38">
        <v>5.8443382972745157</v>
      </c>
      <c r="Q127">
        <f>_xlfn.STDEV.S(P124:P129)</f>
        <v>1.9530970076625982</v>
      </c>
    </row>
    <row r="128" spans="1:19" ht="14.5" x14ac:dyDescent="0.35">
      <c r="C128"/>
      <c r="D128"/>
      <c r="P128" s="38">
        <v>1.450892857142857</v>
      </c>
      <c r="Q128"/>
    </row>
    <row r="129" spans="1:17" ht="14.5" x14ac:dyDescent="0.35">
      <c r="A129" s="38" t="s">
        <v>440</v>
      </c>
      <c r="C129"/>
      <c r="D129"/>
      <c r="P129" s="38">
        <v>1.554044678784515</v>
      </c>
      <c r="Q129">
        <f>(Q124-Q126)/Q127</f>
        <v>2.0131852259230301</v>
      </c>
    </row>
    <row r="130" spans="1:17" ht="35.5" x14ac:dyDescent="0.35">
      <c r="A130" s="2" t="s">
        <v>397</v>
      </c>
      <c r="B130" s="5" t="s">
        <v>394</v>
      </c>
      <c r="C130" s="5" t="s">
        <v>498</v>
      </c>
      <c r="D130" s="5" t="s">
        <v>453</v>
      </c>
      <c r="E130" s="51" t="s">
        <v>454</v>
      </c>
      <c r="F130" s="5" t="s">
        <v>396</v>
      </c>
      <c r="G130"/>
      <c r="H130"/>
      <c r="Q130">
        <f>ABS(Q125-Q126)/Q127</f>
        <v>0.61778465248043646</v>
      </c>
    </row>
    <row r="131" spans="1:17" ht="14.5" x14ac:dyDescent="0.35">
      <c r="A131" s="2" t="s">
        <v>441</v>
      </c>
      <c r="B131" s="102">
        <f>Q38</f>
        <v>481.86038822906551</v>
      </c>
      <c r="C131" s="102">
        <f>E190</f>
        <v>21.585213700723063</v>
      </c>
      <c r="D131" s="70">
        <f>C131/$C$142</f>
        <v>0.35906279607222685</v>
      </c>
      <c r="E131" s="102">
        <f>1/D131</f>
        <v>2.7850281648195212</v>
      </c>
      <c r="F131" s="70">
        <f>E131/$E$142</f>
        <v>2.6861331642158933E-3</v>
      </c>
      <c r="G131"/>
      <c r="H131"/>
      <c r="Q131">
        <v>1.89</v>
      </c>
    </row>
    <row r="132" spans="1:17" ht="14.5" x14ac:dyDescent="0.35">
      <c r="A132" s="2" t="s">
        <v>442</v>
      </c>
      <c r="B132" s="102">
        <f>Q50</f>
        <v>481.86038822906551</v>
      </c>
      <c r="C132" s="102">
        <f>C131</f>
        <v>21.585213700723063</v>
      </c>
      <c r="D132" s="70">
        <f t="shared" ref="D132:D141" si="25">C132/$C$142</f>
        <v>0.35906279607222685</v>
      </c>
      <c r="E132" s="102">
        <f t="shared" ref="E132:E141" si="26">1/D132</f>
        <v>2.7850281648195212</v>
      </c>
      <c r="F132" s="70">
        <f t="shared" ref="F132:F141" si="27">E132/$E$142</f>
        <v>2.6861331642158933E-3</v>
      </c>
      <c r="G132"/>
      <c r="H132"/>
    </row>
    <row r="133" spans="1:17" ht="14.5" x14ac:dyDescent="0.35">
      <c r="A133" s="2" t="s">
        <v>443</v>
      </c>
      <c r="B133" s="102">
        <f>Q58</f>
        <v>646.64150512250444</v>
      </c>
      <c r="C133" s="102">
        <f>E218</f>
        <v>1.3612660507946892</v>
      </c>
      <c r="D133" s="70">
        <f t="shared" si="25"/>
        <v>2.2644204554720989E-2</v>
      </c>
      <c r="E133" s="102">
        <f t="shared" si="26"/>
        <v>44.161409935307908</v>
      </c>
      <c r="F133" s="70">
        <f t="shared" si="27"/>
        <v>4.2593259667609504E-2</v>
      </c>
      <c r="G133"/>
      <c r="H133"/>
      <c r="P133" s="38" t="s">
        <v>499</v>
      </c>
    </row>
    <row r="134" spans="1:17" ht="14.5" x14ac:dyDescent="0.35">
      <c r="A134" s="2" t="s">
        <v>444</v>
      </c>
      <c r="B134" s="102">
        <f>Q64</f>
        <v>1204.9847580598737</v>
      </c>
      <c r="C134" s="102">
        <f>E228</f>
        <v>7.6663992392140505</v>
      </c>
      <c r="D134" s="70">
        <f t="shared" si="25"/>
        <v>0.12752798210869595</v>
      </c>
      <c r="E134" s="102">
        <f t="shared" si="26"/>
        <v>7.8414163187156039</v>
      </c>
      <c r="F134" s="70">
        <f t="shared" si="27"/>
        <v>7.5629714249193757E-3</v>
      </c>
      <c r="G134"/>
      <c r="H134"/>
    </row>
    <row r="135" spans="1:17" ht="14.5" x14ac:dyDescent="0.35">
      <c r="A135" s="2" t="s">
        <v>445</v>
      </c>
      <c r="B135" s="102">
        <f>Q70</f>
        <v>894.79406198355741</v>
      </c>
      <c r="C135" s="102">
        <f>E254</f>
        <v>5.3303935741948401</v>
      </c>
      <c r="D135" s="70">
        <f t="shared" si="25"/>
        <v>8.8669310735233389E-2</v>
      </c>
      <c r="E135" s="102">
        <f t="shared" si="26"/>
        <v>11.277859179327564</v>
      </c>
      <c r="F135" s="70">
        <f t="shared" si="27"/>
        <v>1.0877387864733334E-2</v>
      </c>
      <c r="G135"/>
      <c r="H135"/>
      <c r="P135" s="38">
        <v>0.96056974118464478</v>
      </c>
      <c r="Q135">
        <f>MAX(P135:P139)</f>
        <v>1.554044678784515</v>
      </c>
    </row>
    <row r="136" spans="1:17" ht="14.5" x14ac:dyDescent="0.35">
      <c r="A136" s="2" t="s">
        <v>446</v>
      </c>
      <c r="B136" s="102">
        <f>Q78</f>
        <v>566.80851027294091</v>
      </c>
      <c r="C136" s="102">
        <f>E268</f>
        <v>0.80914491034459513</v>
      </c>
      <c r="D136" s="70">
        <f t="shared" si="25"/>
        <v>1.3459854415349583E-2</v>
      </c>
      <c r="E136" s="102">
        <f t="shared" si="26"/>
        <v>74.295008633942032</v>
      </c>
      <c r="F136" s="70">
        <f t="shared" si="27"/>
        <v>7.1656828878163381E-2</v>
      </c>
      <c r="G136"/>
      <c r="H136"/>
      <c r="P136" s="38">
        <v>0.95870906502135733</v>
      </c>
      <c r="Q136">
        <f>MIN(P135:P139)</f>
        <v>0.70579890051427563</v>
      </c>
    </row>
    <row r="137" spans="1:17" ht="14.5" x14ac:dyDescent="0.35">
      <c r="A137" s="2" t="s">
        <v>447</v>
      </c>
      <c r="B137" s="102">
        <f>Q84</f>
        <v>638.26161645218428</v>
      </c>
      <c r="C137" s="102">
        <f>E282</f>
        <v>0.2645083406732166</v>
      </c>
      <c r="D137" s="70">
        <f t="shared" si="25"/>
        <v>4.4000076025825403E-3</v>
      </c>
      <c r="E137" s="102">
        <f t="shared" si="26"/>
        <v>227.27233457802666</v>
      </c>
      <c r="F137" s="70">
        <f t="shared" si="27"/>
        <v>0.21920200410553811</v>
      </c>
      <c r="G137"/>
      <c r="H137"/>
      <c r="P137" s="38">
        <v>0.70579890051427563</v>
      </c>
      <c r="Q137">
        <f>AVERAGE(P135:P139)</f>
        <v>1.12600304852953</v>
      </c>
    </row>
    <row r="138" spans="1:17" ht="14.5" x14ac:dyDescent="0.35">
      <c r="A138" s="2" t="s">
        <v>448</v>
      </c>
      <c r="B138" s="102">
        <f>Q90</f>
        <v>528.08511959693226</v>
      </c>
      <c r="C138" s="102">
        <f>E308</f>
        <v>0.40879157622766266</v>
      </c>
      <c r="D138" s="70">
        <f t="shared" si="25"/>
        <v>6.8001108724793629E-3</v>
      </c>
      <c r="E138" s="102">
        <f t="shared" si="26"/>
        <v>147.05642580727419</v>
      </c>
      <c r="F138" s="70">
        <f t="shared" si="27"/>
        <v>0.14183452338535735</v>
      </c>
      <c r="G138"/>
      <c r="H138"/>
      <c r="P138" s="38">
        <v>1.450892857142857</v>
      </c>
      <c r="Q138">
        <f>_xlfn.STDEV.S(P135:P139)</f>
        <v>0.36079772971793883</v>
      </c>
    </row>
    <row r="139" spans="1:17" ht="14.5" x14ac:dyDescent="0.35">
      <c r="A139" s="2" t="s">
        <v>449</v>
      </c>
      <c r="B139" s="102">
        <f>Q104</f>
        <v>611.65227290170731</v>
      </c>
      <c r="C139" s="102">
        <f>E333</f>
        <v>0.36079772971793883</v>
      </c>
      <c r="D139" s="70">
        <f t="shared" si="25"/>
        <v>6.0017493199381686E-3</v>
      </c>
      <c r="E139" s="102">
        <f t="shared" si="26"/>
        <v>166.61808860925603</v>
      </c>
      <c r="F139" s="70">
        <f t="shared" si="27"/>
        <v>0.16070156102015157</v>
      </c>
      <c r="G139"/>
      <c r="H139"/>
      <c r="P139" s="38">
        <v>1.554044678784515</v>
      </c>
      <c r="Q139"/>
    </row>
    <row r="140" spans="1:17" ht="14.5" x14ac:dyDescent="0.35">
      <c r="A140" s="2" t="s">
        <v>450</v>
      </c>
      <c r="B140" s="102">
        <f>Q110</f>
        <v>636.70416263226934</v>
      </c>
      <c r="C140" s="102">
        <f>E344</f>
        <v>0.2645083406732166</v>
      </c>
      <c r="D140" s="70">
        <f t="shared" si="25"/>
        <v>4.4000076025825403E-3</v>
      </c>
      <c r="E140" s="102">
        <f t="shared" si="26"/>
        <v>227.27233457802666</v>
      </c>
      <c r="F140" s="70">
        <f t="shared" si="27"/>
        <v>0.21920200410553811</v>
      </c>
      <c r="G140"/>
      <c r="H140"/>
      <c r="Q140">
        <f>(Q135-Q137)/Q138</f>
        <v>1.1863756199065207</v>
      </c>
    </row>
    <row r="141" spans="1:17" ht="14.5" x14ac:dyDescent="0.35">
      <c r="A141" s="2" t="s">
        <v>451</v>
      </c>
      <c r="B141" s="102">
        <f>Q116</f>
        <v>624.17821776698838</v>
      </c>
      <c r="C141" s="102">
        <f>E371</f>
        <v>0.47919093687561404</v>
      </c>
      <c r="D141" s="70">
        <f t="shared" si="25"/>
        <v>7.9711806439638939E-3</v>
      </c>
      <c r="E141" s="102">
        <f t="shared" si="26"/>
        <v>125.45193048124447</v>
      </c>
      <c r="F141" s="70">
        <f t="shared" si="27"/>
        <v>0.1209971932195576</v>
      </c>
      <c r="G141"/>
      <c r="H141"/>
      <c r="Q141">
        <f>ABS(Q136-Q137)/Q138</f>
        <v>1.1646529714689662</v>
      </c>
    </row>
    <row r="142" spans="1:17" ht="14.5" x14ac:dyDescent="0.35">
      <c r="A142" s="2" t="s">
        <v>452</v>
      </c>
      <c r="B142" s="102" t="s">
        <v>484</v>
      </c>
      <c r="C142" s="102">
        <f>SUM(C131:C141)</f>
        <v>60.115428100161942</v>
      </c>
      <c r="D142" s="70">
        <f>SUM(D131:D141)</f>
        <v>1</v>
      </c>
      <c r="E142" s="102">
        <f>SUM(E131:E141)</f>
        <v>1036.81686445076</v>
      </c>
      <c r="F142" s="70">
        <f>SUM(F131:F141)</f>
        <v>1</v>
      </c>
      <c r="G142"/>
      <c r="H142"/>
      <c r="Q142">
        <v>1.79</v>
      </c>
    </row>
    <row r="143" spans="1:17" x14ac:dyDescent="0.25">
      <c r="A143" s="152" t="s">
        <v>455</v>
      </c>
      <c r="B143" s="152"/>
      <c r="C143" s="152"/>
      <c r="D143" s="152"/>
      <c r="E143" s="152"/>
      <c r="F143" s="102">
        <f>F131*B131+F132*B132+F133*B133+F134*B134+F135*B135+F136*B136+F137*B137+F138*B138+F139*B139+F140*B140+F141*B141</f>
        <v>617.78628233110612</v>
      </c>
      <c r="P143" s="105">
        <f>AVERAGE(P135:P139)</f>
        <v>1.12600304852953</v>
      </c>
    </row>
    <row r="144" spans="1:17" x14ac:dyDescent="0.25">
      <c r="A144" s="152" t="s">
        <v>385</v>
      </c>
      <c r="B144" s="152"/>
      <c r="C144" s="152"/>
      <c r="D144" s="152"/>
      <c r="E144" s="152"/>
      <c r="F144" s="102">
        <v>525.54999999999995</v>
      </c>
    </row>
    <row r="145" spans="1:17" x14ac:dyDescent="0.25">
      <c r="A145" s="152" t="s">
        <v>456</v>
      </c>
      <c r="B145" s="152"/>
      <c r="C145" s="152"/>
      <c r="D145" s="152"/>
      <c r="E145" s="152"/>
      <c r="F145" s="18">
        <f>F143/F144-1</f>
        <v>0.17550429517858657</v>
      </c>
    </row>
    <row r="148" spans="1:17" ht="14.5" x14ac:dyDescent="0.35">
      <c r="P148" s="110">
        <v>1.5138348513943447</v>
      </c>
      <c r="Q148" s="95">
        <f>MAX(P148:P152)</f>
        <v>1.5138348513943447</v>
      </c>
    </row>
    <row r="149" spans="1:17" ht="14.5" x14ac:dyDescent="0.35">
      <c r="P149" s="110">
        <v>1.5065753935411021</v>
      </c>
      <c r="Q149" s="95">
        <f>MIN(P148:P152)</f>
        <v>0.94790309011210638</v>
      </c>
    </row>
    <row r="150" spans="1:17" ht="14.5" x14ac:dyDescent="0.35">
      <c r="P150" s="110">
        <v>0.94790309011210638</v>
      </c>
      <c r="Q150" s="95">
        <f>AVERAGE(P148:P152)</f>
        <v>1.2328066529845274</v>
      </c>
    </row>
    <row r="151" spans="1:17" ht="14.5" x14ac:dyDescent="0.35">
      <c r="P151" s="110">
        <v>1.1624402257309596</v>
      </c>
      <c r="Q151">
        <f>_xlfn.STDEV.S(P148:P152)</f>
        <v>0.2645083406732166</v>
      </c>
    </row>
    <row r="152" spans="1:17" ht="14.5" x14ac:dyDescent="0.35">
      <c r="P152" s="110">
        <v>1.0332797041441244</v>
      </c>
      <c r="Q152"/>
    </row>
    <row r="153" spans="1:17" ht="14.5" x14ac:dyDescent="0.35">
      <c r="Q153">
        <f>(Q148-Q150)/Q151</f>
        <v>1.0624549596226531</v>
      </c>
    </row>
    <row r="154" spans="1:17" ht="14.5" x14ac:dyDescent="0.35">
      <c r="Q154">
        <f>ABS(Q149-Q150)/Q151</f>
        <v>1.0771061590999182</v>
      </c>
    </row>
    <row r="155" spans="1:17" ht="14.5" x14ac:dyDescent="0.35">
      <c r="Q155">
        <v>1.79</v>
      </c>
    </row>
    <row r="158" spans="1:17" ht="23" x14ac:dyDescent="0.25">
      <c r="A158" s="2" t="s">
        <v>397</v>
      </c>
      <c r="B158" s="5" t="s">
        <v>394</v>
      </c>
      <c r="C158" s="51" t="s">
        <v>500</v>
      </c>
      <c r="D158" s="51" t="s">
        <v>479</v>
      </c>
      <c r="E158" s="5" t="s">
        <v>396</v>
      </c>
    </row>
    <row r="159" spans="1:17" x14ac:dyDescent="0.25">
      <c r="A159" s="2" t="s">
        <v>441</v>
      </c>
      <c r="B159" s="70">
        <f>B131</f>
        <v>481.86038822906551</v>
      </c>
      <c r="C159" s="70">
        <f>C131</f>
        <v>21.585213700723063</v>
      </c>
      <c r="D159" s="139">
        <f>1/C159</f>
        <v>4.6328010177008438E-2</v>
      </c>
      <c r="E159" s="139">
        <f>D159/$D$170</f>
        <v>2.6861331642158933E-3</v>
      </c>
    </row>
    <row r="160" spans="1:17" ht="14.5" x14ac:dyDescent="0.35">
      <c r="A160" s="2" t="s">
        <v>442</v>
      </c>
      <c r="B160" s="70">
        <f t="shared" ref="B160:C170" si="28">B132</f>
        <v>481.86038822906551</v>
      </c>
      <c r="C160" s="70">
        <f t="shared" si="28"/>
        <v>21.585213700723063</v>
      </c>
      <c r="D160" s="139">
        <f t="shared" ref="D160:D169" si="29">1/C160</f>
        <v>4.6328010177008438E-2</v>
      </c>
      <c r="E160" s="139">
        <f t="shared" ref="E160:E169" si="30">D160/$D$170</f>
        <v>2.6861331642158933E-3</v>
      </c>
      <c r="P160" s="38">
        <v>0.96056974118464478</v>
      </c>
      <c r="Q160" s="95">
        <f>MAX(P160:P170)</f>
        <v>5.8443382972745157</v>
      </c>
    </row>
    <row r="161" spans="1:17" ht="14.5" x14ac:dyDescent="0.35">
      <c r="A161" s="2" t="s">
        <v>443</v>
      </c>
      <c r="B161" s="70">
        <f t="shared" si="28"/>
        <v>646.64150512250444</v>
      </c>
      <c r="C161" s="70">
        <f t="shared" si="28"/>
        <v>1.3612660507946892</v>
      </c>
      <c r="D161" s="139">
        <f t="shared" si="29"/>
        <v>0.73461025448788142</v>
      </c>
      <c r="E161" s="139">
        <f t="shared" si="30"/>
        <v>4.259325966760949E-2</v>
      </c>
      <c r="P161" s="38">
        <v>0.95870906502135733</v>
      </c>
      <c r="Q161" s="95">
        <f>MIN(P160:P170)</f>
        <v>0.49017855141982325</v>
      </c>
    </row>
    <row r="162" spans="1:17" ht="14.5" x14ac:dyDescent="0.35">
      <c r="A162" s="2" t="s">
        <v>444</v>
      </c>
      <c r="B162" s="70">
        <f t="shared" si="28"/>
        <v>1204.9847580598737</v>
      </c>
      <c r="C162" s="70">
        <f t="shared" si="28"/>
        <v>7.6663992392140505</v>
      </c>
      <c r="D162" s="139">
        <f t="shared" si="29"/>
        <v>0.13043933257283882</v>
      </c>
      <c r="E162" s="139">
        <f t="shared" si="30"/>
        <v>7.5629714249193748E-3</v>
      </c>
      <c r="P162" s="38">
        <v>0.70579890051427563</v>
      </c>
      <c r="Q162" s="95">
        <f>AVERAGE(P160:P170)</f>
        <v>1.5759055851585628</v>
      </c>
    </row>
    <row r="163" spans="1:17" ht="14.5" x14ac:dyDescent="0.35">
      <c r="A163" s="2" t="s">
        <v>445</v>
      </c>
      <c r="B163" s="70">
        <f t="shared" si="28"/>
        <v>894.79406198355741</v>
      </c>
      <c r="C163" s="70">
        <f t="shared" si="28"/>
        <v>5.3303935741948401</v>
      </c>
      <c r="D163" s="139">
        <f t="shared" si="29"/>
        <v>0.18760340790615085</v>
      </c>
      <c r="E163" s="139">
        <f t="shared" si="30"/>
        <v>1.0877387864733332E-2</v>
      </c>
      <c r="P163" s="38">
        <v>5.8443382972745157</v>
      </c>
      <c r="Q163">
        <f>_xlfn.STDEV.S(P160:P170)</f>
        <v>1.4868787840809774</v>
      </c>
    </row>
    <row r="164" spans="1:17" ht="14.5" x14ac:dyDescent="0.35">
      <c r="A164" s="2" t="s">
        <v>446</v>
      </c>
      <c r="B164" s="70">
        <f t="shared" si="28"/>
        <v>566.80851027294091</v>
      </c>
      <c r="C164" s="70">
        <f t="shared" si="28"/>
        <v>0.80914491034459513</v>
      </c>
      <c r="D164" s="139">
        <f t="shared" si="29"/>
        <v>1.2358725701853879</v>
      </c>
      <c r="E164" s="139">
        <f t="shared" si="30"/>
        <v>7.1656828878163367E-2</v>
      </c>
      <c r="P164" s="38">
        <v>1.450892857142857</v>
      </c>
      <c r="Q164"/>
    </row>
    <row r="165" spans="1:17" ht="14.5" x14ac:dyDescent="0.35">
      <c r="A165" s="2" t="s">
        <v>447</v>
      </c>
      <c r="B165" s="70">
        <f t="shared" si="28"/>
        <v>638.26161645218428</v>
      </c>
      <c r="C165" s="70">
        <f t="shared" si="28"/>
        <v>0.2645083406732166</v>
      </c>
      <c r="D165" s="139">
        <f t="shared" si="29"/>
        <v>3.7805991200687203</v>
      </c>
      <c r="E165" s="139">
        <f t="shared" si="30"/>
        <v>0.21920200410553808</v>
      </c>
      <c r="P165" s="38">
        <v>1.554044678784515</v>
      </c>
      <c r="Q165">
        <f>(Q160-Q162)/Q163</f>
        <v>2.8707334840036887</v>
      </c>
    </row>
    <row r="166" spans="1:17" ht="14.5" x14ac:dyDescent="0.35">
      <c r="A166" s="2" t="s">
        <v>448</v>
      </c>
      <c r="B166" s="70">
        <f t="shared" si="28"/>
        <v>528.08511959693226</v>
      </c>
      <c r="C166" s="70">
        <f t="shared" si="28"/>
        <v>0.40879157622766266</v>
      </c>
      <c r="D166" s="139">
        <f t="shared" si="29"/>
        <v>2.4462343603750871</v>
      </c>
      <c r="E166" s="139">
        <f t="shared" si="30"/>
        <v>0.14183452338535732</v>
      </c>
      <c r="P166" s="38">
        <v>1.3913877037373967</v>
      </c>
      <c r="Q166">
        <f>ABS(Q161-Q162)/Q163</f>
        <v>0.73020547832338267</v>
      </c>
    </row>
    <row r="167" spans="1:17" ht="14.5" x14ac:dyDescent="0.35">
      <c r="A167" s="2" t="s">
        <v>449</v>
      </c>
      <c r="B167" s="70">
        <f t="shared" si="28"/>
        <v>611.65227290170731</v>
      </c>
      <c r="C167" s="70">
        <f t="shared" si="28"/>
        <v>0.36079772971793883</v>
      </c>
      <c r="D167" s="139">
        <f t="shared" si="29"/>
        <v>2.7716360653981136</v>
      </c>
      <c r="E167" s="139">
        <f t="shared" si="30"/>
        <v>0.16070156102015154</v>
      </c>
      <c r="P167" s="38">
        <v>2.1165188422410086</v>
      </c>
      <c r="Q167">
        <v>2.19</v>
      </c>
    </row>
    <row r="168" spans="1:17" x14ac:dyDescent="0.25">
      <c r="A168" s="2" t="s">
        <v>450</v>
      </c>
      <c r="B168" s="70">
        <f t="shared" si="28"/>
        <v>636.70416263226934</v>
      </c>
      <c r="C168" s="70">
        <f t="shared" si="28"/>
        <v>0.2645083406732166</v>
      </c>
      <c r="D168" s="139">
        <f t="shared" si="29"/>
        <v>3.7805991200687203</v>
      </c>
      <c r="E168" s="139">
        <f t="shared" si="30"/>
        <v>0.21920200410553808</v>
      </c>
      <c r="P168" s="38">
        <v>0.83236521048782297</v>
      </c>
    </row>
    <row r="169" spans="1:17" x14ac:dyDescent="0.25">
      <c r="A169" s="2" t="s">
        <v>451</v>
      </c>
      <c r="B169" s="70">
        <f t="shared" si="28"/>
        <v>624.17821776698838</v>
      </c>
      <c r="C169" s="70">
        <f t="shared" si="28"/>
        <v>0.47919093687561404</v>
      </c>
      <c r="D169" s="139">
        <f t="shared" si="29"/>
        <v>2.0868508209277232</v>
      </c>
      <c r="E169" s="139">
        <f t="shared" si="30"/>
        <v>0.12099719321955758</v>
      </c>
      <c r="P169" s="38">
        <v>1.030157588935972</v>
      </c>
    </row>
    <row r="170" spans="1:17" x14ac:dyDescent="0.25">
      <c r="A170" s="2" t="s">
        <v>452</v>
      </c>
      <c r="B170" s="70" t="str">
        <f t="shared" si="28"/>
        <v>х</v>
      </c>
      <c r="C170" s="70" t="s">
        <v>484</v>
      </c>
      <c r="D170" s="139">
        <f>SUM(D159:D169)</f>
        <v>17.247101072344641</v>
      </c>
      <c r="E170" s="70">
        <f>SUM(E159:E169)</f>
        <v>0.99999999999999989</v>
      </c>
      <c r="G170" s="137"/>
      <c r="H170" s="137"/>
      <c r="I170" s="137"/>
      <c r="J170" s="136"/>
      <c r="P170" s="38">
        <v>0.49017855141982325</v>
      </c>
    </row>
    <row r="171" spans="1:17" x14ac:dyDescent="0.25">
      <c r="A171" s="147" t="s">
        <v>455</v>
      </c>
      <c r="B171" s="148"/>
      <c r="C171" s="148"/>
      <c r="D171" s="150"/>
      <c r="E171" s="102">
        <f>SUMPRODUCT(E159:E169,B159:B169)</f>
        <v>617.78628233110589</v>
      </c>
      <c r="J171" s="136"/>
    </row>
    <row r="172" spans="1:17" x14ac:dyDescent="0.25">
      <c r="A172" s="147" t="s">
        <v>385</v>
      </c>
      <c r="B172" s="148"/>
      <c r="C172" s="148"/>
      <c r="D172" s="150"/>
      <c r="E172" s="102">
        <f t="shared" ref="E172:E173" si="31">F144</f>
        <v>525.54999999999995</v>
      </c>
    </row>
    <row r="173" spans="1:17" x14ac:dyDescent="0.25">
      <c r="A173" s="147" t="s">
        <v>456</v>
      </c>
      <c r="B173" s="148"/>
      <c r="C173" s="148"/>
      <c r="D173" s="150"/>
      <c r="E173" s="18">
        <f t="shared" si="31"/>
        <v>0.17550429517858657</v>
      </c>
      <c r="P173" s="38" t="s">
        <v>489</v>
      </c>
    </row>
    <row r="174" spans="1:17" ht="14.5" x14ac:dyDescent="0.35">
      <c r="P174" s="38">
        <v>0.96056974118464478</v>
      </c>
      <c r="Q174" s="95">
        <f>MAX(P174:P183)</f>
        <v>2.1165188422410086</v>
      </c>
    </row>
    <row r="175" spans="1:17" ht="14.5" x14ac:dyDescent="0.35">
      <c r="P175" s="38">
        <v>0.95870906502135733</v>
      </c>
      <c r="Q175" s="95">
        <f>MIN(P174:P183)</f>
        <v>0.49017855141982325</v>
      </c>
    </row>
    <row r="176" spans="1:17" ht="14.5" x14ac:dyDescent="0.35">
      <c r="P176" s="38">
        <v>0.70579890051427563</v>
      </c>
      <c r="Q176" s="95">
        <f>AVERAGE(P174:P183)</f>
        <v>1.1490623139469673</v>
      </c>
    </row>
    <row r="177" spans="1:17" ht="14.5" x14ac:dyDescent="0.35">
      <c r="P177" s="38">
        <v>1.450892857142857</v>
      </c>
      <c r="Q177">
        <f>_xlfn.STDEV.S(P174:P183)</f>
        <v>0.47919093687561404</v>
      </c>
    </row>
    <row r="178" spans="1:17" ht="14.5" x14ac:dyDescent="0.35">
      <c r="P178" s="38">
        <v>1.554044678784515</v>
      </c>
      <c r="Q178"/>
    </row>
    <row r="179" spans="1:17" ht="14.5" x14ac:dyDescent="0.35">
      <c r="P179" s="38">
        <v>1.3913877037373967</v>
      </c>
      <c r="Q179">
        <f>(Q174-Q176)/Q177</f>
        <v>2.0189374502823054</v>
      </c>
    </row>
    <row r="180" spans="1:17" ht="14.5" x14ac:dyDescent="0.35">
      <c r="P180" s="38">
        <v>2.1165188422410086</v>
      </c>
      <c r="Q180">
        <f>ABS(Q175-Q176)/Q177</f>
        <v>1.3749921207257179</v>
      </c>
    </row>
    <row r="181" spans="1:17" ht="14.5" x14ac:dyDescent="0.35">
      <c r="P181" s="38">
        <v>0.83236521048782297</v>
      </c>
      <c r="Q181">
        <v>2.15</v>
      </c>
    </row>
    <row r="182" spans="1:17" x14ac:dyDescent="0.25">
      <c r="P182" s="38">
        <v>1.030157588935972</v>
      </c>
    </row>
    <row r="183" spans="1:17" x14ac:dyDescent="0.25">
      <c r="P183" s="38">
        <v>0.49017855141982325</v>
      </c>
    </row>
    <row r="185" spans="1:17" x14ac:dyDescent="0.25">
      <c r="P185" s="105">
        <f>AVERAGE(P174:P183)</f>
        <v>1.1490623139469673</v>
      </c>
    </row>
    <row r="186" spans="1:17" x14ac:dyDescent="0.25">
      <c r="A186" s="38" t="s">
        <v>487</v>
      </c>
    </row>
    <row r="187" spans="1:17" x14ac:dyDescent="0.25">
      <c r="A187" s="109" t="s">
        <v>490</v>
      </c>
      <c r="B187" s="109" t="s">
        <v>488</v>
      </c>
      <c r="D187" s="2" t="s">
        <v>491</v>
      </c>
      <c r="E187" s="106">
        <f>L60</f>
        <v>52.658227848101269</v>
      </c>
    </row>
    <row r="188" spans="1:17" x14ac:dyDescent="0.25">
      <c r="A188" s="114" t="s">
        <v>457</v>
      </c>
      <c r="B188" s="102">
        <f>B60</f>
        <v>30.552486187845304</v>
      </c>
      <c r="D188" s="2" t="s">
        <v>492</v>
      </c>
      <c r="E188" s="106">
        <f t="shared" ref="E188:E189" si="32">L61</f>
        <v>2.0995962314939436</v>
      </c>
    </row>
    <row r="189" spans="1:17" x14ac:dyDescent="0.25">
      <c r="A189" s="115" t="s">
        <v>341</v>
      </c>
      <c r="B189" s="102">
        <f>B61</f>
        <v>44.888888888888886</v>
      </c>
      <c r="D189" s="2" t="s">
        <v>493</v>
      </c>
      <c r="E189" s="106">
        <f t="shared" si="32"/>
        <v>28.214597112819281</v>
      </c>
    </row>
    <row r="190" spans="1:17" x14ac:dyDescent="0.25">
      <c r="A190" s="115" t="s">
        <v>345</v>
      </c>
      <c r="B190" s="102">
        <f>B63</f>
        <v>52.658227848101269</v>
      </c>
      <c r="D190" s="2" t="s">
        <v>494</v>
      </c>
      <c r="E190" s="106">
        <f>L63</f>
        <v>21.585213700723063</v>
      </c>
    </row>
    <row r="191" spans="1:17" x14ac:dyDescent="0.25">
      <c r="A191" s="115" t="s">
        <v>347</v>
      </c>
      <c r="B191" s="102">
        <f t="shared" ref="B191:B192" si="33">B64</f>
        <v>2.0995962314939436</v>
      </c>
      <c r="D191" s="2"/>
      <c r="E191" s="2"/>
    </row>
    <row r="192" spans="1:17" x14ac:dyDescent="0.25">
      <c r="A192" s="114" t="s">
        <v>349</v>
      </c>
      <c r="B192" s="102">
        <f t="shared" si="33"/>
        <v>10.873786407766991</v>
      </c>
      <c r="D192" s="2" t="s">
        <v>495</v>
      </c>
      <c r="E192" s="106">
        <f>L65</f>
        <v>1.1324247734671802</v>
      </c>
    </row>
    <row r="193" spans="1:5" x14ac:dyDescent="0.25">
      <c r="D193" s="2" t="s">
        <v>496</v>
      </c>
      <c r="E193" s="106">
        <f>L66</f>
        <v>1.2098560266026244</v>
      </c>
    </row>
    <row r="194" spans="1:5" x14ac:dyDescent="0.25">
      <c r="D194" s="2" t="s">
        <v>497</v>
      </c>
      <c r="E194" s="106">
        <f>L67</f>
        <v>1.79</v>
      </c>
    </row>
    <row r="204" spans="1:5" x14ac:dyDescent="0.25">
      <c r="A204" s="109" t="s">
        <v>490</v>
      </c>
      <c r="B204" s="109" t="s">
        <v>339</v>
      </c>
      <c r="D204" s="2" t="s">
        <v>491</v>
      </c>
      <c r="E204" s="106">
        <f>Q16</f>
        <v>28.111842105263158</v>
      </c>
    </row>
    <row r="205" spans="1:5" x14ac:dyDescent="0.25">
      <c r="A205" s="114" t="s">
        <v>457</v>
      </c>
      <c r="B205" s="102">
        <f>P16</f>
        <v>8.9644572526416901</v>
      </c>
      <c r="D205" s="2" t="s">
        <v>492</v>
      </c>
      <c r="E205" s="106">
        <f t="shared" ref="E205:E207" si="34">Q17</f>
        <v>5.5502008032128511</v>
      </c>
    </row>
    <row r="206" spans="1:5" x14ac:dyDescent="0.25">
      <c r="A206" s="115" t="s">
        <v>341</v>
      </c>
      <c r="B206" s="102">
        <f t="shared" ref="B206:B210" si="35">P17</f>
        <v>5.9195470798569723</v>
      </c>
      <c r="D206" s="2" t="s">
        <v>493</v>
      </c>
      <c r="E206" s="106">
        <f t="shared" si="34"/>
        <v>10.171395438245765</v>
      </c>
    </row>
    <row r="207" spans="1:5" x14ac:dyDescent="0.25">
      <c r="A207" s="115" t="s">
        <v>343</v>
      </c>
      <c r="B207" s="102">
        <f t="shared" si="35"/>
        <v>6.253275109170306</v>
      </c>
      <c r="D207" s="2" t="s">
        <v>494</v>
      </c>
      <c r="E207" s="106">
        <f t="shared" si="34"/>
        <v>8.8729221001730778</v>
      </c>
    </row>
    <row r="208" spans="1:5" x14ac:dyDescent="0.25">
      <c r="A208" s="115" t="s">
        <v>345</v>
      </c>
      <c r="B208" s="102">
        <f t="shared" si="35"/>
        <v>28.111842105263158</v>
      </c>
      <c r="D208" s="2"/>
      <c r="E208" s="2"/>
    </row>
    <row r="209" spans="1:5" x14ac:dyDescent="0.25">
      <c r="A209" s="115" t="s">
        <v>347</v>
      </c>
      <c r="B209" s="102">
        <f t="shared" si="35"/>
        <v>5.5502008032128511</v>
      </c>
      <c r="D209" s="2" t="s">
        <v>495</v>
      </c>
      <c r="E209" s="106">
        <f>Q21</f>
        <v>2.0219321734682465</v>
      </c>
    </row>
    <row r="210" spans="1:5" x14ac:dyDescent="0.25">
      <c r="A210" s="114" t="s">
        <v>349</v>
      </c>
      <c r="B210" s="102">
        <f t="shared" si="35"/>
        <v>6.2290502793296092</v>
      </c>
      <c r="D210" s="2" t="s">
        <v>496</v>
      </c>
      <c r="E210" s="106">
        <f t="shared" ref="E210:E211" si="36">Q22</f>
        <v>0.5208199263851051</v>
      </c>
    </row>
    <row r="211" spans="1:5" x14ac:dyDescent="0.25">
      <c r="D211" s="2" t="s">
        <v>497</v>
      </c>
      <c r="E211" s="106">
        <f t="shared" si="36"/>
        <v>1.89</v>
      </c>
    </row>
    <row r="215" spans="1:5" x14ac:dyDescent="0.25">
      <c r="A215" s="109" t="s">
        <v>490</v>
      </c>
      <c r="B215" s="109" t="s">
        <v>339</v>
      </c>
      <c r="D215" s="2" t="s">
        <v>491</v>
      </c>
      <c r="E215" s="106">
        <f>U16</f>
        <v>8.9644572526416901</v>
      </c>
    </row>
    <row r="216" spans="1:5" x14ac:dyDescent="0.25">
      <c r="A216" s="114" t="s">
        <v>457</v>
      </c>
      <c r="B216" s="102">
        <f>B205</f>
        <v>8.9644572526416901</v>
      </c>
      <c r="D216" s="2" t="s">
        <v>492</v>
      </c>
      <c r="E216" s="106">
        <f t="shared" ref="E216:E222" si="37">U17</f>
        <v>5.5502008032128511</v>
      </c>
    </row>
    <row r="217" spans="1:5" x14ac:dyDescent="0.25">
      <c r="A217" s="115" t="s">
        <v>341</v>
      </c>
      <c r="B217" s="102">
        <f t="shared" ref="B217:B218" si="38">B206</f>
        <v>5.9195470798569723</v>
      </c>
      <c r="D217" s="2" t="s">
        <v>493</v>
      </c>
      <c r="E217" s="106">
        <f t="shared" si="37"/>
        <v>6.5833061048422845</v>
      </c>
    </row>
    <row r="218" spans="1:5" x14ac:dyDescent="0.25">
      <c r="A218" s="115" t="s">
        <v>343</v>
      </c>
      <c r="B218" s="102">
        <f t="shared" si="38"/>
        <v>6.253275109170306</v>
      </c>
      <c r="D218" s="2" t="s">
        <v>494</v>
      </c>
      <c r="E218" s="106">
        <f t="shared" si="37"/>
        <v>1.3612660507946892</v>
      </c>
    </row>
    <row r="219" spans="1:5" x14ac:dyDescent="0.25">
      <c r="A219" s="115" t="s">
        <v>347</v>
      </c>
      <c r="B219" s="102">
        <f>B209</f>
        <v>5.5502008032128511</v>
      </c>
      <c r="D219" s="2"/>
      <c r="E219" s="106"/>
    </row>
    <row r="220" spans="1:5" x14ac:dyDescent="0.25">
      <c r="A220" s="114" t="s">
        <v>349</v>
      </c>
      <c r="B220" s="102">
        <f>B210</f>
        <v>6.2290502793296092</v>
      </c>
      <c r="D220" s="2" t="s">
        <v>495</v>
      </c>
      <c r="E220" s="106">
        <f t="shared" si="37"/>
        <v>1.7492180506590325</v>
      </c>
    </row>
    <row r="221" spans="1:5" x14ac:dyDescent="0.25">
      <c r="D221" s="2" t="s">
        <v>496</v>
      </c>
      <c r="E221" s="106">
        <f t="shared" si="37"/>
        <v>0.75892974854277762</v>
      </c>
    </row>
    <row r="222" spans="1:5" x14ac:dyDescent="0.25">
      <c r="D222" s="2" t="s">
        <v>497</v>
      </c>
      <c r="E222" s="106">
        <f t="shared" si="37"/>
        <v>1.79</v>
      </c>
    </row>
    <row r="225" spans="1:5" x14ac:dyDescent="0.25">
      <c r="A225" s="109" t="s">
        <v>490</v>
      </c>
      <c r="B225" s="109" t="s">
        <v>339</v>
      </c>
      <c r="D225" s="2" t="s">
        <v>491</v>
      </c>
      <c r="E225" s="106">
        <f>V33</f>
        <v>18.733272567808143</v>
      </c>
    </row>
    <row r="226" spans="1:5" x14ac:dyDescent="0.25">
      <c r="A226" s="115" t="s">
        <v>354</v>
      </c>
      <c r="B226" s="102">
        <f>K47</f>
        <v>17.053651233656378</v>
      </c>
      <c r="D226" s="2" t="s">
        <v>492</v>
      </c>
      <c r="E226" s="106">
        <f t="shared" ref="E226:E232" si="39">V34</f>
        <v>3.4733245686049643</v>
      </c>
    </row>
    <row r="227" spans="1:5" x14ac:dyDescent="0.25">
      <c r="A227" s="115" t="s">
        <v>356</v>
      </c>
      <c r="B227" s="102">
        <f t="shared" ref="B227:B229" si="40">K48</f>
        <v>18.733272567808143</v>
      </c>
      <c r="D227" s="2" t="s">
        <v>493</v>
      </c>
      <c r="E227" s="106">
        <f t="shared" si="39"/>
        <v>10.672340696937804</v>
      </c>
    </row>
    <row r="228" spans="1:5" x14ac:dyDescent="0.25">
      <c r="A228" s="115" t="s">
        <v>357</v>
      </c>
      <c r="B228" s="102">
        <f t="shared" si="40"/>
        <v>9.8104249544003039</v>
      </c>
      <c r="D228" s="2" t="s">
        <v>494</v>
      </c>
      <c r="E228" s="106">
        <f t="shared" si="39"/>
        <v>7.6663992392140505</v>
      </c>
    </row>
    <row r="229" spans="1:5" x14ac:dyDescent="0.25">
      <c r="A229" s="115" t="s">
        <v>360</v>
      </c>
      <c r="B229" s="102">
        <f t="shared" si="40"/>
        <v>3.4733245686049643</v>
      </c>
      <c r="D229" s="2"/>
      <c r="E229" s="106"/>
    </row>
    <row r="230" spans="1:5" ht="14.5" x14ac:dyDescent="0.35">
      <c r="A230"/>
      <c r="B230"/>
      <c r="D230" s="2" t="s">
        <v>495</v>
      </c>
      <c r="E230" s="106">
        <f t="shared" si="39"/>
        <v>1.051462573151452</v>
      </c>
    </row>
    <row r="231" spans="1:5" ht="14.5" x14ac:dyDescent="0.35">
      <c r="A231"/>
      <c r="B231"/>
      <c r="D231" s="2" t="s">
        <v>496</v>
      </c>
      <c r="E231" s="106">
        <f t="shared" si="39"/>
        <v>0.93903485896083772</v>
      </c>
    </row>
    <row r="232" spans="1:5" x14ac:dyDescent="0.25">
      <c r="D232" s="2" t="s">
        <v>497</v>
      </c>
      <c r="E232" s="106">
        <f t="shared" si="39"/>
        <v>1.65</v>
      </c>
    </row>
    <row r="237" spans="1:5" x14ac:dyDescent="0.25">
      <c r="A237" s="109" t="s">
        <v>490</v>
      </c>
      <c r="B237" s="109" t="s">
        <v>339</v>
      </c>
      <c r="D237" s="2" t="s">
        <v>491</v>
      </c>
      <c r="E237" s="106">
        <f>V47</f>
        <v>28.111842105263158</v>
      </c>
    </row>
    <row r="238" spans="1:5" x14ac:dyDescent="0.25">
      <c r="A238" s="114" t="s">
        <v>457</v>
      </c>
      <c r="B238" s="102">
        <f>B205</f>
        <v>8.9644572526416901</v>
      </c>
      <c r="D238" s="2" t="s">
        <v>492</v>
      </c>
      <c r="E238" s="106">
        <f t="shared" ref="E238:E244" si="41">V48</f>
        <v>3.4733245686049643</v>
      </c>
    </row>
    <row r="239" spans="1:5" x14ac:dyDescent="0.25">
      <c r="A239" s="115" t="s">
        <v>341</v>
      </c>
      <c r="B239" s="102">
        <f t="shared" ref="B239:B243" si="42">B206</f>
        <v>5.9195470798569723</v>
      </c>
      <c r="D239" s="2" t="s">
        <v>493</v>
      </c>
      <c r="E239" s="106">
        <f t="shared" si="41"/>
        <v>11.009904595394438</v>
      </c>
    </row>
    <row r="240" spans="1:5" x14ac:dyDescent="0.25">
      <c r="A240" s="115" t="s">
        <v>343</v>
      </c>
      <c r="B240" s="102">
        <f t="shared" si="42"/>
        <v>6.253275109170306</v>
      </c>
      <c r="D240" s="2" t="s">
        <v>494</v>
      </c>
      <c r="E240" s="106">
        <f t="shared" si="41"/>
        <v>7.8335347122526287</v>
      </c>
    </row>
    <row r="241" spans="1:5" x14ac:dyDescent="0.25">
      <c r="A241" s="115" t="s">
        <v>345</v>
      </c>
      <c r="B241" s="102">
        <f t="shared" si="42"/>
        <v>28.111842105263158</v>
      </c>
      <c r="D241" s="2"/>
      <c r="E241" s="106"/>
    </row>
    <row r="242" spans="1:5" x14ac:dyDescent="0.25">
      <c r="A242" s="115" t="s">
        <v>347</v>
      </c>
      <c r="B242" s="102">
        <f t="shared" si="42"/>
        <v>5.5502008032128511</v>
      </c>
      <c r="D242" s="2" t="s">
        <v>495</v>
      </c>
      <c r="E242" s="106">
        <f t="shared" si="41"/>
        <v>2.1831699402721925</v>
      </c>
    </row>
    <row r="243" spans="1:5" x14ac:dyDescent="0.25">
      <c r="A243" s="114" t="s">
        <v>349</v>
      </c>
      <c r="B243" s="102">
        <f t="shared" si="42"/>
        <v>6.2290502793296092</v>
      </c>
      <c r="D243" s="2" t="s">
        <v>496</v>
      </c>
      <c r="E243" s="106">
        <f t="shared" si="41"/>
        <v>0.96209186575778116</v>
      </c>
    </row>
    <row r="244" spans="1:5" x14ac:dyDescent="0.25">
      <c r="A244" s="115" t="s">
        <v>354</v>
      </c>
      <c r="B244" s="102">
        <f>B226</f>
        <v>17.053651233656378</v>
      </c>
      <c r="D244" s="2" t="s">
        <v>497</v>
      </c>
      <c r="E244" s="106">
        <f t="shared" si="41"/>
        <v>2.15</v>
      </c>
    </row>
    <row r="245" spans="1:5" x14ac:dyDescent="0.25">
      <c r="A245" s="115" t="s">
        <v>356</v>
      </c>
      <c r="B245" s="102">
        <f t="shared" ref="B245:B247" si="43">B227</f>
        <v>18.733272567808143</v>
      </c>
    </row>
    <row r="246" spans="1:5" x14ac:dyDescent="0.25">
      <c r="A246" s="115" t="s">
        <v>357</v>
      </c>
      <c r="B246" s="102">
        <f t="shared" si="43"/>
        <v>9.8104249544003039</v>
      </c>
    </row>
    <row r="247" spans="1:5" x14ac:dyDescent="0.25">
      <c r="A247" s="115" t="s">
        <v>360</v>
      </c>
      <c r="B247" s="102">
        <f t="shared" si="43"/>
        <v>3.4733245686049643</v>
      </c>
    </row>
    <row r="251" spans="1:5" x14ac:dyDescent="0.25">
      <c r="A251" s="109" t="s">
        <v>490</v>
      </c>
      <c r="B251" s="109" t="s">
        <v>339</v>
      </c>
      <c r="D251" s="2" t="s">
        <v>491</v>
      </c>
      <c r="E251" s="106">
        <f>V60</f>
        <v>18.733272567808143</v>
      </c>
    </row>
    <row r="252" spans="1:5" x14ac:dyDescent="0.25">
      <c r="A252" s="114" t="s">
        <v>457</v>
      </c>
      <c r="B252" s="102">
        <f>B238</f>
        <v>8.9644572526416901</v>
      </c>
      <c r="D252" s="2" t="s">
        <v>492</v>
      </c>
      <c r="E252" s="106">
        <f t="shared" ref="E252:E258" si="44">V61</f>
        <v>3.4733245686049643</v>
      </c>
    </row>
    <row r="253" spans="1:5" x14ac:dyDescent="0.25">
      <c r="A253" s="115" t="s">
        <v>341</v>
      </c>
      <c r="B253" s="102">
        <f>B239</f>
        <v>5.9195470798569723</v>
      </c>
      <c r="D253" s="2" t="s">
        <v>493</v>
      </c>
      <c r="E253" s="106">
        <f t="shared" si="44"/>
        <v>9.1096893165201358</v>
      </c>
    </row>
    <row r="254" spans="1:5" x14ac:dyDescent="0.25">
      <c r="A254" s="115" t="s">
        <v>343</v>
      </c>
      <c r="B254" s="102">
        <f>B240</f>
        <v>6.253275109170306</v>
      </c>
      <c r="D254" s="2" t="s">
        <v>494</v>
      </c>
      <c r="E254" s="106">
        <f t="shared" si="44"/>
        <v>5.3303935741948401</v>
      </c>
    </row>
    <row r="255" spans="1:5" x14ac:dyDescent="0.25">
      <c r="A255" s="115" t="s">
        <v>347</v>
      </c>
      <c r="B255" s="102">
        <f>B242</f>
        <v>5.5502008032128511</v>
      </c>
      <c r="D255" s="2"/>
      <c r="E255" s="106"/>
    </row>
    <row r="256" spans="1:5" x14ac:dyDescent="0.25">
      <c r="A256" s="114" t="s">
        <v>349</v>
      </c>
      <c r="B256" s="102">
        <f t="shared" ref="B256:B260" si="45">B243</f>
        <v>6.2290502793296092</v>
      </c>
      <c r="D256" s="2" t="s">
        <v>495</v>
      </c>
      <c r="E256" s="106">
        <f t="shared" si="44"/>
        <v>1.8054170142101855</v>
      </c>
    </row>
    <row r="257" spans="1:5" x14ac:dyDescent="0.25">
      <c r="A257" s="115" t="s">
        <v>354</v>
      </c>
      <c r="B257" s="102">
        <f t="shared" si="45"/>
        <v>17.053651233656378</v>
      </c>
      <c r="D257" s="2" t="s">
        <v>496</v>
      </c>
      <c r="E257" s="106">
        <f t="shared" si="44"/>
        <v>1.0574012349109791</v>
      </c>
    </row>
    <row r="258" spans="1:5" x14ac:dyDescent="0.25">
      <c r="A258" s="115" t="s">
        <v>356</v>
      </c>
      <c r="B258" s="102">
        <f t="shared" si="45"/>
        <v>18.733272567808143</v>
      </c>
      <c r="D258" s="2" t="s">
        <v>497</v>
      </c>
      <c r="E258" s="106">
        <f t="shared" si="44"/>
        <v>2.1</v>
      </c>
    </row>
    <row r="259" spans="1:5" x14ac:dyDescent="0.25">
      <c r="A259" s="115" t="s">
        <v>357</v>
      </c>
      <c r="B259" s="102">
        <f t="shared" si="45"/>
        <v>9.8104249544003039</v>
      </c>
    </row>
    <row r="260" spans="1:5" x14ac:dyDescent="0.25">
      <c r="A260" s="115" t="s">
        <v>360</v>
      </c>
      <c r="B260" s="102">
        <f t="shared" si="45"/>
        <v>3.4733245686049643</v>
      </c>
    </row>
    <row r="265" spans="1:5" x14ac:dyDescent="0.25">
      <c r="A265" s="109" t="s">
        <v>490</v>
      </c>
      <c r="B265" s="109" t="s">
        <v>390</v>
      </c>
      <c r="D265" s="2" t="s">
        <v>491</v>
      </c>
      <c r="E265" s="106">
        <f>L75</f>
        <v>2.5396825396825395</v>
      </c>
    </row>
    <row r="266" spans="1:5" x14ac:dyDescent="0.25">
      <c r="A266" s="114" t="s">
        <v>457</v>
      </c>
      <c r="B266" s="102">
        <f>F78</f>
        <v>1.0078367049389465</v>
      </c>
      <c r="D266" s="2" t="s">
        <v>492</v>
      </c>
      <c r="E266" s="106">
        <f t="shared" ref="E266:E272" si="46">L76</f>
        <v>0.30232558139534882</v>
      </c>
    </row>
    <row r="267" spans="1:5" x14ac:dyDescent="0.25">
      <c r="A267" s="115" t="s">
        <v>341</v>
      </c>
      <c r="B267" s="102">
        <f t="shared" ref="B267:B271" si="47">F79</f>
        <v>0.40932117527862211</v>
      </c>
      <c r="D267" s="2" t="s">
        <v>493</v>
      </c>
      <c r="E267" s="106">
        <f t="shared" si="46"/>
        <v>1.0947944924478765</v>
      </c>
    </row>
    <row r="268" spans="1:5" x14ac:dyDescent="0.25">
      <c r="A268" s="115" t="s">
        <v>343</v>
      </c>
      <c r="B268" s="102">
        <f t="shared" si="47"/>
        <v>0.9634471072379569</v>
      </c>
      <c r="D268" s="2" t="s">
        <v>494</v>
      </c>
      <c r="E268" s="106">
        <f t="shared" si="46"/>
        <v>0.80914491034459513</v>
      </c>
    </row>
    <row r="269" spans="1:5" x14ac:dyDescent="0.25">
      <c r="A269" s="115" t="s">
        <v>345</v>
      </c>
      <c r="B269" s="102">
        <f t="shared" si="47"/>
        <v>2.5396825396825395</v>
      </c>
      <c r="D269" s="2"/>
      <c r="E269" s="106"/>
    </row>
    <row r="270" spans="1:5" x14ac:dyDescent="0.25">
      <c r="A270" s="115" t="s">
        <v>347</v>
      </c>
      <c r="B270" s="102">
        <f t="shared" si="47"/>
        <v>0.30232558139534882</v>
      </c>
      <c r="D270" s="2" t="s">
        <v>495</v>
      </c>
      <c r="E270" s="106">
        <f t="shared" si="46"/>
        <v>1.785697504566049</v>
      </c>
    </row>
    <row r="271" spans="1:5" x14ac:dyDescent="0.25">
      <c r="A271" s="114" t="s">
        <v>349</v>
      </c>
      <c r="B271" s="102">
        <f t="shared" si="47"/>
        <v>1.3461538461538463</v>
      </c>
      <c r="D271" s="2" t="s">
        <v>496</v>
      </c>
      <c r="E271" s="106">
        <f t="shared" si="46"/>
        <v>0.97939058989450289</v>
      </c>
    </row>
    <row r="272" spans="1:5" x14ac:dyDescent="0.25">
      <c r="D272" s="2" t="s">
        <v>497</v>
      </c>
      <c r="E272" s="106">
        <f t="shared" si="46"/>
        <v>1.89</v>
      </c>
    </row>
    <row r="279" spans="1:5" x14ac:dyDescent="0.25">
      <c r="A279" s="109" t="s">
        <v>490</v>
      </c>
      <c r="B279" s="109" t="s">
        <v>390</v>
      </c>
      <c r="D279" s="2" t="s">
        <v>491</v>
      </c>
      <c r="E279" s="106">
        <f>L84</f>
        <v>1.5138348513943447</v>
      </c>
    </row>
    <row r="280" spans="1:5" x14ac:dyDescent="0.25">
      <c r="A280" s="115" t="s">
        <v>354</v>
      </c>
      <c r="B280" s="102">
        <f>F87</f>
        <v>1.5138348513943447</v>
      </c>
      <c r="D280" s="2" t="s">
        <v>492</v>
      </c>
      <c r="E280" s="106">
        <f t="shared" ref="E280:E286" si="48">L85</f>
        <v>0.94790309011210638</v>
      </c>
    </row>
    <row r="281" spans="1:5" x14ac:dyDescent="0.25">
      <c r="A281" s="115" t="s">
        <v>356</v>
      </c>
      <c r="B281" s="102">
        <f t="shared" ref="B281:B284" si="49">F88</f>
        <v>1.5065753935411021</v>
      </c>
      <c r="D281" s="2" t="s">
        <v>493</v>
      </c>
      <c r="E281" s="106">
        <f t="shared" si="48"/>
        <v>1.2328066529845274</v>
      </c>
    </row>
    <row r="282" spans="1:5" x14ac:dyDescent="0.25">
      <c r="A282" s="115" t="s">
        <v>357</v>
      </c>
      <c r="B282" s="102">
        <f t="shared" si="49"/>
        <v>0.94790309011210638</v>
      </c>
      <c r="D282" s="2" t="s">
        <v>494</v>
      </c>
      <c r="E282" s="106">
        <f t="shared" si="48"/>
        <v>0.2645083406732166</v>
      </c>
    </row>
    <row r="283" spans="1:5" x14ac:dyDescent="0.25">
      <c r="A283" s="115" t="s">
        <v>360</v>
      </c>
      <c r="B283" s="102">
        <f t="shared" si="49"/>
        <v>1.1624402257309596</v>
      </c>
      <c r="D283" s="2"/>
      <c r="E283" s="106"/>
    </row>
    <row r="284" spans="1:5" x14ac:dyDescent="0.25">
      <c r="A284" s="115" t="s">
        <v>355</v>
      </c>
      <c r="B284" s="102">
        <f t="shared" si="49"/>
        <v>1.0332797041441244</v>
      </c>
      <c r="D284" s="2" t="s">
        <v>495</v>
      </c>
      <c r="E284" s="106">
        <f t="shared" si="48"/>
        <v>1.0624549596226531</v>
      </c>
    </row>
    <row r="285" spans="1:5" ht="14.5" x14ac:dyDescent="0.35">
      <c r="A285"/>
      <c r="B285"/>
      <c r="D285" s="2" t="s">
        <v>496</v>
      </c>
      <c r="E285" s="106">
        <f t="shared" si="48"/>
        <v>1.0771061590999182</v>
      </c>
    </row>
    <row r="286" spans="1:5" x14ac:dyDescent="0.25">
      <c r="D286" s="2" t="s">
        <v>497</v>
      </c>
      <c r="E286" s="106">
        <f t="shared" si="48"/>
        <v>1.79</v>
      </c>
    </row>
    <row r="291" spans="1:5" x14ac:dyDescent="0.25">
      <c r="A291" s="109" t="s">
        <v>490</v>
      </c>
      <c r="B291" s="109" t="s">
        <v>390</v>
      </c>
      <c r="D291" s="2" t="s">
        <v>491</v>
      </c>
      <c r="E291" s="106">
        <f>L94</f>
        <v>2.5396825396825395</v>
      </c>
    </row>
    <row r="292" spans="1:5" x14ac:dyDescent="0.25">
      <c r="A292" s="114" t="s">
        <v>457</v>
      </c>
      <c r="B292" s="102">
        <f>B266</f>
        <v>1.0078367049389465</v>
      </c>
      <c r="D292" s="2" t="s">
        <v>492</v>
      </c>
      <c r="E292" s="106">
        <f t="shared" ref="E292:E298" si="50">L95</f>
        <v>0.30232558139534882</v>
      </c>
    </row>
    <row r="293" spans="1:5" x14ac:dyDescent="0.25">
      <c r="A293" s="115" t="s">
        <v>341</v>
      </c>
      <c r="B293" s="102">
        <f t="shared" ref="B293:B297" si="51">B267</f>
        <v>0.40932117527862211</v>
      </c>
      <c r="D293" s="2" t="s">
        <v>493</v>
      </c>
      <c r="E293" s="106">
        <f t="shared" si="50"/>
        <v>1.1575272926918088</v>
      </c>
    </row>
    <row r="294" spans="1:5" x14ac:dyDescent="0.25">
      <c r="A294" s="115" t="s">
        <v>343</v>
      </c>
      <c r="B294" s="102">
        <f t="shared" si="51"/>
        <v>0.9634471072379569</v>
      </c>
      <c r="D294" s="2" t="s">
        <v>494</v>
      </c>
      <c r="E294" s="106">
        <f t="shared" si="50"/>
        <v>0.60044845029483451</v>
      </c>
    </row>
    <row r="295" spans="1:5" x14ac:dyDescent="0.25">
      <c r="A295" s="115" t="s">
        <v>345</v>
      </c>
      <c r="B295" s="102">
        <f t="shared" si="51"/>
        <v>2.5396825396825395</v>
      </c>
      <c r="D295" s="2"/>
      <c r="E295" s="106"/>
    </row>
    <row r="296" spans="1:5" x14ac:dyDescent="0.25">
      <c r="A296" s="115" t="s">
        <v>347</v>
      </c>
      <c r="B296" s="102">
        <f t="shared" si="51"/>
        <v>0.30232558139534882</v>
      </c>
      <c r="D296" s="2" t="s">
        <v>495</v>
      </c>
      <c r="E296" s="106">
        <f t="shared" si="50"/>
        <v>2.301871619973471</v>
      </c>
    </row>
    <row r="297" spans="1:5" x14ac:dyDescent="0.25">
      <c r="A297" s="114" t="s">
        <v>349</v>
      </c>
      <c r="B297" s="102">
        <f t="shared" si="51"/>
        <v>1.3461538461538463</v>
      </c>
      <c r="D297" s="2" t="s">
        <v>496</v>
      </c>
      <c r="E297" s="106">
        <f t="shared" si="50"/>
        <v>1.4242716604173689</v>
      </c>
    </row>
    <row r="298" spans="1:5" x14ac:dyDescent="0.25">
      <c r="A298" s="115" t="s">
        <v>354</v>
      </c>
      <c r="B298" s="102">
        <f>B280</f>
        <v>1.5138348513943447</v>
      </c>
      <c r="D298" s="2" t="s">
        <v>497</v>
      </c>
      <c r="E298" s="106">
        <f t="shared" si="50"/>
        <v>2.19</v>
      </c>
    </row>
    <row r="299" spans="1:5" x14ac:dyDescent="0.25">
      <c r="A299" s="115" t="s">
        <v>356</v>
      </c>
      <c r="B299" s="102">
        <f t="shared" ref="B299:B302" si="52">B281</f>
        <v>1.5065753935411021</v>
      </c>
    </row>
    <row r="300" spans="1:5" x14ac:dyDescent="0.25">
      <c r="A300" s="115" t="s">
        <v>357</v>
      </c>
      <c r="B300" s="102">
        <f t="shared" si="52"/>
        <v>0.94790309011210638</v>
      </c>
    </row>
    <row r="301" spans="1:5" x14ac:dyDescent="0.25">
      <c r="A301" s="115" t="s">
        <v>360</v>
      </c>
      <c r="B301" s="102">
        <f t="shared" si="52"/>
        <v>1.1624402257309596</v>
      </c>
    </row>
    <row r="302" spans="1:5" x14ac:dyDescent="0.25">
      <c r="A302" s="115" t="s">
        <v>355</v>
      </c>
      <c r="B302" s="102">
        <f t="shared" si="52"/>
        <v>1.0332797041441244</v>
      </c>
    </row>
    <row r="305" spans="1:5" x14ac:dyDescent="0.25">
      <c r="A305" s="109" t="s">
        <v>490</v>
      </c>
      <c r="B305" s="109" t="s">
        <v>390</v>
      </c>
      <c r="D305" s="2" t="s">
        <v>491</v>
      </c>
      <c r="E305" s="106">
        <f>L109</f>
        <v>1.5138348513943447</v>
      </c>
    </row>
    <row r="306" spans="1:5" x14ac:dyDescent="0.25">
      <c r="A306" s="114" t="s">
        <v>457</v>
      </c>
      <c r="B306" s="102">
        <f>B292</f>
        <v>1.0078367049389465</v>
      </c>
      <c r="D306" s="2" t="s">
        <v>492</v>
      </c>
      <c r="E306" s="106">
        <f t="shared" ref="E306:E312" si="53">L110</f>
        <v>0.30232558139534882</v>
      </c>
    </row>
    <row r="307" spans="1:5" x14ac:dyDescent="0.25">
      <c r="A307" s="115" t="s">
        <v>341</v>
      </c>
      <c r="B307" s="102">
        <f t="shared" ref="B307:B308" si="54">B293</f>
        <v>0.40932117527862211</v>
      </c>
      <c r="D307" s="2" t="s">
        <v>493</v>
      </c>
      <c r="E307" s="106">
        <f t="shared" si="53"/>
        <v>1.0193117679927357</v>
      </c>
    </row>
    <row r="308" spans="1:5" x14ac:dyDescent="0.25">
      <c r="A308" s="115" t="s">
        <v>343</v>
      </c>
      <c r="B308" s="102">
        <f t="shared" si="54"/>
        <v>0.9634471072379569</v>
      </c>
      <c r="D308" s="2" t="s">
        <v>494</v>
      </c>
      <c r="E308" s="106">
        <f t="shared" si="53"/>
        <v>0.40879157622766266</v>
      </c>
    </row>
    <row r="309" spans="1:5" x14ac:dyDescent="0.25">
      <c r="A309" s="115" t="s">
        <v>347</v>
      </c>
      <c r="B309" s="102">
        <f>B296</f>
        <v>0.30232558139534882</v>
      </c>
      <c r="D309" s="2"/>
      <c r="E309" s="106"/>
    </row>
    <row r="310" spans="1:5" x14ac:dyDescent="0.25">
      <c r="A310" s="114" t="s">
        <v>349</v>
      </c>
      <c r="B310" s="102">
        <f t="shared" ref="B310:B315" si="55">B297</f>
        <v>1.3461538461538463</v>
      </c>
      <c r="D310" s="2" t="s">
        <v>495</v>
      </c>
      <c r="E310" s="106">
        <f t="shared" si="53"/>
        <v>1.2097193586156507</v>
      </c>
    </row>
    <row r="311" spans="1:5" x14ac:dyDescent="0.25">
      <c r="A311" s="115" t="s">
        <v>354</v>
      </c>
      <c r="B311" s="102">
        <f t="shared" si="55"/>
        <v>1.5138348513943447</v>
      </c>
      <c r="D311" s="2" t="s">
        <v>496</v>
      </c>
      <c r="E311" s="106">
        <f t="shared" si="53"/>
        <v>1.7539162455688315</v>
      </c>
    </row>
    <row r="312" spans="1:5" x14ac:dyDescent="0.25">
      <c r="A312" s="115" t="s">
        <v>356</v>
      </c>
      <c r="B312" s="102">
        <f t="shared" si="55"/>
        <v>1.5065753935411021</v>
      </c>
      <c r="D312" s="2" t="s">
        <v>497</v>
      </c>
      <c r="E312" s="106">
        <f t="shared" si="53"/>
        <v>2.15</v>
      </c>
    </row>
    <row r="313" spans="1:5" x14ac:dyDescent="0.25">
      <c r="A313" s="115" t="s">
        <v>357</v>
      </c>
      <c r="B313" s="102">
        <f t="shared" si="55"/>
        <v>0.94790309011210638</v>
      </c>
    </row>
    <row r="314" spans="1:5" x14ac:dyDescent="0.25">
      <c r="A314" s="115" t="s">
        <v>360</v>
      </c>
      <c r="B314" s="102">
        <f t="shared" si="55"/>
        <v>1.1624402257309596</v>
      </c>
    </row>
    <row r="315" spans="1:5" x14ac:dyDescent="0.25">
      <c r="A315" s="115" t="s">
        <v>355</v>
      </c>
      <c r="B315" s="102">
        <f t="shared" si="55"/>
        <v>1.0332797041441244</v>
      </c>
    </row>
    <row r="319" spans="1:5" x14ac:dyDescent="0.25">
      <c r="A319" s="109" t="s">
        <v>490</v>
      </c>
      <c r="B319" s="109" t="s">
        <v>338</v>
      </c>
      <c r="D319" s="2" t="s">
        <v>491</v>
      </c>
      <c r="E319" s="106">
        <f>Q124</f>
        <v>5.8443382972745157</v>
      </c>
    </row>
    <row r="320" spans="1:5" x14ac:dyDescent="0.25">
      <c r="A320" s="114" t="s">
        <v>457</v>
      </c>
      <c r="B320" s="102">
        <f>D105</f>
        <v>0.96056974118464478</v>
      </c>
      <c r="D320" s="2" t="s">
        <v>492</v>
      </c>
      <c r="E320" s="106">
        <f t="shared" ref="E320:E326" si="56">Q125</f>
        <v>0.70579890051427563</v>
      </c>
    </row>
    <row r="321" spans="1:5" x14ac:dyDescent="0.25">
      <c r="A321" s="115" t="s">
        <v>341</v>
      </c>
      <c r="B321" s="102">
        <f t="shared" ref="B321:B325" si="57">D106</f>
        <v>0.95870906502135733</v>
      </c>
      <c r="D321" s="2" t="s">
        <v>493</v>
      </c>
      <c r="E321" s="106">
        <f t="shared" si="56"/>
        <v>1.9123922566536944</v>
      </c>
    </row>
    <row r="322" spans="1:5" x14ac:dyDescent="0.25">
      <c r="A322" s="115" t="s">
        <v>343</v>
      </c>
      <c r="B322" s="102">
        <f t="shared" si="57"/>
        <v>0.70579890051427563</v>
      </c>
      <c r="D322" s="2" t="s">
        <v>494</v>
      </c>
      <c r="E322" s="106">
        <f t="shared" si="56"/>
        <v>1.9530970076625982</v>
      </c>
    </row>
    <row r="323" spans="1:5" x14ac:dyDescent="0.25">
      <c r="A323" s="115" t="s">
        <v>345</v>
      </c>
      <c r="B323" s="102">
        <f t="shared" si="57"/>
        <v>5.8443382972745157</v>
      </c>
      <c r="D323" s="2"/>
      <c r="E323" s="106"/>
    </row>
    <row r="324" spans="1:5" x14ac:dyDescent="0.25">
      <c r="A324" s="115" t="s">
        <v>347</v>
      </c>
      <c r="B324" s="102">
        <f t="shared" si="57"/>
        <v>1.450892857142857</v>
      </c>
      <c r="D324" s="2" t="s">
        <v>495</v>
      </c>
      <c r="E324" s="106">
        <f t="shared" si="56"/>
        <v>2.0131852259230301</v>
      </c>
    </row>
    <row r="325" spans="1:5" x14ac:dyDescent="0.25">
      <c r="A325" s="114" t="s">
        <v>349</v>
      </c>
      <c r="B325" s="102">
        <f t="shared" si="57"/>
        <v>1.554044678784515</v>
      </c>
      <c r="D325" s="2" t="s">
        <v>496</v>
      </c>
      <c r="E325" s="106">
        <f t="shared" si="56"/>
        <v>0.61778465248043646</v>
      </c>
    </row>
    <row r="326" spans="1:5" x14ac:dyDescent="0.25">
      <c r="D326" s="2" t="s">
        <v>497</v>
      </c>
      <c r="E326" s="106">
        <f t="shared" si="56"/>
        <v>1.89</v>
      </c>
    </row>
    <row r="330" spans="1:5" x14ac:dyDescent="0.25">
      <c r="A330" s="109" t="s">
        <v>490</v>
      </c>
      <c r="B330" s="109" t="s">
        <v>338</v>
      </c>
      <c r="D330" s="2" t="s">
        <v>491</v>
      </c>
      <c r="E330" s="106">
        <f>Q135</f>
        <v>1.554044678784515</v>
      </c>
    </row>
    <row r="331" spans="1:5" x14ac:dyDescent="0.25">
      <c r="A331" s="114" t="s">
        <v>457</v>
      </c>
      <c r="B331" s="102">
        <f>B320</f>
        <v>0.96056974118464478</v>
      </c>
      <c r="D331" s="2" t="s">
        <v>492</v>
      </c>
      <c r="E331" s="106">
        <f t="shared" ref="E331:E337" si="58">Q136</f>
        <v>0.70579890051427563</v>
      </c>
    </row>
    <row r="332" spans="1:5" x14ac:dyDescent="0.25">
      <c r="A332" s="115" t="s">
        <v>341</v>
      </c>
      <c r="B332" s="102">
        <f t="shared" ref="B332:B333" si="59">B321</f>
        <v>0.95870906502135733</v>
      </c>
      <c r="D332" s="2" t="s">
        <v>493</v>
      </c>
      <c r="E332" s="106">
        <f t="shared" si="58"/>
        <v>1.12600304852953</v>
      </c>
    </row>
    <row r="333" spans="1:5" x14ac:dyDescent="0.25">
      <c r="A333" s="115" t="s">
        <v>343</v>
      </c>
      <c r="B333" s="102">
        <f t="shared" si="59"/>
        <v>0.70579890051427563</v>
      </c>
      <c r="D333" s="2" t="s">
        <v>494</v>
      </c>
      <c r="E333" s="106">
        <f t="shared" si="58"/>
        <v>0.36079772971793883</v>
      </c>
    </row>
    <row r="334" spans="1:5" x14ac:dyDescent="0.25">
      <c r="A334" s="115" t="s">
        <v>347</v>
      </c>
      <c r="B334" s="102">
        <f>B324</f>
        <v>1.450892857142857</v>
      </c>
      <c r="D334" s="2"/>
      <c r="E334" s="106"/>
    </row>
    <row r="335" spans="1:5" x14ac:dyDescent="0.25">
      <c r="A335" s="114" t="s">
        <v>349</v>
      </c>
      <c r="B335" s="102">
        <f>B325</f>
        <v>1.554044678784515</v>
      </c>
      <c r="D335" s="2" t="s">
        <v>495</v>
      </c>
      <c r="E335" s="106">
        <f t="shared" si="58"/>
        <v>1.1863756199065207</v>
      </c>
    </row>
    <row r="336" spans="1:5" x14ac:dyDescent="0.25">
      <c r="D336" s="2" t="s">
        <v>496</v>
      </c>
      <c r="E336" s="106">
        <f t="shared" si="58"/>
        <v>1.1646529714689662</v>
      </c>
    </row>
    <row r="337" spans="1:5" x14ac:dyDescent="0.25">
      <c r="D337" s="2" t="s">
        <v>497</v>
      </c>
      <c r="E337" s="106">
        <f t="shared" si="58"/>
        <v>1.79</v>
      </c>
    </row>
    <row r="341" spans="1:5" x14ac:dyDescent="0.25">
      <c r="A341" s="109" t="s">
        <v>490</v>
      </c>
      <c r="B341" s="109" t="s">
        <v>338</v>
      </c>
      <c r="D341" s="2" t="s">
        <v>491</v>
      </c>
      <c r="E341" s="106">
        <f>Q148</f>
        <v>1.5138348513943447</v>
      </c>
    </row>
    <row r="342" spans="1:5" x14ac:dyDescent="0.25">
      <c r="A342" s="115" t="s">
        <v>354</v>
      </c>
      <c r="B342" s="102">
        <f>D114</f>
        <v>1.3913877037373967</v>
      </c>
      <c r="D342" s="2" t="s">
        <v>492</v>
      </c>
      <c r="E342" s="106">
        <f t="shared" ref="E342:E348" si="60">Q149</f>
        <v>0.94790309011210638</v>
      </c>
    </row>
    <row r="343" spans="1:5" x14ac:dyDescent="0.25">
      <c r="A343" s="115" t="s">
        <v>356</v>
      </c>
      <c r="B343" s="102">
        <f t="shared" ref="B343:B346" si="61">D115</f>
        <v>2.1165188422410086</v>
      </c>
      <c r="D343" s="2" t="s">
        <v>493</v>
      </c>
      <c r="E343" s="106">
        <f t="shared" si="60"/>
        <v>1.2328066529845274</v>
      </c>
    </row>
    <row r="344" spans="1:5" x14ac:dyDescent="0.25">
      <c r="A344" s="115" t="s">
        <v>357</v>
      </c>
      <c r="B344" s="102">
        <f t="shared" si="61"/>
        <v>0.83236521048782297</v>
      </c>
      <c r="D344" s="2" t="s">
        <v>494</v>
      </c>
      <c r="E344" s="106">
        <f t="shared" si="60"/>
        <v>0.2645083406732166</v>
      </c>
    </row>
    <row r="345" spans="1:5" x14ac:dyDescent="0.25">
      <c r="A345" s="115" t="s">
        <v>360</v>
      </c>
      <c r="B345" s="102">
        <f t="shared" si="61"/>
        <v>1.030157588935972</v>
      </c>
      <c r="D345" s="2"/>
      <c r="E345" s="106"/>
    </row>
    <row r="346" spans="1:5" x14ac:dyDescent="0.25">
      <c r="A346" s="115" t="s">
        <v>355</v>
      </c>
      <c r="B346" s="102">
        <f t="shared" si="61"/>
        <v>0.49017855141982325</v>
      </c>
      <c r="D346" s="2" t="s">
        <v>495</v>
      </c>
      <c r="E346" s="106">
        <f t="shared" si="60"/>
        <v>1.0624549596226531</v>
      </c>
    </row>
    <row r="347" spans="1:5" x14ac:dyDescent="0.25">
      <c r="D347" s="2" t="s">
        <v>496</v>
      </c>
      <c r="E347" s="106">
        <f t="shared" si="60"/>
        <v>1.0771061590999182</v>
      </c>
    </row>
    <row r="348" spans="1:5" x14ac:dyDescent="0.25">
      <c r="D348" s="2" t="s">
        <v>497</v>
      </c>
      <c r="E348" s="106">
        <f t="shared" si="60"/>
        <v>1.79</v>
      </c>
    </row>
    <row r="353" spans="1:5" x14ac:dyDescent="0.25">
      <c r="A353" s="109" t="s">
        <v>490</v>
      </c>
      <c r="B353" s="109" t="s">
        <v>338</v>
      </c>
      <c r="D353" s="2" t="s">
        <v>491</v>
      </c>
      <c r="E353" s="106">
        <f>Q160</f>
        <v>5.8443382972745157</v>
      </c>
    </row>
    <row r="354" spans="1:5" x14ac:dyDescent="0.25">
      <c r="A354" s="114" t="s">
        <v>457</v>
      </c>
      <c r="B354" s="102">
        <f>B320</f>
        <v>0.96056974118464478</v>
      </c>
      <c r="D354" s="2" t="s">
        <v>492</v>
      </c>
      <c r="E354" s="106">
        <f t="shared" ref="E354:E360" si="62">Q161</f>
        <v>0.49017855141982325</v>
      </c>
    </row>
    <row r="355" spans="1:5" x14ac:dyDescent="0.25">
      <c r="A355" s="115" t="s">
        <v>341</v>
      </c>
      <c r="B355" s="102">
        <f t="shared" ref="B355:B359" si="63">B321</f>
        <v>0.95870906502135733</v>
      </c>
      <c r="D355" s="2" t="s">
        <v>493</v>
      </c>
      <c r="E355" s="106">
        <f t="shared" si="62"/>
        <v>1.5759055851585628</v>
      </c>
    </row>
    <row r="356" spans="1:5" x14ac:dyDescent="0.25">
      <c r="A356" s="115" t="s">
        <v>343</v>
      </c>
      <c r="B356" s="102">
        <f t="shared" si="63"/>
        <v>0.70579890051427563</v>
      </c>
      <c r="D356" s="2" t="s">
        <v>494</v>
      </c>
      <c r="E356" s="106">
        <f t="shared" si="62"/>
        <v>1.4868787840809774</v>
      </c>
    </row>
    <row r="357" spans="1:5" x14ac:dyDescent="0.25">
      <c r="A357" s="115" t="s">
        <v>345</v>
      </c>
      <c r="B357" s="102">
        <f t="shared" si="63"/>
        <v>5.8443382972745157</v>
      </c>
      <c r="D357" s="2"/>
      <c r="E357" s="106"/>
    </row>
    <row r="358" spans="1:5" x14ac:dyDescent="0.25">
      <c r="A358" s="115" t="s">
        <v>347</v>
      </c>
      <c r="B358" s="102">
        <f t="shared" si="63"/>
        <v>1.450892857142857</v>
      </c>
      <c r="D358" s="2" t="s">
        <v>495</v>
      </c>
      <c r="E358" s="106">
        <f t="shared" si="62"/>
        <v>2.8707334840036887</v>
      </c>
    </row>
    <row r="359" spans="1:5" x14ac:dyDescent="0.25">
      <c r="A359" s="114" t="s">
        <v>349</v>
      </c>
      <c r="B359" s="102">
        <f t="shared" si="63"/>
        <v>1.554044678784515</v>
      </c>
      <c r="D359" s="2" t="s">
        <v>496</v>
      </c>
      <c r="E359" s="106">
        <f t="shared" si="62"/>
        <v>0.73020547832338267</v>
      </c>
    </row>
    <row r="360" spans="1:5" x14ac:dyDescent="0.25">
      <c r="A360" s="115" t="s">
        <v>354</v>
      </c>
      <c r="B360" s="102">
        <f>B342</f>
        <v>1.3913877037373967</v>
      </c>
      <c r="D360" s="2" t="s">
        <v>497</v>
      </c>
      <c r="E360" s="106">
        <f t="shared" si="62"/>
        <v>2.19</v>
      </c>
    </row>
    <row r="361" spans="1:5" x14ac:dyDescent="0.25">
      <c r="A361" s="115" t="s">
        <v>356</v>
      </c>
      <c r="B361" s="102">
        <f t="shared" ref="B361:B364" si="64">B343</f>
        <v>2.1165188422410086</v>
      </c>
    </row>
    <row r="362" spans="1:5" x14ac:dyDescent="0.25">
      <c r="A362" s="115" t="s">
        <v>357</v>
      </c>
      <c r="B362" s="102">
        <f t="shared" si="64"/>
        <v>0.83236521048782297</v>
      </c>
    </row>
    <row r="363" spans="1:5" x14ac:dyDescent="0.25">
      <c r="A363" s="115" t="s">
        <v>360</v>
      </c>
      <c r="B363" s="102">
        <f t="shared" si="64"/>
        <v>1.030157588935972</v>
      </c>
    </row>
    <row r="364" spans="1:5" x14ac:dyDescent="0.25">
      <c r="A364" s="115" t="s">
        <v>355</v>
      </c>
      <c r="B364" s="102">
        <f t="shared" si="64"/>
        <v>0.49017855141982325</v>
      </c>
    </row>
    <row r="368" spans="1:5" x14ac:dyDescent="0.25">
      <c r="A368" s="109" t="s">
        <v>490</v>
      </c>
      <c r="B368" s="109" t="s">
        <v>338</v>
      </c>
      <c r="D368" s="2" t="s">
        <v>491</v>
      </c>
      <c r="E368" s="106">
        <f>Q174</f>
        <v>2.1165188422410086</v>
      </c>
    </row>
    <row r="369" spans="1:5" x14ac:dyDescent="0.25">
      <c r="A369" s="114" t="s">
        <v>457</v>
      </c>
      <c r="B369" s="102">
        <f>B354</f>
        <v>0.96056974118464478</v>
      </c>
      <c r="D369" s="2" t="s">
        <v>492</v>
      </c>
      <c r="E369" s="106">
        <f t="shared" ref="E369:E375" si="65">Q175</f>
        <v>0.49017855141982325</v>
      </c>
    </row>
    <row r="370" spans="1:5" x14ac:dyDescent="0.25">
      <c r="A370" s="115" t="s">
        <v>341</v>
      </c>
      <c r="B370" s="102">
        <f t="shared" ref="B370:B371" si="66">B355</f>
        <v>0.95870906502135733</v>
      </c>
      <c r="D370" s="2" t="s">
        <v>493</v>
      </c>
      <c r="E370" s="106">
        <f t="shared" si="65"/>
        <v>1.1490623139469673</v>
      </c>
    </row>
    <row r="371" spans="1:5" x14ac:dyDescent="0.25">
      <c r="A371" s="115" t="s">
        <v>343</v>
      </c>
      <c r="B371" s="102">
        <f t="shared" si="66"/>
        <v>0.70579890051427563</v>
      </c>
      <c r="D371" s="2" t="s">
        <v>494</v>
      </c>
      <c r="E371" s="106">
        <f t="shared" si="65"/>
        <v>0.47919093687561404</v>
      </c>
    </row>
    <row r="372" spans="1:5" x14ac:dyDescent="0.25">
      <c r="A372" s="115" t="s">
        <v>347</v>
      </c>
      <c r="B372" s="102">
        <f>B358</f>
        <v>1.450892857142857</v>
      </c>
      <c r="D372" s="2"/>
      <c r="E372" s="106"/>
    </row>
    <row r="373" spans="1:5" x14ac:dyDescent="0.25">
      <c r="A373" s="114" t="s">
        <v>349</v>
      </c>
      <c r="B373" s="102">
        <f t="shared" ref="B373:B378" si="67">B359</f>
        <v>1.554044678784515</v>
      </c>
      <c r="D373" s="2" t="s">
        <v>495</v>
      </c>
      <c r="E373" s="106">
        <f t="shared" si="65"/>
        <v>2.0189374502823054</v>
      </c>
    </row>
    <row r="374" spans="1:5" x14ac:dyDescent="0.25">
      <c r="A374" s="115" t="s">
        <v>354</v>
      </c>
      <c r="B374" s="102">
        <f t="shared" si="67"/>
        <v>1.3913877037373967</v>
      </c>
      <c r="D374" s="2" t="s">
        <v>496</v>
      </c>
      <c r="E374" s="106">
        <f t="shared" si="65"/>
        <v>1.3749921207257179</v>
      </c>
    </row>
    <row r="375" spans="1:5" x14ac:dyDescent="0.25">
      <c r="A375" s="115" t="s">
        <v>356</v>
      </c>
      <c r="B375" s="102">
        <f t="shared" si="67"/>
        <v>2.1165188422410086</v>
      </c>
      <c r="D375" s="2" t="s">
        <v>497</v>
      </c>
      <c r="E375" s="106">
        <f t="shared" si="65"/>
        <v>2.15</v>
      </c>
    </row>
    <row r="376" spans="1:5" x14ac:dyDescent="0.25">
      <c r="A376" s="115" t="s">
        <v>357</v>
      </c>
      <c r="B376" s="102">
        <f t="shared" si="67"/>
        <v>0.83236521048782297</v>
      </c>
    </row>
    <row r="377" spans="1:5" x14ac:dyDescent="0.25">
      <c r="A377" s="115" t="s">
        <v>360</v>
      </c>
      <c r="B377" s="102">
        <f t="shared" si="67"/>
        <v>1.030157588935972</v>
      </c>
    </row>
    <row r="378" spans="1:5" x14ac:dyDescent="0.25">
      <c r="A378" s="115" t="s">
        <v>355</v>
      </c>
      <c r="B378" s="102">
        <f t="shared" si="67"/>
        <v>0.49017855141982325</v>
      </c>
    </row>
  </sheetData>
  <mergeCells count="85">
    <mergeCell ref="J4:J6"/>
    <mergeCell ref="K4:K6"/>
    <mergeCell ref="Q4:Q6"/>
    <mergeCell ref="A4:A6"/>
    <mergeCell ref="B4:B6"/>
    <mergeCell ref="C4:C6"/>
    <mergeCell ref="D4:D6"/>
    <mergeCell ref="E4:E6"/>
    <mergeCell ref="F4:F6"/>
    <mergeCell ref="A28:C28"/>
    <mergeCell ref="Z4:AA5"/>
    <mergeCell ref="A7:K7"/>
    <mergeCell ref="A14:C14"/>
    <mergeCell ref="A15:C15"/>
    <mergeCell ref="A16:C16"/>
    <mergeCell ref="A17:K17"/>
    <mergeCell ref="R4:S5"/>
    <mergeCell ref="T4:T6"/>
    <mergeCell ref="U4:U6"/>
    <mergeCell ref="V4:V6"/>
    <mergeCell ref="W4:W6"/>
    <mergeCell ref="X4:Y5"/>
    <mergeCell ref="G4:G6"/>
    <mergeCell ref="H4:H6"/>
    <mergeCell ref="I4:I6"/>
    <mergeCell ref="A23:C23"/>
    <mergeCell ref="A24:C24"/>
    <mergeCell ref="A25:C25"/>
    <mergeCell ref="A26:K26"/>
    <mergeCell ref="A27:C27"/>
    <mergeCell ref="J34:J36"/>
    <mergeCell ref="K34:K36"/>
    <mergeCell ref="A29:C29"/>
    <mergeCell ref="A34:A36"/>
    <mergeCell ref="B34:B36"/>
    <mergeCell ref="C34:C36"/>
    <mergeCell ref="D34:D36"/>
    <mergeCell ref="E34:E36"/>
    <mergeCell ref="A53:I53"/>
    <mergeCell ref="F34:F36"/>
    <mergeCell ref="G34:G36"/>
    <mergeCell ref="H34:H36"/>
    <mergeCell ref="I34:I36"/>
    <mergeCell ref="A37:K37"/>
    <mergeCell ref="A44:I44"/>
    <mergeCell ref="A45:I45"/>
    <mergeCell ref="A46:K46"/>
    <mergeCell ref="A52:I52"/>
    <mergeCell ref="A93:E93"/>
    <mergeCell ref="A54:K54"/>
    <mergeCell ref="A55:I55"/>
    <mergeCell ref="A56:I56"/>
    <mergeCell ref="A74:A76"/>
    <mergeCell ref="B74:B76"/>
    <mergeCell ref="C74:C76"/>
    <mergeCell ref="D74:D76"/>
    <mergeCell ref="E74:E76"/>
    <mergeCell ref="F74:F76"/>
    <mergeCell ref="A77:F77"/>
    <mergeCell ref="A84:E84"/>
    <mergeCell ref="A85:E85"/>
    <mergeCell ref="A86:F86"/>
    <mergeCell ref="A92:E92"/>
    <mergeCell ref="A120:C120"/>
    <mergeCell ref="A94:F94"/>
    <mergeCell ref="A95:E95"/>
    <mergeCell ref="A96:E96"/>
    <mergeCell ref="A101:A103"/>
    <mergeCell ref="B101:B103"/>
    <mergeCell ref="C101:C103"/>
    <mergeCell ref="D101:D103"/>
    <mergeCell ref="A104:D104"/>
    <mergeCell ref="A111:C111"/>
    <mergeCell ref="A112:C112"/>
    <mergeCell ref="A113:D113"/>
    <mergeCell ref="A119:C119"/>
    <mergeCell ref="A171:D171"/>
    <mergeCell ref="A172:D172"/>
    <mergeCell ref="A173:D173"/>
    <mergeCell ref="A121:D121"/>
    <mergeCell ref="A122:C122"/>
    <mergeCell ref="A123:C123"/>
    <mergeCell ref="A143:E143"/>
    <mergeCell ref="A144:E144"/>
    <mergeCell ref="A145:E145"/>
  </mergeCells>
  <hyperlinks>
    <hyperlink ref="C1" r:id="rId1" xr:uid="{FD6D2001-AC90-4594-8D38-1CC3B0B9DFA8}"/>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359C5-DBBE-4E6C-B84F-F2882695E0CD}">
  <dimension ref="A1:B11"/>
  <sheetViews>
    <sheetView workbookViewId="0">
      <selection activeCell="B9" sqref="B9"/>
    </sheetView>
  </sheetViews>
  <sheetFormatPr defaultRowHeight="14.5" x14ac:dyDescent="0.35"/>
  <cols>
    <col min="1" max="1" width="45" bestFit="1" customWidth="1"/>
    <col min="2" max="2" width="14.1796875" bestFit="1" customWidth="1"/>
    <col min="3" max="5" width="10.81640625" bestFit="1" customWidth="1"/>
    <col min="6" max="10" width="11.54296875" bestFit="1" customWidth="1"/>
  </cols>
  <sheetData>
    <row r="1" spans="1:2" x14ac:dyDescent="0.35">
      <c r="A1" s="14" t="s">
        <v>462</v>
      </c>
      <c r="B1" s="5">
        <v>2020</v>
      </c>
    </row>
    <row r="2" spans="1:2" x14ac:dyDescent="0.35">
      <c r="A2" s="123" t="s">
        <v>8</v>
      </c>
      <c r="B2" s="125">
        <f>BS!J12</f>
        <v>2922000000</v>
      </c>
    </row>
    <row r="3" spans="1:2" x14ac:dyDescent="0.35">
      <c r="A3" s="123" t="s">
        <v>17</v>
      </c>
      <c r="B3" s="125">
        <f>BS!J23</f>
        <v>12428000000</v>
      </c>
    </row>
    <row r="4" spans="1:2" x14ac:dyDescent="0.35">
      <c r="A4" s="123" t="s">
        <v>19</v>
      </c>
      <c r="B4" s="125">
        <f>BS!J25</f>
        <v>15350000000</v>
      </c>
    </row>
    <row r="5" spans="1:2" x14ac:dyDescent="0.35">
      <c r="A5" s="123" t="s">
        <v>28</v>
      </c>
      <c r="B5" s="125">
        <f>BS!J35</f>
        <v>3092000000</v>
      </c>
    </row>
    <row r="6" spans="1:2" x14ac:dyDescent="0.35">
      <c r="A6" s="123" t="s">
        <v>33</v>
      </c>
      <c r="B6" s="125">
        <f>BS!J42</f>
        <v>6771000000</v>
      </c>
    </row>
    <row r="7" spans="1:2" x14ac:dyDescent="0.35">
      <c r="A7" s="124" t="s">
        <v>459</v>
      </c>
      <c r="B7" s="128">
        <f>B4-B5-B6</f>
        <v>5487000000</v>
      </c>
    </row>
    <row r="8" spans="1:2" x14ac:dyDescent="0.35">
      <c r="A8" s="2" t="s">
        <v>287</v>
      </c>
      <c r="B8" s="125">
        <f>'Доходный подход'!H279</f>
        <v>10598177817</v>
      </c>
    </row>
    <row r="9" spans="1:2" x14ac:dyDescent="0.35">
      <c r="A9" s="108" t="s">
        <v>460</v>
      </c>
      <c r="B9" s="126">
        <f>B7/B8*1000</f>
        <v>517.73050940875714</v>
      </c>
    </row>
    <row r="10" spans="1:2" x14ac:dyDescent="0.35">
      <c r="A10" s="108" t="s">
        <v>385</v>
      </c>
      <c r="B10" s="126">
        <f>Согласование!F5</f>
        <v>525.54999999999995</v>
      </c>
    </row>
    <row r="11" spans="1:2" x14ac:dyDescent="0.35">
      <c r="A11" s="108" t="s">
        <v>461</v>
      </c>
      <c r="B11" s="127">
        <f>B9/B10-1</f>
        <v>-1.4878680603639616E-2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C5435-1953-4A48-BB4B-3F745E5FBBF7}">
  <dimension ref="A1:H33"/>
  <sheetViews>
    <sheetView tabSelected="1" workbookViewId="0">
      <selection activeCell="B5" sqref="B5:C5"/>
    </sheetView>
  </sheetViews>
  <sheetFormatPr defaultColWidth="8.7265625" defaultRowHeight="11.5" x14ac:dyDescent="0.25"/>
  <cols>
    <col min="1" max="1" width="51.453125" style="38" customWidth="1"/>
    <col min="2" max="2" width="37.1796875" style="38" customWidth="1"/>
    <col min="3" max="3" width="35.7265625" style="38" customWidth="1"/>
    <col min="4" max="16384" width="8.7265625" style="38"/>
  </cols>
  <sheetData>
    <row r="1" spans="1:8" ht="11.5" customHeight="1" x14ac:dyDescent="0.25">
      <c r="A1" s="161" t="s">
        <v>463</v>
      </c>
      <c r="B1" s="200" t="s">
        <v>464</v>
      </c>
      <c r="C1" s="201"/>
    </row>
    <row r="2" spans="1:8" x14ac:dyDescent="0.25">
      <c r="A2" s="161"/>
      <c r="B2" s="135" t="s">
        <v>472</v>
      </c>
      <c r="C2" s="135" t="s">
        <v>473</v>
      </c>
    </row>
    <row r="3" spans="1:8" x14ac:dyDescent="0.25">
      <c r="A3" s="114" t="s">
        <v>385</v>
      </c>
      <c r="B3" s="200">
        <v>525.54999999999995</v>
      </c>
      <c r="C3" s="201"/>
    </row>
    <row r="4" spans="1:8" x14ac:dyDescent="0.25">
      <c r="A4" s="129" t="s">
        <v>465</v>
      </c>
      <c r="B4" s="132">
        <f>'Доходный подход'!H283</f>
        <v>559.70682680866912</v>
      </c>
      <c r="C4" s="132">
        <f>F6</f>
        <v>617.79</v>
      </c>
    </row>
    <row r="5" spans="1:8" x14ac:dyDescent="0.25">
      <c r="A5" s="129" t="s">
        <v>468</v>
      </c>
      <c r="B5" s="202">
        <v>10</v>
      </c>
      <c r="C5" s="202"/>
      <c r="F5" s="38">
        <v>525.54999999999995</v>
      </c>
    </row>
    <row r="6" spans="1:8" x14ac:dyDescent="0.25">
      <c r="A6" s="129" t="s">
        <v>466</v>
      </c>
      <c r="B6" s="130">
        <v>1.2</v>
      </c>
      <c r="C6" s="133">
        <v>1</v>
      </c>
      <c r="F6" s="38">
        <v>617.79</v>
      </c>
      <c r="H6" s="38">
        <f>F6/F5-1</f>
        <v>0.17551136904195608</v>
      </c>
    </row>
    <row r="7" spans="1:8" x14ac:dyDescent="0.25">
      <c r="A7" s="129" t="s">
        <v>469</v>
      </c>
      <c r="B7" s="130">
        <f>B5*B6</f>
        <v>12</v>
      </c>
      <c r="C7" s="130">
        <f>B5*C6</f>
        <v>10</v>
      </c>
    </row>
    <row r="8" spans="1:8" ht="13.5" x14ac:dyDescent="0.25">
      <c r="A8" s="131" t="s">
        <v>470</v>
      </c>
      <c r="B8" s="132">
        <f>B4*(1-B7/100)</f>
        <v>492.54200759162882</v>
      </c>
      <c r="C8" s="134">
        <f>C4*(1-C7/100)</f>
        <v>556.01099999999997</v>
      </c>
    </row>
    <row r="9" spans="1:8" ht="13.5" x14ac:dyDescent="0.25">
      <c r="A9" s="131" t="s">
        <v>471</v>
      </c>
      <c r="B9" s="134">
        <f>B4*(1+B7/100)</f>
        <v>626.87164602570942</v>
      </c>
      <c r="C9" s="132">
        <f>C4*(1+C7/100)</f>
        <v>679.56899999999996</v>
      </c>
    </row>
    <row r="10" spans="1:8" x14ac:dyDescent="0.25">
      <c r="A10" s="129" t="s">
        <v>467</v>
      </c>
      <c r="B10" s="203" t="s">
        <v>476</v>
      </c>
      <c r="C10" s="204"/>
    </row>
    <row r="17" spans="1:5" x14ac:dyDescent="0.25">
      <c r="A17" s="161" t="s">
        <v>463</v>
      </c>
      <c r="B17" s="200" t="s">
        <v>464</v>
      </c>
      <c r="C17" s="201"/>
    </row>
    <row r="18" spans="1:5" x14ac:dyDescent="0.25">
      <c r="A18" s="161"/>
      <c r="B18" s="135" t="s">
        <v>472</v>
      </c>
      <c r="C18" s="135" t="s">
        <v>473</v>
      </c>
    </row>
    <row r="19" spans="1:5" x14ac:dyDescent="0.25">
      <c r="A19" s="114" t="s">
        <v>385</v>
      </c>
      <c r="B19" s="200">
        <v>525.54999999999995</v>
      </c>
      <c r="C19" s="201"/>
    </row>
    <row r="20" spans="1:5" x14ac:dyDescent="0.25">
      <c r="A20" s="129" t="s">
        <v>465</v>
      </c>
      <c r="B20" s="132">
        <f>B4</f>
        <v>559.70682680866912</v>
      </c>
      <c r="C20" s="132">
        <f>C4</f>
        <v>617.79</v>
      </c>
    </row>
    <row r="21" spans="1:5" x14ac:dyDescent="0.25">
      <c r="A21" s="129" t="s">
        <v>466</v>
      </c>
      <c r="B21" s="130">
        <v>1.2</v>
      </c>
      <c r="C21" s="133">
        <v>1</v>
      </c>
    </row>
    <row r="22" spans="1:5" x14ac:dyDescent="0.25">
      <c r="A22" s="129" t="s">
        <v>474</v>
      </c>
      <c r="B22" s="138">
        <f>(1/B21)/(1/B21+1/C21)</f>
        <v>0.45454545454545453</v>
      </c>
      <c r="C22" s="138">
        <f>(1/C21)/(1/B21+1/C21)</f>
        <v>0.54545454545454541</v>
      </c>
    </row>
    <row r="23" spans="1:5" x14ac:dyDescent="0.25">
      <c r="A23" s="129" t="s">
        <v>475</v>
      </c>
      <c r="B23" s="207">
        <f>B20*B22+C20*C22</f>
        <v>591.38855764030404</v>
      </c>
      <c r="C23" s="208"/>
    </row>
    <row r="24" spans="1:5" x14ac:dyDescent="0.25">
      <c r="A24" s="129" t="s">
        <v>477</v>
      </c>
      <c r="B24" s="130">
        <f>B7</f>
        <v>12</v>
      </c>
      <c r="C24" s="130">
        <f>C7</f>
        <v>10</v>
      </c>
    </row>
    <row r="25" spans="1:5" x14ac:dyDescent="0.25">
      <c r="A25" s="129" t="s">
        <v>469</v>
      </c>
      <c r="B25" s="207">
        <f>B24*B22+C24*C22</f>
        <v>10.909090909090908</v>
      </c>
      <c r="C25" s="208"/>
    </row>
    <row r="26" spans="1:5" ht="13.5" x14ac:dyDescent="0.25">
      <c r="A26" s="131" t="s">
        <v>470</v>
      </c>
      <c r="B26" s="207">
        <f>B23*(1-B25/100)</f>
        <v>526.87344226136179</v>
      </c>
      <c r="C26" s="208"/>
    </row>
    <row r="27" spans="1:5" ht="13.5" x14ac:dyDescent="0.25">
      <c r="A27" s="131" t="s">
        <v>471</v>
      </c>
      <c r="B27" s="205">
        <f>B23*(1+B25/100)</f>
        <v>655.9036730192463</v>
      </c>
      <c r="C27" s="206"/>
    </row>
    <row r="28" spans="1:5" x14ac:dyDescent="0.25">
      <c r="A28" s="131" t="s">
        <v>478</v>
      </c>
      <c r="B28" s="205" t="s">
        <v>483</v>
      </c>
      <c r="C28" s="206"/>
    </row>
    <row r="31" spans="1:5" x14ac:dyDescent="0.25">
      <c r="B31" s="104">
        <f>B23/B3-1</f>
        <v>0.12527553542061476</v>
      </c>
    </row>
    <row r="32" spans="1:5" x14ac:dyDescent="0.25">
      <c r="B32" s="104">
        <f>B26/B3-1</f>
        <v>2.5182042838205465E-3</v>
      </c>
      <c r="E32" s="104"/>
    </row>
    <row r="33" spans="2:5" x14ac:dyDescent="0.25">
      <c r="B33" s="104">
        <f>B27/B3-1</f>
        <v>0.24803286655740919</v>
      </c>
      <c r="C33" s="104">
        <f>AVERAGE(B32:B33)</f>
        <v>0.12527553542061487</v>
      </c>
      <c r="E33" s="104"/>
    </row>
  </sheetData>
  <mergeCells count="13">
    <mergeCell ref="B28:C28"/>
    <mergeCell ref="A17:A18"/>
    <mergeCell ref="B17:C17"/>
    <mergeCell ref="B19:C19"/>
    <mergeCell ref="B23:C23"/>
    <mergeCell ref="B25:C25"/>
    <mergeCell ref="B26:C26"/>
    <mergeCell ref="B27:C27"/>
    <mergeCell ref="B1:C1"/>
    <mergeCell ref="B3:C3"/>
    <mergeCell ref="B5:C5"/>
    <mergeCell ref="B10:C10"/>
    <mergeCell ref="A1:A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E8F5D6-0C6A-4839-8DF1-CEE29CE237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14</vt:i4>
      </vt:variant>
    </vt:vector>
  </HeadingPairs>
  <TitlesOfParts>
    <vt:vector size="14" baseType="lpstr">
      <vt:lpstr>BS</vt:lpstr>
      <vt:lpstr>IS</vt:lpstr>
      <vt:lpstr>сок+фин.устойчивость</vt:lpstr>
      <vt:lpstr>фин.коэффициенты</vt:lpstr>
      <vt:lpstr>ликвидность баланса</vt:lpstr>
      <vt:lpstr>коэффициенты ликвидности</vt:lpstr>
      <vt:lpstr>коэффициенты оборачиваемости</vt:lpstr>
      <vt:lpstr>коэффициенты рентабельности</vt:lpstr>
      <vt:lpstr>вероятность банкротства</vt:lpstr>
      <vt:lpstr>WACC</vt:lpstr>
      <vt:lpstr>Доходный подход</vt:lpstr>
      <vt:lpstr>Сравнительный подход</vt:lpstr>
      <vt:lpstr>Затратный подход</vt:lpstr>
      <vt:lpstr>Согласование</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Agapov</dc:creator>
  <cp:lastModifiedBy>Michael Agapov</cp:lastModifiedBy>
  <dcterms:created xsi:type="dcterms:W3CDTF">2015-06-05T18:19:34Z</dcterms:created>
  <dcterms:modified xsi:type="dcterms:W3CDTF">2026-03-19T13:49:48Z</dcterms:modified>
</cp:coreProperties>
</file>