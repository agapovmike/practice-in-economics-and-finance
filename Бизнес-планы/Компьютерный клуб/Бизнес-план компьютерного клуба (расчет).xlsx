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 tabRatio="720" activeTab="10"/>
  </bookViews>
  <sheets>
    <sheet name="Нач.инв." sheetId="1" r:id="rId1"/>
    <sheet name="Операц.изд. в мес." sheetId="4" r:id="rId2"/>
    <sheet name="Инв.расчет" sheetId="6" r:id="rId3"/>
    <sheet name="Вход и предположения" sheetId="5" r:id="rId4"/>
    <sheet name="Модель" sheetId="7" r:id="rId5"/>
    <sheet name="Отчетность" sheetId="8" r:id="rId6"/>
    <sheet name="re и wacc" sheetId="9" r:id="rId7"/>
    <sheet name="Стоимость компании" sheetId="12" r:id="rId8"/>
    <sheet name="Фин.эффективность" sheetId="13" r:id="rId9"/>
    <sheet name="Чувств. NPV" sheetId="14" r:id="rId10"/>
    <sheet name="Сценарии" sheetId="15" r:id="rId11"/>
  </sheets>
  <definedNames>
    <definedName name="solver_adj" localSheetId="8" hidden="1">Фин.эффективность!$B$45</definedName>
    <definedName name="solver_cvg" localSheetId="8" hidden="1">0.0001</definedName>
    <definedName name="solver_drv" localSheetId="8" hidden="1">1</definedName>
    <definedName name="solver_est" localSheetId="8" hidden="1">1</definedName>
    <definedName name="solver_itr" localSheetId="8" hidden="1">100</definedName>
    <definedName name="solver_lhs1" localSheetId="8" hidden="1">Фин.эффективность!$B$37</definedName>
    <definedName name="solver_lin" localSheetId="8" hidden="1">2</definedName>
    <definedName name="solver_neg" localSheetId="8" hidden="1">2</definedName>
    <definedName name="solver_num" localSheetId="8" hidden="1">0</definedName>
    <definedName name="solver_nwt" localSheetId="8" hidden="1">1</definedName>
    <definedName name="solver_opt" localSheetId="8" hidden="1">Фин.эффективность!$H$42</definedName>
    <definedName name="solver_pre" localSheetId="8" hidden="1">0.000001</definedName>
    <definedName name="solver_rel1" localSheetId="8" hidden="1">3</definedName>
    <definedName name="solver_rhs1" localSheetId="8" hidden="1">10</definedName>
    <definedName name="solver_scl" localSheetId="8" hidden="1">2</definedName>
    <definedName name="solver_sho" localSheetId="8" hidden="1">2</definedName>
    <definedName name="solver_tim" localSheetId="8" hidden="1">100</definedName>
    <definedName name="solver_tol" localSheetId="8" hidden="1">0.05</definedName>
    <definedName name="solver_typ" localSheetId="8" hidden="1">3</definedName>
    <definedName name="solver_val" localSheetId="8" hidden="1">0</definedName>
  </definedNames>
  <calcPr calcId="125725"/>
</workbook>
</file>

<file path=xl/calcChain.xml><?xml version="1.0" encoding="utf-8"?>
<calcChain xmlns="http://schemas.openxmlformats.org/spreadsheetml/2006/main">
  <c r="B29" i="15"/>
  <c r="B28"/>
  <c r="B27"/>
  <c r="B26"/>
  <c r="C29" i="14"/>
  <c r="D29"/>
  <c r="E29"/>
  <c r="F29"/>
  <c r="G29"/>
  <c r="H29"/>
  <c r="C30"/>
  <c r="D30"/>
  <c r="E30"/>
  <c r="F30"/>
  <c r="G30"/>
  <c r="H30"/>
  <c r="C31"/>
  <c r="D31"/>
  <c r="E31"/>
  <c r="F31"/>
  <c r="G31"/>
  <c r="H31"/>
  <c r="C32"/>
  <c r="D32"/>
  <c r="E32"/>
  <c r="F32"/>
  <c r="G32"/>
  <c r="H32"/>
  <c r="C33"/>
  <c r="D33"/>
  <c r="E33"/>
  <c r="F33"/>
  <c r="G33"/>
  <c r="H33"/>
  <c r="C34"/>
  <c r="D34"/>
  <c r="E34"/>
  <c r="F34"/>
  <c r="G34"/>
  <c r="H34"/>
  <c r="C35"/>
  <c r="D35"/>
  <c r="E35"/>
  <c r="F35"/>
  <c r="G35"/>
  <c r="H35"/>
  <c r="C36"/>
  <c r="D36"/>
  <c r="E36"/>
  <c r="F36"/>
  <c r="G36"/>
  <c r="H36"/>
  <c r="B30"/>
  <c r="B31"/>
  <c r="B32"/>
  <c r="B33"/>
  <c r="B34"/>
  <c r="B35"/>
  <c r="B36"/>
  <c r="B29"/>
  <c r="C16"/>
  <c r="D16"/>
  <c r="E16"/>
  <c r="F16"/>
  <c r="G16"/>
  <c r="H16"/>
  <c r="C17"/>
  <c r="D17"/>
  <c r="E17"/>
  <c r="F17"/>
  <c r="G17"/>
  <c r="H17"/>
  <c r="C18"/>
  <c r="D18"/>
  <c r="E18"/>
  <c r="F18"/>
  <c r="G18"/>
  <c r="H18"/>
  <c r="C19"/>
  <c r="D19"/>
  <c r="E19"/>
  <c r="F19"/>
  <c r="G19"/>
  <c r="H19"/>
  <c r="C20"/>
  <c r="D20"/>
  <c r="E20"/>
  <c r="F20"/>
  <c r="G20"/>
  <c r="H20"/>
  <c r="C21"/>
  <c r="D21"/>
  <c r="E21"/>
  <c r="F21"/>
  <c r="G21"/>
  <c r="H21"/>
  <c r="C22"/>
  <c r="D22"/>
  <c r="E22"/>
  <c r="F22"/>
  <c r="G22"/>
  <c r="H22"/>
  <c r="C23"/>
  <c r="D23"/>
  <c r="E23"/>
  <c r="F23"/>
  <c r="G23"/>
  <c r="H23"/>
  <c r="B17"/>
  <c r="B18"/>
  <c r="B19"/>
  <c r="B20"/>
  <c r="B21"/>
  <c r="B22"/>
  <c r="B23"/>
  <c r="B16"/>
  <c r="F36" i="7"/>
  <c r="F35"/>
  <c r="I9" i="12" l="1"/>
  <c r="B59" i="13"/>
  <c r="B58"/>
  <c r="C42"/>
  <c r="D42"/>
  <c r="E42"/>
  <c r="F42"/>
  <c r="G41"/>
  <c r="G42" s="1"/>
  <c r="H33"/>
  <c r="H34" s="1"/>
  <c r="B22"/>
  <c r="B15"/>
  <c r="F3"/>
  <c r="F33" s="1"/>
  <c r="F34" s="1"/>
  <c r="E3"/>
  <c r="E33" s="1"/>
  <c r="E34" s="1"/>
  <c r="D3"/>
  <c r="D33" s="1"/>
  <c r="D34" s="1"/>
  <c r="C3"/>
  <c r="I3"/>
  <c r="D41" l="1"/>
  <c r="E41"/>
  <c r="C4"/>
  <c r="C41"/>
  <c r="F41"/>
  <c r="C33"/>
  <c r="C34" s="1"/>
  <c r="E4"/>
  <c r="D4"/>
  <c r="F4"/>
  <c r="D117" i="7"/>
  <c r="BT109"/>
  <c r="BS109"/>
  <c r="BR109"/>
  <c r="BQ109"/>
  <c r="BP100"/>
  <c r="C125"/>
  <c r="B48" i="12" l="1"/>
  <c r="C27"/>
  <c r="D27"/>
  <c r="B27"/>
  <c r="D25"/>
  <c r="B25"/>
  <c r="D24"/>
  <c r="C24"/>
  <c r="B24"/>
  <c r="C38" i="9"/>
  <c r="C33"/>
  <c r="M13" i="5"/>
  <c r="C37" i="9" s="1"/>
  <c r="C22"/>
  <c r="M11" i="5"/>
  <c r="H24" i="9"/>
  <c r="C17" s="1"/>
  <c r="M10" i="5"/>
  <c r="C25" i="12" s="1"/>
  <c r="C39" i="9" l="1"/>
  <c r="C26" i="12"/>
  <c r="C28" s="1"/>
  <c r="B26"/>
  <c r="B28" s="1"/>
  <c r="D26"/>
  <c r="D28" s="1"/>
  <c r="E12" i="8"/>
  <c r="F12"/>
  <c r="BT85" i="7"/>
  <c r="BS85"/>
  <c r="F88"/>
  <c r="F56" i="5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AH56"/>
  <c r="AI56"/>
  <c r="AJ56"/>
  <c r="AK56"/>
  <c r="AL56"/>
  <c r="AM56"/>
  <c r="AN56"/>
  <c r="E56"/>
  <c r="E55"/>
  <c r="F85" i="7" s="1"/>
  <c r="D57" i="5"/>
  <c r="D54"/>
  <c r="G83" i="7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AK83"/>
  <c r="AL83"/>
  <c r="AM83"/>
  <c r="AN83"/>
  <c r="AO83"/>
  <c r="AP83"/>
  <c r="AQ83"/>
  <c r="AR83"/>
  <c r="AS83"/>
  <c r="AT83"/>
  <c r="AU83"/>
  <c r="AV83"/>
  <c r="AW83"/>
  <c r="AX83"/>
  <c r="AY83"/>
  <c r="AZ83"/>
  <c r="BA83"/>
  <c r="BB83"/>
  <c r="BC83"/>
  <c r="BD83"/>
  <c r="BE83"/>
  <c r="BF83"/>
  <c r="BG83"/>
  <c r="BH83"/>
  <c r="BI83"/>
  <c r="BJ83"/>
  <c r="BK83"/>
  <c r="BL83"/>
  <c r="BM83"/>
  <c r="F83"/>
  <c r="BS83" l="1"/>
  <c r="D31" i="12"/>
  <c r="E57" i="5"/>
  <c r="F57" s="1"/>
  <c r="G55" s="1"/>
  <c r="BP83" i="7"/>
  <c r="BQ83"/>
  <c r="BT83"/>
  <c r="BR83"/>
  <c r="BO83"/>
  <c r="E54" i="5"/>
  <c r="BU83" i="7" l="1"/>
  <c r="G57" i="5"/>
  <c r="F55"/>
  <c r="F54" s="1"/>
  <c r="G54"/>
  <c r="H85" i="7"/>
  <c r="G85" l="1"/>
  <c r="H55" i="5"/>
  <c r="H57"/>
  <c r="I57" l="1"/>
  <c r="I55"/>
  <c r="H54"/>
  <c r="I85" i="7"/>
  <c r="J57" i="5" l="1"/>
  <c r="J55"/>
  <c r="J85" i="7"/>
  <c r="I54" i="5"/>
  <c r="K57" l="1"/>
  <c r="K55"/>
  <c r="K85" i="7"/>
  <c r="J54" i="5"/>
  <c r="L57" l="1"/>
  <c r="L55"/>
  <c r="L85" i="7"/>
  <c r="K54" i="5"/>
  <c r="M57" l="1"/>
  <c r="M55"/>
  <c r="M85" i="7"/>
  <c r="L54" i="5"/>
  <c r="N55" l="1"/>
  <c r="N57"/>
  <c r="N85" i="7"/>
  <c r="M54" i="5"/>
  <c r="O85" i="7" l="1"/>
  <c r="N54" i="5"/>
  <c r="O55"/>
  <c r="O57"/>
  <c r="P85" i="7" l="1"/>
  <c r="O54" i="5"/>
  <c r="P55"/>
  <c r="P57"/>
  <c r="Q55" l="1"/>
  <c r="Q57"/>
  <c r="Q85" i="7"/>
  <c r="BP85" s="1"/>
  <c r="B12" i="8" s="1"/>
  <c r="P54" i="5"/>
  <c r="R85" i="7" l="1"/>
  <c r="Q54" i="5"/>
  <c r="R55"/>
  <c r="R57"/>
  <c r="S85" i="7" l="1"/>
  <c r="R54" i="5"/>
  <c r="S57"/>
  <c r="S55"/>
  <c r="T57" l="1"/>
  <c r="T55"/>
  <c r="T85" i="7"/>
  <c r="S54" i="5"/>
  <c r="U85" i="7" l="1"/>
  <c r="T54" i="5"/>
  <c r="U57"/>
  <c r="U55"/>
  <c r="V55" l="1"/>
  <c r="V57"/>
  <c r="V85" i="7"/>
  <c r="U54" i="5"/>
  <c r="W85" i="7" l="1"/>
  <c r="V54" i="5"/>
  <c r="W55"/>
  <c r="W57"/>
  <c r="X85" i="7" l="1"/>
  <c r="W54" i="5"/>
  <c r="X55"/>
  <c r="X57"/>
  <c r="Y85" i="7" l="1"/>
  <c r="X54" i="5"/>
  <c r="Y57"/>
  <c r="Y55"/>
  <c r="Z57" l="1"/>
  <c r="Z55"/>
  <c r="Z85" i="7"/>
  <c r="Y54" i="5"/>
  <c r="AA57" l="1"/>
  <c r="AA55"/>
  <c r="AA85" i="7"/>
  <c r="Z54" i="5"/>
  <c r="AB57" l="1"/>
  <c r="AB55"/>
  <c r="AB85" i="7"/>
  <c r="AA54" i="5"/>
  <c r="AC57" l="1"/>
  <c r="AC55"/>
  <c r="AC85" i="7"/>
  <c r="BQ85" s="1"/>
  <c r="C12" i="8" s="1"/>
  <c r="AB54" i="5"/>
  <c r="AD57" l="1"/>
  <c r="AD55"/>
  <c r="AD85" i="7"/>
  <c r="AC54" i="5"/>
  <c r="AE85" i="7" l="1"/>
  <c r="AD54" i="5"/>
  <c r="AE55"/>
  <c r="AE57"/>
  <c r="AF85" i="7" l="1"/>
  <c r="AE54" i="5"/>
  <c r="AF55"/>
  <c r="AF57"/>
  <c r="AG85" i="7" l="1"/>
  <c r="AF54" i="5"/>
  <c r="AG57"/>
  <c r="AG55"/>
  <c r="AH55" l="1"/>
  <c r="AH57"/>
  <c r="AH85" i="7"/>
  <c r="AG54" i="5"/>
  <c r="AI85" i="7" l="1"/>
  <c r="AH54" i="5"/>
  <c r="AI57"/>
  <c r="AI55"/>
  <c r="AJ57" l="1"/>
  <c r="AJ55"/>
  <c r="AJ85" i="7"/>
  <c r="AI54" i="5"/>
  <c r="AK57" l="1"/>
  <c r="AK55"/>
  <c r="AK85" i="7"/>
  <c r="AJ54" i="5"/>
  <c r="AL57" l="1"/>
  <c r="AL55"/>
  <c r="AL85" i="7"/>
  <c r="AK54" i="5"/>
  <c r="AM85" i="7" l="1"/>
  <c r="AL54" i="5"/>
  <c r="AM55"/>
  <c r="AM57"/>
  <c r="AN85" i="7" l="1"/>
  <c r="AM54" i="5"/>
  <c r="AN55"/>
  <c r="AN57"/>
  <c r="BR85" i="7" l="1"/>
  <c r="D12" i="8" s="1"/>
  <c r="BO85" i="7"/>
  <c r="AO85"/>
  <c r="AN54" i="5"/>
  <c r="C10" i="8"/>
  <c r="D10"/>
  <c r="E10"/>
  <c r="F10"/>
  <c r="B10"/>
  <c r="BQ100" i="7"/>
  <c r="BR100"/>
  <c r="BS100"/>
  <c r="BT100"/>
  <c r="C38" i="8" l="1"/>
  <c r="C42"/>
  <c r="D38"/>
  <c r="D42"/>
  <c r="E38"/>
  <c r="E42"/>
  <c r="F38"/>
  <c r="F42"/>
  <c r="BU85" i="7"/>
  <c r="B42" i="8"/>
  <c r="B38"/>
  <c r="E104" i="7" l="1"/>
  <c r="D8" i="4" l="1"/>
  <c r="D4"/>
  <c r="E3"/>
  <c r="F12"/>
  <c r="F3"/>
  <c r="D3"/>
  <c r="E29" i="5" l="1"/>
  <c r="F61" i="7" s="1"/>
  <c r="BM88"/>
  <c r="BL88"/>
  <c r="BK88"/>
  <c r="BJ88"/>
  <c r="BI88"/>
  <c r="BH88"/>
  <c r="BG88"/>
  <c r="BF88"/>
  <c r="BE88"/>
  <c r="BD88"/>
  <c r="BC88"/>
  <c r="BB88"/>
  <c r="BA88"/>
  <c r="AZ88"/>
  <c r="AY88"/>
  <c r="AX88"/>
  <c r="AW88"/>
  <c r="AV88"/>
  <c r="AU88"/>
  <c r="AT88"/>
  <c r="AS88"/>
  <c r="AR88"/>
  <c r="AQ88"/>
  <c r="AP88"/>
  <c r="AO88"/>
  <c r="AN88"/>
  <c r="AM88"/>
  <c r="AL88"/>
  <c r="AK88"/>
  <c r="AJ88"/>
  <c r="AI88"/>
  <c r="AH88"/>
  <c r="AG88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I88"/>
  <c r="H88"/>
  <c r="G88"/>
  <c r="F79"/>
  <c r="F78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J65"/>
  <c r="AK65"/>
  <c r="AL65"/>
  <c r="AM65"/>
  <c r="AN65"/>
  <c r="AO65"/>
  <c r="AP65"/>
  <c r="AQ65"/>
  <c r="AR65"/>
  <c r="AS65"/>
  <c r="AT65"/>
  <c r="AU65"/>
  <c r="AV65"/>
  <c r="AW65"/>
  <c r="AX65"/>
  <c r="AY65"/>
  <c r="AZ65"/>
  <c r="BA65"/>
  <c r="BB65"/>
  <c r="BC65"/>
  <c r="BD65"/>
  <c r="BE65"/>
  <c r="BF65"/>
  <c r="BG65"/>
  <c r="BH65"/>
  <c r="BI65"/>
  <c r="BJ65"/>
  <c r="BK65"/>
  <c r="BL65"/>
  <c r="BM65"/>
  <c r="G65"/>
  <c r="F65"/>
  <c r="F60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AH55"/>
  <c r="AI55"/>
  <c r="AJ55"/>
  <c r="AK55"/>
  <c r="AL55"/>
  <c r="AM55"/>
  <c r="AN55"/>
  <c r="AO55"/>
  <c r="AP55"/>
  <c r="AQ55"/>
  <c r="AR55"/>
  <c r="AS55"/>
  <c r="AT55"/>
  <c r="AU55"/>
  <c r="AV55"/>
  <c r="AW55"/>
  <c r="AX55"/>
  <c r="AY55"/>
  <c r="AZ55"/>
  <c r="BA55"/>
  <c r="BB55"/>
  <c r="BC55"/>
  <c r="BD55"/>
  <c r="BE55"/>
  <c r="BF55"/>
  <c r="BG55"/>
  <c r="BH55"/>
  <c r="BI55"/>
  <c r="BJ55"/>
  <c r="BK55"/>
  <c r="BL55"/>
  <c r="BM55"/>
  <c r="F55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J50"/>
  <c r="AK50"/>
  <c r="AL50"/>
  <c r="AM50"/>
  <c r="AN50"/>
  <c r="AO50"/>
  <c r="AP50"/>
  <c r="AQ50"/>
  <c r="AR50"/>
  <c r="AS50"/>
  <c r="AT50"/>
  <c r="AU50"/>
  <c r="AV50"/>
  <c r="AW50"/>
  <c r="AX50"/>
  <c r="AY50"/>
  <c r="AZ50"/>
  <c r="BA50"/>
  <c r="BB50"/>
  <c r="BC50"/>
  <c r="BD50"/>
  <c r="BE50"/>
  <c r="BF50"/>
  <c r="BG50"/>
  <c r="BH50"/>
  <c r="BI50"/>
  <c r="BJ50"/>
  <c r="BK50"/>
  <c r="BL50"/>
  <c r="BM50"/>
  <c r="F50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AJ51"/>
  <c r="AK51"/>
  <c r="AL51"/>
  <c r="AM51"/>
  <c r="AN51"/>
  <c r="AO51"/>
  <c r="AP51"/>
  <c r="AQ51"/>
  <c r="AR51"/>
  <c r="AS51"/>
  <c r="AT51"/>
  <c r="AU51"/>
  <c r="AV51"/>
  <c r="AW51"/>
  <c r="AX51"/>
  <c r="AY51"/>
  <c r="AZ51"/>
  <c r="BA51"/>
  <c r="BB51"/>
  <c r="BC51"/>
  <c r="BD51"/>
  <c r="BE51"/>
  <c r="BF51"/>
  <c r="BG51"/>
  <c r="BH51"/>
  <c r="BI51"/>
  <c r="BJ51"/>
  <c r="BK51"/>
  <c r="BL51"/>
  <c r="BM51"/>
  <c r="F51"/>
  <c r="F52" s="1"/>
  <c r="G45"/>
  <c r="G49" s="1"/>
  <c r="H45"/>
  <c r="H49" s="1"/>
  <c r="I45"/>
  <c r="I49" s="1"/>
  <c r="J45"/>
  <c r="J49" s="1"/>
  <c r="K45"/>
  <c r="K49" s="1"/>
  <c r="L45"/>
  <c r="L49" s="1"/>
  <c r="M45"/>
  <c r="M49" s="1"/>
  <c r="N45"/>
  <c r="N49" s="1"/>
  <c r="O45"/>
  <c r="O49" s="1"/>
  <c r="P45"/>
  <c r="P49" s="1"/>
  <c r="Q45"/>
  <c r="Q49" s="1"/>
  <c r="R45"/>
  <c r="R49" s="1"/>
  <c r="S45"/>
  <c r="S49" s="1"/>
  <c r="T45"/>
  <c r="T49" s="1"/>
  <c r="U45"/>
  <c r="U49" s="1"/>
  <c r="V45"/>
  <c r="V49" s="1"/>
  <c r="W45"/>
  <c r="W49" s="1"/>
  <c r="X45"/>
  <c r="X49" s="1"/>
  <c r="Y45"/>
  <c r="Y49" s="1"/>
  <c r="Z45"/>
  <c r="Z49" s="1"/>
  <c r="AA45"/>
  <c r="AA49" s="1"/>
  <c r="AB45"/>
  <c r="AB49" s="1"/>
  <c r="AC45"/>
  <c r="AC49" s="1"/>
  <c r="AD45"/>
  <c r="AD49" s="1"/>
  <c r="AE45"/>
  <c r="AE49" s="1"/>
  <c r="AF45"/>
  <c r="AF49" s="1"/>
  <c r="AG45"/>
  <c r="AG49" s="1"/>
  <c r="AH45"/>
  <c r="AH49" s="1"/>
  <c r="AI45"/>
  <c r="AI49" s="1"/>
  <c r="AJ45"/>
  <c r="AJ49" s="1"/>
  <c r="AK45"/>
  <c r="AK49" s="1"/>
  <c r="AL45"/>
  <c r="AL49" s="1"/>
  <c r="AM45"/>
  <c r="AM49" s="1"/>
  <c r="AN45"/>
  <c r="AN49" s="1"/>
  <c r="AO45"/>
  <c r="AO49" s="1"/>
  <c r="AP45"/>
  <c r="AP49" s="1"/>
  <c r="AQ45"/>
  <c r="AQ49" s="1"/>
  <c r="AR45"/>
  <c r="AR49" s="1"/>
  <c r="AS45"/>
  <c r="AS49" s="1"/>
  <c r="AT45"/>
  <c r="AT49" s="1"/>
  <c r="AU45"/>
  <c r="AU49" s="1"/>
  <c r="AV45"/>
  <c r="AV49" s="1"/>
  <c r="AW45"/>
  <c r="AW49" s="1"/>
  <c r="AX45"/>
  <c r="AX49" s="1"/>
  <c r="AY45"/>
  <c r="AY49" s="1"/>
  <c r="AZ45"/>
  <c r="AZ49" s="1"/>
  <c r="BA45"/>
  <c r="BA49" s="1"/>
  <c r="BB45"/>
  <c r="BB49" s="1"/>
  <c r="BC45"/>
  <c r="BC49" s="1"/>
  <c r="BD45"/>
  <c r="BD49" s="1"/>
  <c r="BE45"/>
  <c r="BE49" s="1"/>
  <c r="BF45"/>
  <c r="BF49" s="1"/>
  <c r="BG45"/>
  <c r="BG49" s="1"/>
  <c r="BH45"/>
  <c r="BH49" s="1"/>
  <c r="BI45"/>
  <c r="BI49" s="1"/>
  <c r="BJ45"/>
  <c r="BJ49" s="1"/>
  <c r="BK45"/>
  <c r="BK49" s="1"/>
  <c r="BL45"/>
  <c r="BL49" s="1"/>
  <c r="BM45"/>
  <c r="BM49" s="1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J46"/>
  <c r="AK46"/>
  <c r="AL46"/>
  <c r="AM46"/>
  <c r="AN46"/>
  <c r="AO46"/>
  <c r="AP46"/>
  <c r="AQ46"/>
  <c r="AR46"/>
  <c r="AS46"/>
  <c r="AT46"/>
  <c r="AU46"/>
  <c r="AV46"/>
  <c r="AW46"/>
  <c r="AX46"/>
  <c r="AY46"/>
  <c r="AZ46"/>
  <c r="BA46"/>
  <c r="BB46"/>
  <c r="BC46"/>
  <c r="BD46"/>
  <c r="BE46"/>
  <c r="BF46"/>
  <c r="BG46"/>
  <c r="BH46"/>
  <c r="BI46"/>
  <c r="BJ46"/>
  <c r="BK46"/>
  <c r="BL46"/>
  <c r="BM46"/>
  <c r="F46"/>
  <c r="F45"/>
  <c r="F49" s="1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AK39"/>
  <c r="AL39"/>
  <c r="AM39"/>
  <c r="AN39"/>
  <c r="AO39"/>
  <c r="AP39"/>
  <c r="AQ39"/>
  <c r="AR39"/>
  <c r="AS39"/>
  <c r="AT39"/>
  <c r="AU39"/>
  <c r="AV39"/>
  <c r="AW39"/>
  <c r="AX39"/>
  <c r="AY39"/>
  <c r="AZ39"/>
  <c r="BA39"/>
  <c r="BB39"/>
  <c r="BC39"/>
  <c r="BD39"/>
  <c r="BE39"/>
  <c r="BF39"/>
  <c r="BG39"/>
  <c r="BH39"/>
  <c r="BI39"/>
  <c r="BJ39"/>
  <c r="BK39"/>
  <c r="BL39"/>
  <c r="BM39"/>
  <c r="F39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AP35"/>
  <c r="AQ35"/>
  <c r="AR35"/>
  <c r="AS35"/>
  <c r="AT35"/>
  <c r="AU35"/>
  <c r="AV35"/>
  <c r="AW35"/>
  <c r="AX35"/>
  <c r="AY35"/>
  <c r="AZ35"/>
  <c r="BA35"/>
  <c r="BB35"/>
  <c r="BC35"/>
  <c r="BD35"/>
  <c r="BE35"/>
  <c r="BF35"/>
  <c r="BG35"/>
  <c r="BH35"/>
  <c r="BI35"/>
  <c r="BJ35"/>
  <c r="BK35"/>
  <c r="BL35"/>
  <c r="BM35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AP27"/>
  <c r="AQ27"/>
  <c r="AR27"/>
  <c r="AS27"/>
  <c r="AT27"/>
  <c r="AU27"/>
  <c r="AV27"/>
  <c r="AW27"/>
  <c r="AX27"/>
  <c r="AY27"/>
  <c r="AZ27"/>
  <c r="BA27"/>
  <c r="BB27"/>
  <c r="BC27"/>
  <c r="BD27"/>
  <c r="BE27"/>
  <c r="BF27"/>
  <c r="BG27"/>
  <c r="BH27"/>
  <c r="BI27"/>
  <c r="BJ27"/>
  <c r="BK27"/>
  <c r="BL27"/>
  <c r="BM27"/>
  <c r="F27"/>
  <c r="BC26"/>
  <c r="BD26"/>
  <c r="BE26"/>
  <c r="BF26"/>
  <c r="BG26"/>
  <c r="BH26"/>
  <c r="BI26"/>
  <c r="BJ26"/>
  <c r="BK26"/>
  <c r="BL26"/>
  <c r="BM26"/>
  <c r="BB26"/>
  <c r="AQ26"/>
  <c r="AR26"/>
  <c r="AS26"/>
  <c r="AT26"/>
  <c r="AU26"/>
  <c r="AV26"/>
  <c r="AW26"/>
  <c r="AX26"/>
  <c r="AY26"/>
  <c r="AZ26"/>
  <c r="BA26"/>
  <c r="AP26"/>
  <c r="AE26"/>
  <c r="AF26"/>
  <c r="AG26"/>
  <c r="AH26"/>
  <c r="AI26"/>
  <c r="AJ26"/>
  <c r="AK26"/>
  <c r="AL26"/>
  <c r="AM26"/>
  <c r="AN26"/>
  <c r="AO26"/>
  <c r="AD26"/>
  <c r="S26"/>
  <c r="T26"/>
  <c r="U26"/>
  <c r="V26"/>
  <c r="W26"/>
  <c r="X26"/>
  <c r="Y26"/>
  <c r="Z26"/>
  <c r="AA26"/>
  <c r="AB26"/>
  <c r="AC26"/>
  <c r="R26"/>
  <c r="J26"/>
  <c r="K26"/>
  <c r="L26"/>
  <c r="M26"/>
  <c r="N26"/>
  <c r="O26"/>
  <c r="P26"/>
  <c r="Q26"/>
  <c r="I26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AM25"/>
  <c r="AN25"/>
  <c r="AO25"/>
  <c r="AP25"/>
  <c r="AQ25"/>
  <c r="AR25"/>
  <c r="AS25"/>
  <c r="AT25"/>
  <c r="AU25"/>
  <c r="AV25"/>
  <c r="AW25"/>
  <c r="AX25"/>
  <c r="AY25"/>
  <c r="AZ25"/>
  <c r="BA25"/>
  <c r="BB25"/>
  <c r="BC25"/>
  <c r="BD25"/>
  <c r="BE25"/>
  <c r="BF25"/>
  <c r="BG25"/>
  <c r="BH25"/>
  <c r="BI25"/>
  <c r="BJ25"/>
  <c r="BK25"/>
  <c r="BL25"/>
  <c r="BM25"/>
  <c r="F25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AM20"/>
  <c r="AN20"/>
  <c r="AO20"/>
  <c r="AP20"/>
  <c r="AQ20"/>
  <c r="AR20"/>
  <c r="AS20"/>
  <c r="AT20"/>
  <c r="AU20"/>
  <c r="AV20"/>
  <c r="AW20"/>
  <c r="AX20"/>
  <c r="AY20"/>
  <c r="AZ20"/>
  <c r="BA20"/>
  <c r="BB20"/>
  <c r="BC20"/>
  <c r="BD20"/>
  <c r="BE20"/>
  <c r="BF20"/>
  <c r="BG20"/>
  <c r="BH20"/>
  <c r="BI20"/>
  <c r="BJ20"/>
  <c r="BK20"/>
  <c r="BL20"/>
  <c r="BM20"/>
  <c r="F20"/>
  <c r="BC19"/>
  <c r="BD19"/>
  <c r="BE19"/>
  <c r="BF19"/>
  <c r="BG19"/>
  <c r="BH19"/>
  <c r="BI19"/>
  <c r="BJ19"/>
  <c r="BK19"/>
  <c r="BL19"/>
  <c r="BM19"/>
  <c r="BB19"/>
  <c r="AQ19"/>
  <c r="AR19"/>
  <c r="AS19"/>
  <c r="AT19"/>
  <c r="AU19"/>
  <c r="AV19"/>
  <c r="AW19"/>
  <c r="AX19"/>
  <c r="AY19"/>
  <c r="AZ19"/>
  <c r="BA19"/>
  <c r="AP19"/>
  <c r="AE19"/>
  <c r="AF19"/>
  <c r="AG19"/>
  <c r="AH19"/>
  <c r="AI19"/>
  <c r="AJ19"/>
  <c r="AK19"/>
  <c r="AL19"/>
  <c r="AM19"/>
  <c r="AN19"/>
  <c r="AO19"/>
  <c r="AD19"/>
  <c r="S19"/>
  <c r="T19"/>
  <c r="U19"/>
  <c r="V19"/>
  <c r="W19"/>
  <c r="X19"/>
  <c r="Y19"/>
  <c r="Z19"/>
  <c r="AA19"/>
  <c r="AB19"/>
  <c r="AC19"/>
  <c r="R19"/>
  <c r="I19"/>
  <c r="J19"/>
  <c r="K19"/>
  <c r="L19"/>
  <c r="M19"/>
  <c r="N19"/>
  <c r="O19"/>
  <c r="P19"/>
  <c r="Q19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AU18"/>
  <c r="AV18"/>
  <c r="AW18"/>
  <c r="AX18"/>
  <c r="AY18"/>
  <c r="AZ18"/>
  <c r="BA18"/>
  <c r="BB18"/>
  <c r="BC18"/>
  <c r="BD18"/>
  <c r="BE18"/>
  <c r="BF18"/>
  <c r="BG18"/>
  <c r="BH18"/>
  <c r="BI18"/>
  <c r="BJ18"/>
  <c r="BK18"/>
  <c r="BL18"/>
  <c r="BM18"/>
  <c r="F18"/>
  <c r="BC4"/>
  <c r="BC5" s="1"/>
  <c r="BD4"/>
  <c r="BD5" s="1"/>
  <c r="BE4"/>
  <c r="BE5" s="1"/>
  <c r="BF4"/>
  <c r="BG4"/>
  <c r="BG5" s="1"/>
  <c r="BH4"/>
  <c r="BH5" s="1"/>
  <c r="BI4"/>
  <c r="BI5" s="1"/>
  <c r="BJ4"/>
  <c r="BK4"/>
  <c r="BK5" s="1"/>
  <c r="BL4"/>
  <c r="BL5" s="1"/>
  <c r="BM4"/>
  <c r="BM5" s="1"/>
  <c r="BB4"/>
  <c r="BB5" s="1"/>
  <c r="AQ4"/>
  <c r="AQ5" s="1"/>
  <c r="AR4"/>
  <c r="AR5" s="1"/>
  <c r="AS4"/>
  <c r="AS5" s="1"/>
  <c r="AT4"/>
  <c r="AT5" s="1"/>
  <c r="AU4"/>
  <c r="AU5" s="1"/>
  <c r="AV4"/>
  <c r="AV5" s="1"/>
  <c r="AW4"/>
  <c r="AW5" s="1"/>
  <c r="AX4"/>
  <c r="AX5" s="1"/>
  <c r="AY4"/>
  <c r="AY5" s="1"/>
  <c r="AZ4"/>
  <c r="AZ5" s="1"/>
  <c r="BA4"/>
  <c r="BA5" s="1"/>
  <c r="AP4"/>
  <c r="AE4"/>
  <c r="AE5" s="1"/>
  <c r="AF4"/>
  <c r="AF5" s="1"/>
  <c r="AG4"/>
  <c r="AG5" s="1"/>
  <c r="AH4"/>
  <c r="AI4"/>
  <c r="AI5" s="1"/>
  <c r="AJ4"/>
  <c r="AJ5" s="1"/>
  <c r="AK4"/>
  <c r="AK5" s="1"/>
  <c r="AL4"/>
  <c r="AM4"/>
  <c r="AM5" s="1"/>
  <c r="AN4"/>
  <c r="AN5" s="1"/>
  <c r="AO4"/>
  <c r="AO5" s="1"/>
  <c r="AD4"/>
  <c r="S4"/>
  <c r="S5" s="1"/>
  <c r="T4"/>
  <c r="T5" s="1"/>
  <c r="U4"/>
  <c r="U5" s="1"/>
  <c r="V4"/>
  <c r="W4"/>
  <c r="W5" s="1"/>
  <c r="X4"/>
  <c r="X5" s="1"/>
  <c r="Y4"/>
  <c r="Y5" s="1"/>
  <c r="Z4"/>
  <c r="Z5" s="1"/>
  <c r="AA4"/>
  <c r="AA5" s="1"/>
  <c r="AB4"/>
  <c r="AB5" s="1"/>
  <c r="AC4"/>
  <c r="AC5" s="1"/>
  <c r="R4"/>
  <c r="R5" s="1"/>
  <c r="G4"/>
  <c r="G5" s="1"/>
  <c r="H4"/>
  <c r="H5" s="1"/>
  <c r="I4"/>
  <c r="I5" s="1"/>
  <c r="J4"/>
  <c r="J5" s="1"/>
  <c r="K4"/>
  <c r="K5" s="1"/>
  <c r="L4"/>
  <c r="L5" s="1"/>
  <c r="M4"/>
  <c r="M5" s="1"/>
  <c r="N4"/>
  <c r="N5" s="1"/>
  <c r="O4"/>
  <c r="O5" s="1"/>
  <c r="P4"/>
  <c r="P5" s="1"/>
  <c r="Q4"/>
  <c r="Q5" s="1"/>
  <c r="F4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AP13"/>
  <c r="AQ13"/>
  <c r="AR13"/>
  <c r="AS13"/>
  <c r="AT13"/>
  <c r="AU13"/>
  <c r="AV13"/>
  <c r="AW13"/>
  <c r="AX13"/>
  <c r="AY13"/>
  <c r="AZ13"/>
  <c r="BA13"/>
  <c r="BB13"/>
  <c r="BC13"/>
  <c r="BD13"/>
  <c r="BE13"/>
  <c r="BF13"/>
  <c r="BG13"/>
  <c r="BH13"/>
  <c r="BI13"/>
  <c r="BJ13"/>
  <c r="BK13"/>
  <c r="BL13"/>
  <c r="BM13"/>
  <c r="F13"/>
  <c r="BC12"/>
  <c r="BD12"/>
  <c r="BE12"/>
  <c r="BF12"/>
  <c r="BG12"/>
  <c r="BH12"/>
  <c r="BI12"/>
  <c r="BJ12"/>
  <c r="BK12"/>
  <c r="BL12"/>
  <c r="BM12"/>
  <c r="BB12"/>
  <c r="AQ12"/>
  <c r="AR12"/>
  <c r="AS12"/>
  <c r="AT12"/>
  <c r="AU12"/>
  <c r="AV12"/>
  <c r="AW12"/>
  <c r="AX12"/>
  <c r="AY12"/>
  <c r="AZ12"/>
  <c r="BA12"/>
  <c r="AP12"/>
  <c r="AE12"/>
  <c r="AF12"/>
  <c r="AG12"/>
  <c r="AH12"/>
  <c r="AI12"/>
  <c r="AJ12"/>
  <c r="AK12"/>
  <c r="AL12"/>
  <c r="AM12"/>
  <c r="AN12"/>
  <c r="AO12"/>
  <c r="AD12"/>
  <c r="S12"/>
  <c r="T12"/>
  <c r="U12"/>
  <c r="V12"/>
  <c r="W12"/>
  <c r="X12"/>
  <c r="Y12"/>
  <c r="Z12"/>
  <c r="AA12"/>
  <c r="AB12"/>
  <c r="AC12"/>
  <c r="R12"/>
  <c r="J12"/>
  <c r="K12"/>
  <c r="L12"/>
  <c r="M12"/>
  <c r="N12"/>
  <c r="O12"/>
  <c r="P12"/>
  <c r="Q12"/>
  <c r="I12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AN11"/>
  <c r="AO11"/>
  <c r="AP11"/>
  <c r="AQ11"/>
  <c r="AR11"/>
  <c r="AS11"/>
  <c r="AT11"/>
  <c r="AU11"/>
  <c r="AV11"/>
  <c r="AW11"/>
  <c r="AX11"/>
  <c r="AY11"/>
  <c r="AZ11"/>
  <c r="BA11"/>
  <c r="BB11"/>
  <c r="BC11"/>
  <c r="BD11"/>
  <c r="BE11"/>
  <c r="BF11"/>
  <c r="BG11"/>
  <c r="BH11"/>
  <c r="BI11"/>
  <c r="BJ11"/>
  <c r="BK11"/>
  <c r="BL11"/>
  <c r="BM11"/>
  <c r="F11"/>
  <c r="G7"/>
  <c r="G15" s="1"/>
  <c r="H7"/>
  <c r="H29" s="1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AP7"/>
  <c r="AQ7"/>
  <c r="AR7"/>
  <c r="AS7"/>
  <c r="AT7"/>
  <c r="AU7"/>
  <c r="AV7"/>
  <c r="AW7"/>
  <c r="AX7"/>
  <c r="AY7"/>
  <c r="AZ7"/>
  <c r="BA7"/>
  <c r="BB7"/>
  <c r="BC7"/>
  <c r="BD7"/>
  <c r="BE7"/>
  <c r="BF7"/>
  <c r="BG7"/>
  <c r="BH7"/>
  <c r="BI7"/>
  <c r="BJ7"/>
  <c r="BK7"/>
  <c r="BL7"/>
  <c r="BM7"/>
  <c r="F7"/>
  <c r="F15" s="1"/>
  <c r="E66" i="1"/>
  <c r="G19" i="6"/>
  <c r="G20"/>
  <c r="G21"/>
  <c r="G22"/>
  <c r="G23"/>
  <c r="G17" s="1"/>
  <c r="G24"/>
  <c r="G25"/>
  <c r="G26"/>
  <c r="G18"/>
  <c r="F15"/>
  <c r="G15" s="1"/>
  <c r="F14"/>
  <c r="G14" s="1"/>
  <c r="F13"/>
  <c r="F12"/>
  <c r="F11"/>
  <c r="E13"/>
  <c r="E12"/>
  <c r="G12" s="1"/>
  <c r="E11"/>
  <c r="F5"/>
  <c r="G5" s="1"/>
  <c r="F6"/>
  <c r="G6" s="1"/>
  <c r="F7"/>
  <c r="G7" s="1"/>
  <c r="F8"/>
  <c r="G8" s="1"/>
  <c r="F4"/>
  <c r="G4" s="1"/>
  <c r="E37" i="5"/>
  <c r="E32"/>
  <c r="N69" i="7" s="1"/>
  <c r="G13" i="6" l="1"/>
  <c r="G11"/>
  <c r="BK69" i="7"/>
  <c r="BC69"/>
  <c r="AU69"/>
  <c r="AM69"/>
  <c r="AE69"/>
  <c r="W69"/>
  <c r="O69"/>
  <c r="G69"/>
  <c r="BL69"/>
  <c r="BD69"/>
  <c r="AV69"/>
  <c r="AN69"/>
  <c r="AF69"/>
  <c r="X69"/>
  <c r="P69"/>
  <c r="H69"/>
  <c r="BM69"/>
  <c r="BE69"/>
  <c r="AW69"/>
  <c r="AO69"/>
  <c r="AG69"/>
  <c r="Y69"/>
  <c r="Q69"/>
  <c r="I69"/>
  <c r="F69"/>
  <c r="BF69"/>
  <c r="AX69"/>
  <c r="AP69"/>
  <c r="AH69"/>
  <c r="Z69"/>
  <c r="R69"/>
  <c r="J69"/>
  <c r="BG69"/>
  <c r="AY69"/>
  <c r="AQ69"/>
  <c r="AI69"/>
  <c r="AA69"/>
  <c r="S69"/>
  <c r="K69"/>
  <c r="BH69"/>
  <c r="AZ69"/>
  <c r="AR69"/>
  <c r="AJ69"/>
  <c r="AB69"/>
  <c r="T69"/>
  <c r="L69"/>
  <c r="BI69"/>
  <c r="BA69"/>
  <c r="AS69"/>
  <c r="AK69"/>
  <c r="AC69"/>
  <c r="U69"/>
  <c r="M69"/>
  <c r="BJ69"/>
  <c r="BB69"/>
  <c r="AT69"/>
  <c r="AL69"/>
  <c r="AD69"/>
  <c r="V69"/>
  <c r="G52"/>
  <c r="G48" s="1"/>
  <c r="W15"/>
  <c r="AM15"/>
  <c r="X15"/>
  <c r="AN15"/>
  <c r="AF15"/>
  <c r="AV15"/>
  <c r="BL15"/>
  <c r="BD15"/>
  <c r="H15"/>
  <c r="P22"/>
  <c r="X29"/>
  <c r="AN29"/>
  <c r="AF29"/>
  <c r="AV29"/>
  <c r="BL29"/>
  <c r="BD29"/>
  <c r="F48"/>
  <c r="AB15"/>
  <c r="T15"/>
  <c r="AJ15"/>
  <c r="AZ15"/>
  <c r="AR15"/>
  <c r="BH15"/>
  <c r="L22"/>
  <c r="AB29"/>
  <c r="T29"/>
  <c r="AJ29"/>
  <c r="AZ29"/>
  <c r="AR29"/>
  <c r="BH29"/>
  <c r="AE15"/>
  <c r="K15"/>
  <c r="I22"/>
  <c r="AM22"/>
  <c r="AE22"/>
  <c r="BK22"/>
  <c r="G22"/>
  <c r="L15"/>
  <c r="Y15"/>
  <c r="AO15"/>
  <c r="AG15"/>
  <c r="AW15"/>
  <c r="BM15"/>
  <c r="BE15"/>
  <c r="J22"/>
  <c r="X22"/>
  <c r="AN22"/>
  <c r="AF22"/>
  <c r="AV22"/>
  <c r="BL22"/>
  <c r="BD22"/>
  <c r="H22"/>
  <c r="P29"/>
  <c r="AC29"/>
  <c r="U29"/>
  <c r="AK29"/>
  <c r="BA29"/>
  <c r="AS29"/>
  <c r="BI29"/>
  <c r="M15"/>
  <c r="Z15"/>
  <c r="AD15"/>
  <c r="AH15"/>
  <c r="AX15"/>
  <c r="BB15"/>
  <c r="BF15"/>
  <c r="K22"/>
  <c r="Y22"/>
  <c r="AO22"/>
  <c r="AG22"/>
  <c r="AW22"/>
  <c r="BM22"/>
  <c r="BE22"/>
  <c r="F22"/>
  <c r="Q29"/>
  <c r="R29"/>
  <c r="V29"/>
  <c r="AL29"/>
  <c r="AP29"/>
  <c r="AT29"/>
  <c r="BJ29"/>
  <c r="N15"/>
  <c r="AA15"/>
  <c r="S15"/>
  <c r="AI15"/>
  <c r="AY15"/>
  <c r="AQ15"/>
  <c r="BG15"/>
  <c r="Z22"/>
  <c r="AD22"/>
  <c r="AH22"/>
  <c r="AX22"/>
  <c r="BB22"/>
  <c r="BF22"/>
  <c r="I29"/>
  <c r="J29"/>
  <c r="W29"/>
  <c r="AM29"/>
  <c r="AE29"/>
  <c r="AU29"/>
  <c r="BK29"/>
  <c r="BC29"/>
  <c r="AA22"/>
  <c r="AY22"/>
  <c r="BG22"/>
  <c r="K29"/>
  <c r="G29"/>
  <c r="O15"/>
  <c r="M22"/>
  <c r="S22"/>
  <c r="AI22"/>
  <c r="AQ22"/>
  <c r="P15"/>
  <c r="AC15"/>
  <c r="U15"/>
  <c r="AK15"/>
  <c r="BA15"/>
  <c r="AS15"/>
  <c r="BI15"/>
  <c r="N22"/>
  <c r="AB22"/>
  <c r="T22"/>
  <c r="AJ22"/>
  <c r="AZ22"/>
  <c r="AR22"/>
  <c r="BH22"/>
  <c r="L29"/>
  <c r="Y29"/>
  <c r="AO29"/>
  <c r="AG29"/>
  <c r="AW29"/>
  <c r="BM29"/>
  <c r="BE29"/>
  <c r="Q15"/>
  <c r="R15"/>
  <c r="V15"/>
  <c r="AL15"/>
  <c r="AP15"/>
  <c r="AT15"/>
  <c r="BJ15"/>
  <c r="O22"/>
  <c r="AC22"/>
  <c r="U22"/>
  <c r="AK22"/>
  <c r="BA22"/>
  <c r="AS22"/>
  <c r="BI22"/>
  <c r="M29"/>
  <c r="Z29"/>
  <c r="AD29"/>
  <c r="AH29"/>
  <c r="AX29"/>
  <c r="BB29"/>
  <c r="BF29"/>
  <c r="F29"/>
  <c r="I15"/>
  <c r="J15"/>
  <c r="AU15"/>
  <c r="BK15"/>
  <c r="BC15"/>
  <c r="R22"/>
  <c r="V22"/>
  <c r="AL22"/>
  <c r="AP22"/>
  <c r="AT22"/>
  <c r="BJ22"/>
  <c r="N29"/>
  <c r="AA29"/>
  <c r="S29"/>
  <c r="AI29"/>
  <c r="AY29"/>
  <c r="AQ29"/>
  <c r="BG29"/>
  <c r="Q22"/>
  <c r="W22"/>
  <c r="AU22"/>
  <c r="BC22"/>
  <c r="O29"/>
  <c r="V5"/>
  <c r="AD5"/>
  <c r="AP5"/>
  <c r="BF5"/>
  <c r="BJ5"/>
  <c r="F5"/>
  <c r="F6" s="1"/>
  <c r="AH5"/>
  <c r="AL5"/>
  <c r="G10" i="6"/>
  <c r="G3"/>
  <c r="G28" l="1"/>
  <c r="C22" i="8"/>
  <c r="B22"/>
  <c r="F22"/>
  <c r="E22"/>
  <c r="D22"/>
  <c r="F31" i="7"/>
  <c r="F34" s="1"/>
  <c r="H31"/>
  <c r="H34" s="1"/>
  <c r="BD31"/>
  <c r="BD34" s="1"/>
  <c r="BL31"/>
  <c r="BL34" s="1"/>
  <c r="F40"/>
  <c r="F38" s="1"/>
  <c r="F81"/>
  <c r="H52"/>
  <c r="I52" s="1"/>
  <c r="J52" s="1"/>
  <c r="K52" s="1"/>
  <c r="L52" s="1"/>
  <c r="M52" s="1"/>
  <c r="N52" s="1"/>
  <c r="O52" s="1"/>
  <c r="P52" s="1"/>
  <c r="Q52" s="1"/>
  <c r="R52" s="1"/>
  <c r="S52" s="1"/>
  <c r="T52" s="1"/>
  <c r="U52" s="1"/>
  <c r="V52" s="1"/>
  <c r="W52" s="1"/>
  <c r="X52" s="1"/>
  <c r="Y52" s="1"/>
  <c r="Z52" s="1"/>
  <c r="AA52" s="1"/>
  <c r="AB52" s="1"/>
  <c r="AC52" s="1"/>
  <c r="AD52" s="1"/>
  <c r="AE52" s="1"/>
  <c r="AF52" s="1"/>
  <c r="AG52" s="1"/>
  <c r="AH52" s="1"/>
  <c r="AI52" s="1"/>
  <c r="AJ52" s="1"/>
  <c r="AK52" s="1"/>
  <c r="AL52" s="1"/>
  <c r="AM52" s="1"/>
  <c r="AN52" s="1"/>
  <c r="AO52" s="1"/>
  <c r="AP52" s="1"/>
  <c r="AQ52" s="1"/>
  <c r="AR52" s="1"/>
  <c r="AS52" s="1"/>
  <c r="AT52" s="1"/>
  <c r="AU52" s="1"/>
  <c r="AV52" s="1"/>
  <c r="AW52" s="1"/>
  <c r="AX52" s="1"/>
  <c r="AY52" s="1"/>
  <c r="AZ52" s="1"/>
  <c r="BA52" s="1"/>
  <c r="BB52" s="1"/>
  <c r="BC52" s="1"/>
  <c r="BD52" s="1"/>
  <c r="BE52" s="1"/>
  <c r="BF52" s="1"/>
  <c r="BG52" s="1"/>
  <c r="BH52" s="1"/>
  <c r="BI52" s="1"/>
  <c r="BJ52" s="1"/>
  <c r="BK52" s="1"/>
  <c r="BL52" s="1"/>
  <c r="BM52" s="1"/>
  <c r="BM48" s="1"/>
  <c r="X31"/>
  <c r="X34" s="1"/>
  <c r="AF31"/>
  <c r="AF34" s="1"/>
  <c r="AN31"/>
  <c r="AN34" s="1"/>
  <c r="AV31"/>
  <c r="AV34" s="1"/>
  <c r="F68"/>
  <c r="G31"/>
  <c r="G34" s="1"/>
  <c r="AB31"/>
  <c r="AB34" s="1"/>
  <c r="AP31"/>
  <c r="AP34" s="1"/>
  <c r="BK31"/>
  <c r="BK34" s="1"/>
  <c r="AA31"/>
  <c r="AA34" s="1"/>
  <c r="BM31"/>
  <c r="BM34" s="1"/>
  <c r="P31"/>
  <c r="P34" s="1"/>
  <c r="BJ31"/>
  <c r="BJ34" s="1"/>
  <c r="AH31"/>
  <c r="AH34" s="1"/>
  <c r="AX31"/>
  <c r="AX34" s="1"/>
  <c r="AE31"/>
  <c r="AE34" s="1"/>
  <c r="Y31"/>
  <c r="Y34" s="1"/>
  <c r="AM31"/>
  <c r="AM34" s="1"/>
  <c r="AO31"/>
  <c r="AO34" s="1"/>
  <c r="AU31"/>
  <c r="AU34" s="1"/>
  <c r="U31"/>
  <c r="U34" s="1"/>
  <c r="AJ31"/>
  <c r="AJ34" s="1"/>
  <c r="AR31"/>
  <c r="AR34" s="1"/>
  <c r="AG31"/>
  <c r="AG34" s="1"/>
  <c r="AD31"/>
  <c r="AD34" s="1"/>
  <c r="BC31"/>
  <c r="BC34" s="1"/>
  <c r="M31"/>
  <c r="M34" s="1"/>
  <c r="BH31"/>
  <c r="BH34" s="1"/>
  <c r="AS31"/>
  <c r="AS34" s="1"/>
  <c r="S31"/>
  <c r="S34" s="1"/>
  <c r="BG31"/>
  <c r="BG34" s="1"/>
  <c r="BB31"/>
  <c r="BB34" s="1"/>
  <c r="Z31"/>
  <c r="Z34" s="1"/>
  <c r="T31"/>
  <c r="T34" s="1"/>
  <c r="AC31"/>
  <c r="AC34" s="1"/>
  <c r="Q31"/>
  <c r="Q34" s="1"/>
  <c r="BI31"/>
  <c r="BI34" s="1"/>
  <c r="W31"/>
  <c r="W34" s="1"/>
  <c r="BF31"/>
  <c r="BF34" s="1"/>
  <c r="R31"/>
  <c r="R34" s="1"/>
  <c r="L31"/>
  <c r="L34" s="1"/>
  <c r="N31"/>
  <c r="N34" s="1"/>
  <c r="J31"/>
  <c r="J34" s="1"/>
  <c r="K31"/>
  <c r="K34" s="1"/>
  <c r="V31"/>
  <c r="V34" s="1"/>
  <c r="AL31"/>
  <c r="AL34" s="1"/>
  <c r="AI31"/>
  <c r="AI34" s="1"/>
  <c r="F21"/>
  <c r="F17" s="1"/>
  <c r="O31"/>
  <c r="O34" s="1"/>
  <c r="I31"/>
  <c r="I34" s="1"/>
  <c r="AZ31"/>
  <c r="AZ34" s="1"/>
  <c r="AK31"/>
  <c r="AK34" s="1"/>
  <c r="AY31"/>
  <c r="AY34" s="1"/>
  <c r="AW31"/>
  <c r="AW34" s="1"/>
  <c r="BE31"/>
  <c r="BE34" s="1"/>
  <c r="G6"/>
  <c r="G81" s="1"/>
  <c r="AT31"/>
  <c r="AT34" s="1"/>
  <c r="BA31"/>
  <c r="BA34" s="1"/>
  <c r="AQ31"/>
  <c r="AQ34" s="1"/>
  <c r="F54"/>
  <c r="F33"/>
  <c r="F14"/>
  <c r="F10" s="1"/>
  <c r="F28"/>
  <c r="F24" s="1"/>
  <c r="D98" l="1"/>
  <c r="B44" i="8" s="1"/>
  <c r="C32" i="9"/>
  <c r="J48" i="7"/>
  <c r="F71"/>
  <c r="K48"/>
  <c r="I48"/>
  <c r="AE48"/>
  <c r="S48"/>
  <c r="X48"/>
  <c r="T48"/>
  <c r="U48"/>
  <c r="R48"/>
  <c r="AF48"/>
  <c r="Q48"/>
  <c r="O48"/>
  <c r="Y48"/>
  <c r="BA48"/>
  <c r="W48"/>
  <c r="L48"/>
  <c r="AU48"/>
  <c r="P48"/>
  <c r="AQ48"/>
  <c r="AR48"/>
  <c r="AG48"/>
  <c r="AH48"/>
  <c r="AP48"/>
  <c r="H48"/>
  <c r="BG48"/>
  <c r="AT48"/>
  <c r="AM48"/>
  <c r="AL48"/>
  <c r="M48"/>
  <c r="AB48"/>
  <c r="Z48"/>
  <c r="AD48"/>
  <c r="AA48"/>
  <c r="BC48"/>
  <c r="AV48"/>
  <c r="BK48"/>
  <c r="AC48"/>
  <c r="BB48"/>
  <c r="AJ48"/>
  <c r="AK48"/>
  <c r="BD48"/>
  <c r="AI48"/>
  <c r="AN48"/>
  <c r="AO48"/>
  <c r="BJ48"/>
  <c r="BE48"/>
  <c r="BI48"/>
  <c r="N48"/>
  <c r="AY48"/>
  <c r="AX48"/>
  <c r="BL48"/>
  <c r="AW48"/>
  <c r="BH48"/>
  <c r="AZ48"/>
  <c r="BF48"/>
  <c r="V48"/>
  <c r="AS48"/>
  <c r="G40"/>
  <c r="G38" s="1"/>
  <c r="G68"/>
  <c r="G21"/>
  <c r="G17" s="1"/>
  <c r="H6"/>
  <c r="H81" s="1"/>
  <c r="G28"/>
  <c r="G24" s="1"/>
  <c r="G14"/>
  <c r="G10" s="1"/>
  <c r="G36"/>
  <c r="G33" s="1"/>
  <c r="G71" s="1"/>
  <c r="G54"/>
  <c r="C34" i="9" l="1"/>
  <c r="C36" s="1"/>
  <c r="E109" i="7"/>
  <c r="E118" s="1"/>
  <c r="E119" s="1"/>
  <c r="E120" s="1"/>
  <c r="D100"/>
  <c r="BO100" s="1"/>
  <c r="BU100" s="1"/>
  <c r="F42"/>
  <c r="BT48"/>
  <c r="BQ48"/>
  <c r="BS48"/>
  <c r="BO48"/>
  <c r="BP48"/>
  <c r="BR48"/>
  <c r="H54"/>
  <c r="H68"/>
  <c r="H28"/>
  <c r="H24" s="1"/>
  <c r="H36"/>
  <c r="H33" s="1"/>
  <c r="H71" s="1"/>
  <c r="H21"/>
  <c r="H17" s="1"/>
  <c r="G42"/>
  <c r="H40"/>
  <c r="H38" s="1"/>
  <c r="I6"/>
  <c r="I81" s="1"/>
  <c r="H14"/>
  <c r="H10" s="1"/>
  <c r="C35" i="9" l="1"/>
  <c r="E110" i="7"/>
  <c r="E111" s="1"/>
  <c r="F64"/>
  <c r="F105"/>
  <c r="F77"/>
  <c r="BU48"/>
  <c r="G105"/>
  <c r="I14"/>
  <c r="I10" s="1"/>
  <c r="J6"/>
  <c r="J40" s="1"/>
  <c r="J38" s="1"/>
  <c r="G64"/>
  <c r="G77"/>
  <c r="I36"/>
  <c r="I33" s="1"/>
  <c r="I68"/>
  <c r="H42"/>
  <c r="I28"/>
  <c r="I24" s="1"/>
  <c r="I40"/>
  <c r="I38" s="1"/>
  <c r="I21"/>
  <c r="I17" s="1"/>
  <c r="I54"/>
  <c r="C40" i="9" l="1"/>
  <c r="M14" i="5" s="1"/>
  <c r="B49" i="12" s="1"/>
  <c r="G106" i="7"/>
  <c r="I71"/>
  <c r="H105"/>
  <c r="H106" s="1"/>
  <c r="J36"/>
  <c r="J33" s="1"/>
  <c r="J71" s="1"/>
  <c r="J54"/>
  <c r="J28"/>
  <c r="J24" s="1"/>
  <c r="J68"/>
  <c r="J81"/>
  <c r="J21"/>
  <c r="J17" s="1"/>
  <c r="J14"/>
  <c r="J10" s="1"/>
  <c r="K6"/>
  <c r="K40" s="1"/>
  <c r="K38" s="1"/>
  <c r="H64"/>
  <c r="H77"/>
  <c r="I42"/>
  <c r="B9" i="12" l="1"/>
  <c r="C9"/>
  <c r="F9"/>
  <c r="D9"/>
  <c r="E9"/>
  <c r="I105" i="7"/>
  <c r="I106" s="1"/>
  <c r="K28"/>
  <c r="K24" s="1"/>
  <c r="J42"/>
  <c r="K36"/>
  <c r="K33" s="1"/>
  <c r="K71" s="1"/>
  <c r="K68"/>
  <c r="K81"/>
  <c r="K21"/>
  <c r="K17" s="1"/>
  <c r="L6"/>
  <c r="L21" s="1"/>
  <c r="L17" s="1"/>
  <c r="K14"/>
  <c r="K10" s="1"/>
  <c r="K54"/>
  <c r="I64"/>
  <c r="I77"/>
  <c r="J105" l="1"/>
  <c r="J106" s="1"/>
  <c r="J77"/>
  <c r="L28"/>
  <c r="L24" s="1"/>
  <c r="L14"/>
  <c r="L10" s="1"/>
  <c r="L40"/>
  <c r="L38" s="1"/>
  <c r="K42"/>
  <c r="J64"/>
  <c r="L36"/>
  <c r="L33" s="1"/>
  <c r="L68"/>
  <c r="L81"/>
  <c r="M6"/>
  <c r="M28" s="1"/>
  <c r="M24" s="1"/>
  <c r="L54"/>
  <c r="M14" l="1"/>
  <c r="M10" s="1"/>
  <c r="L71"/>
  <c r="K105"/>
  <c r="K106" s="1"/>
  <c r="M36"/>
  <c r="M33" s="1"/>
  <c r="M71" s="1"/>
  <c r="M21"/>
  <c r="M17" s="1"/>
  <c r="N6"/>
  <c r="N28" s="1"/>
  <c r="N24" s="1"/>
  <c r="K77"/>
  <c r="M54"/>
  <c r="K64"/>
  <c r="L42"/>
  <c r="M68"/>
  <c r="M81"/>
  <c r="M40"/>
  <c r="M38" s="1"/>
  <c r="O6"/>
  <c r="N40" l="1"/>
  <c r="N38" s="1"/>
  <c r="N36"/>
  <c r="N33" s="1"/>
  <c r="N71" s="1"/>
  <c r="N21"/>
  <c r="N17" s="1"/>
  <c r="N14"/>
  <c r="N10" s="1"/>
  <c r="N68"/>
  <c r="L64"/>
  <c r="L105"/>
  <c r="L106" s="1"/>
  <c r="N81"/>
  <c r="M42"/>
  <c r="N54"/>
  <c r="L77"/>
  <c r="O68"/>
  <c r="O81"/>
  <c r="O54"/>
  <c r="O28"/>
  <c r="O24" s="1"/>
  <c r="O36"/>
  <c r="O33" s="1"/>
  <c r="O71" s="1"/>
  <c r="O40"/>
  <c r="O38" s="1"/>
  <c r="O21"/>
  <c r="O17" s="1"/>
  <c r="O14"/>
  <c r="O10" s="1"/>
  <c r="P6"/>
  <c r="M64" l="1"/>
  <c r="M77"/>
  <c r="N42"/>
  <c r="M105"/>
  <c r="M106" s="1"/>
  <c r="P68"/>
  <c r="P81"/>
  <c r="P54"/>
  <c r="P28"/>
  <c r="P24" s="1"/>
  <c r="P40"/>
  <c r="P38" s="1"/>
  <c r="P36"/>
  <c r="P33" s="1"/>
  <c r="P71" s="1"/>
  <c r="O42"/>
  <c r="P21"/>
  <c r="P17" s="1"/>
  <c r="P14"/>
  <c r="P10" s="1"/>
  <c r="Q6"/>
  <c r="N77" l="1"/>
  <c r="N105"/>
  <c r="N106" s="1"/>
  <c r="N64"/>
  <c r="O105"/>
  <c r="Q68"/>
  <c r="BP68" s="1"/>
  <c r="Q81"/>
  <c r="BP81" s="1"/>
  <c r="O64"/>
  <c r="O77"/>
  <c r="Q54"/>
  <c r="BP54" s="1"/>
  <c r="Q28"/>
  <c r="Q24" s="1"/>
  <c r="BP24" s="1"/>
  <c r="Q36"/>
  <c r="Q33" s="1"/>
  <c r="Q40"/>
  <c r="Q38" s="1"/>
  <c r="BP38" s="1"/>
  <c r="B13" i="8" s="1"/>
  <c r="P42" i="7"/>
  <c r="Q21"/>
  <c r="Q17" s="1"/>
  <c r="BP17" s="1"/>
  <c r="Q14"/>
  <c r="Q10" s="1"/>
  <c r="BP10" s="1"/>
  <c r="R6"/>
  <c r="O106" l="1"/>
  <c r="Q71"/>
  <c r="BP71" s="1"/>
  <c r="BP33"/>
  <c r="B4" i="8" s="1"/>
  <c r="B3"/>
  <c r="B6"/>
  <c r="P105" i="7"/>
  <c r="P106" s="1"/>
  <c r="R68"/>
  <c r="R81"/>
  <c r="P64"/>
  <c r="P77"/>
  <c r="R54"/>
  <c r="R28"/>
  <c r="R24" s="1"/>
  <c r="R40"/>
  <c r="R38" s="1"/>
  <c r="R36"/>
  <c r="R33" s="1"/>
  <c r="Q42"/>
  <c r="R21"/>
  <c r="R17" s="1"/>
  <c r="R14"/>
  <c r="R10" s="1"/>
  <c r="S6"/>
  <c r="B31" i="8" l="1"/>
  <c r="B32"/>
  <c r="B34"/>
  <c r="B5"/>
  <c r="B33" s="1"/>
  <c r="R71" i="7"/>
  <c r="B7" i="8"/>
  <c r="BP42" i="7"/>
  <c r="Q105"/>
  <c r="Q106" s="1"/>
  <c r="S68"/>
  <c r="S81"/>
  <c r="Q64"/>
  <c r="Q77"/>
  <c r="BP77" s="1"/>
  <c r="S54"/>
  <c r="S28"/>
  <c r="S24" s="1"/>
  <c r="S36"/>
  <c r="S33" s="1"/>
  <c r="S71" s="1"/>
  <c r="S40"/>
  <c r="S38" s="1"/>
  <c r="R42"/>
  <c r="S21"/>
  <c r="S17" s="1"/>
  <c r="S14"/>
  <c r="S10" s="1"/>
  <c r="T6"/>
  <c r="B23" i="8" l="1"/>
  <c r="C44"/>
  <c r="B35"/>
  <c r="BP64" i="7"/>
  <c r="R105"/>
  <c r="R106" s="1"/>
  <c r="T68"/>
  <c r="T81"/>
  <c r="R64"/>
  <c r="R77"/>
  <c r="T54"/>
  <c r="S42"/>
  <c r="T28"/>
  <c r="T24" s="1"/>
  <c r="T40"/>
  <c r="T38" s="1"/>
  <c r="T36"/>
  <c r="T33" s="1"/>
  <c r="T71" s="1"/>
  <c r="T21"/>
  <c r="T17" s="1"/>
  <c r="T14"/>
  <c r="T10" s="1"/>
  <c r="U6"/>
  <c r="S105" l="1"/>
  <c r="S106" s="1"/>
  <c r="U68"/>
  <c r="U81"/>
  <c r="S64"/>
  <c r="S77"/>
  <c r="U54"/>
  <c r="T42"/>
  <c r="U28"/>
  <c r="U24" s="1"/>
  <c r="U36"/>
  <c r="U33" s="1"/>
  <c r="U71" s="1"/>
  <c r="U40"/>
  <c r="U38" s="1"/>
  <c r="U21"/>
  <c r="U17" s="1"/>
  <c r="U14"/>
  <c r="U10" s="1"/>
  <c r="V6"/>
  <c r="T105" l="1"/>
  <c r="T106" s="1"/>
  <c r="V68"/>
  <c r="V81"/>
  <c r="T64"/>
  <c r="T77"/>
  <c r="V54"/>
  <c r="V28"/>
  <c r="V24" s="1"/>
  <c r="V40"/>
  <c r="V38" s="1"/>
  <c r="V36"/>
  <c r="V33" s="1"/>
  <c r="V71" s="1"/>
  <c r="U42"/>
  <c r="V21"/>
  <c r="V17" s="1"/>
  <c r="V14"/>
  <c r="V10" s="1"/>
  <c r="W6"/>
  <c r="U105" l="1"/>
  <c r="U106" s="1"/>
  <c r="W68"/>
  <c r="W81"/>
  <c r="U64"/>
  <c r="U77"/>
  <c r="W54"/>
  <c r="V42"/>
  <c r="W28"/>
  <c r="W24" s="1"/>
  <c r="W36"/>
  <c r="W33" s="1"/>
  <c r="W71" s="1"/>
  <c r="W40"/>
  <c r="W38" s="1"/>
  <c r="W21"/>
  <c r="W17" s="1"/>
  <c r="W14"/>
  <c r="W10" s="1"/>
  <c r="X6"/>
  <c r="V105" l="1"/>
  <c r="V106" s="1"/>
  <c r="X68"/>
  <c r="X81"/>
  <c r="V64"/>
  <c r="V77"/>
  <c r="X54"/>
  <c r="W42"/>
  <c r="X28"/>
  <c r="X24" s="1"/>
  <c r="X40"/>
  <c r="X38" s="1"/>
  <c r="X36"/>
  <c r="X33" s="1"/>
  <c r="X71" s="1"/>
  <c r="X21"/>
  <c r="X17" s="1"/>
  <c r="X14"/>
  <c r="X10" s="1"/>
  <c r="Y6"/>
  <c r="W105" l="1"/>
  <c r="W106" s="1"/>
  <c r="Y68"/>
  <c r="Y81"/>
  <c r="W64"/>
  <c r="W77"/>
  <c r="Y54"/>
  <c r="X42"/>
  <c r="Y28"/>
  <c r="Y24" s="1"/>
  <c r="Y40"/>
  <c r="Y38" s="1"/>
  <c r="Y36"/>
  <c r="Y33" s="1"/>
  <c r="Y71" s="1"/>
  <c r="Y21"/>
  <c r="Y17" s="1"/>
  <c r="Y14"/>
  <c r="Y10" s="1"/>
  <c r="Z6"/>
  <c r="X105" l="1"/>
  <c r="X106" s="1"/>
  <c r="Z68"/>
  <c r="Z81"/>
  <c r="X64"/>
  <c r="X77"/>
  <c r="Z54"/>
  <c r="Y42"/>
  <c r="Z28"/>
  <c r="Z24" s="1"/>
  <c r="Z40"/>
  <c r="Z38" s="1"/>
  <c r="Z36"/>
  <c r="Z33" s="1"/>
  <c r="Z71" s="1"/>
  <c r="Z21"/>
  <c r="Z17" s="1"/>
  <c r="Z14"/>
  <c r="Z10" s="1"/>
  <c r="AA6"/>
  <c r="Y105" l="1"/>
  <c r="Y106" s="1"/>
  <c r="AA68"/>
  <c r="AA81"/>
  <c r="Y64"/>
  <c r="Y77"/>
  <c r="AA54"/>
  <c r="Z42"/>
  <c r="AA28"/>
  <c r="AA24" s="1"/>
  <c r="AA36"/>
  <c r="AA33" s="1"/>
  <c r="AA71" s="1"/>
  <c r="AA40"/>
  <c r="AA38" s="1"/>
  <c r="AA21"/>
  <c r="AA17" s="1"/>
  <c r="AB6"/>
  <c r="AA14"/>
  <c r="AA10" s="1"/>
  <c r="Z105" l="1"/>
  <c r="Z106" s="1"/>
  <c r="AB68"/>
  <c r="AB81"/>
  <c r="Z64"/>
  <c r="Z77"/>
  <c r="AB54"/>
  <c r="AB28"/>
  <c r="AB24" s="1"/>
  <c r="AB40"/>
  <c r="AB38" s="1"/>
  <c r="AB36"/>
  <c r="AB33" s="1"/>
  <c r="AB71" s="1"/>
  <c r="AA42"/>
  <c r="AB21"/>
  <c r="AB17" s="1"/>
  <c r="AB14"/>
  <c r="AB10" s="1"/>
  <c r="AC6"/>
  <c r="AA105" l="1"/>
  <c r="AA106" s="1"/>
  <c r="AC68"/>
  <c r="BQ68" s="1"/>
  <c r="AC81"/>
  <c r="BQ81" s="1"/>
  <c r="AA64"/>
  <c r="AA77"/>
  <c r="AC54"/>
  <c r="BQ54" s="1"/>
  <c r="AC28"/>
  <c r="AC24" s="1"/>
  <c r="BQ24" s="1"/>
  <c r="AC36"/>
  <c r="AC33" s="1"/>
  <c r="AC40"/>
  <c r="AC38" s="1"/>
  <c r="BQ38" s="1"/>
  <c r="C13" i="8" s="1"/>
  <c r="AB42" i="7"/>
  <c r="AC21"/>
  <c r="AC17" s="1"/>
  <c r="BQ17" s="1"/>
  <c r="AC14"/>
  <c r="AC10" s="1"/>
  <c r="BQ10" s="1"/>
  <c r="AD6"/>
  <c r="AC71" l="1"/>
  <c r="BQ71" s="1"/>
  <c r="BQ33"/>
  <c r="C3" i="8"/>
  <c r="C6"/>
  <c r="AB105" i="7"/>
  <c r="AB106" s="1"/>
  <c r="AD68"/>
  <c r="AD81"/>
  <c r="AB64"/>
  <c r="AB77"/>
  <c r="AD54"/>
  <c r="AC42"/>
  <c r="AD28"/>
  <c r="AD24" s="1"/>
  <c r="AD36"/>
  <c r="AD33" s="1"/>
  <c r="AD40"/>
  <c r="AD38" s="1"/>
  <c r="AD21"/>
  <c r="AD17" s="1"/>
  <c r="AD14"/>
  <c r="AD10" s="1"/>
  <c r="AE6"/>
  <c r="C31" i="8" l="1"/>
  <c r="C34"/>
  <c r="C7"/>
  <c r="C4"/>
  <c r="C32" s="1"/>
  <c r="BQ42" i="7"/>
  <c r="AD71"/>
  <c r="AC105"/>
  <c r="AC106" s="1"/>
  <c r="AE68"/>
  <c r="AE81"/>
  <c r="AC64"/>
  <c r="AC77"/>
  <c r="BQ77" s="1"/>
  <c r="AE54"/>
  <c r="AD42"/>
  <c r="AE28"/>
  <c r="AE24" s="1"/>
  <c r="AE36"/>
  <c r="AE33" s="1"/>
  <c r="AE71" s="1"/>
  <c r="AE40"/>
  <c r="AE38" s="1"/>
  <c r="AE21"/>
  <c r="AE17" s="1"/>
  <c r="AE14"/>
  <c r="AE10" s="1"/>
  <c r="AF6"/>
  <c r="C23" i="8" l="1"/>
  <c r="C43" s="1"/>
  <c r="D44"/>
  <c r="C35"/>
  <c r="C5"/>
  <c r="C33" s="1"/>
  <c r="BQ64" i="7"/>
  <c r="AD105"/>
  <c r="AD106" s="1"/>
  <c r="AF68"/>
  <c r="AF81"/>
  <c r="AD64"/>
  <c r="AD77"/>
  <c r="AF54"/>
  <c r="AE42"/>
  <c r="AF28"/>
  <c r="AF24" s="1"/>
  <c r="AF40"/>
  <c r="AF38" s="1"/>
  <c r="AF36"/>
  <c r="AF33" s="1"/>
  <c r="AF71" s="1"/>
  <c r="AF21"/>
  <c r="AF17" s="1"/>
  <c r="AF14"/>
  <c r="AF10" s="1"/>
  <c r="AG6"/>
  <c r="AE105" l="1"/>
  <c r="AE106" s="1"/>
  <c r="AG68"/>
  <c r="AG81"/>
  <c r="AE64"/>
  <c r="AE77"/>
  <c r="AG54"/>
  <c r="AF42"/>
  <c r="AG28"/>
  <c r="AG24" s="1"/>
  <c r="AG36"/>
  <c r="AG33" s="1"/>
  <c r="AG40"/>
  <c r="AG38" s="1"/>
  <c r="AG21"/>
  <c r="AG17" s="1"/>
  <c r="AG14"/>
  <c r="AG10" s="1"/>
  <c r="AH6"/>
  <c r="AG71" l="1"/>
  <c r="AF105"/>
  <c r="AF106" s="1"/>
  <c r="AH68"/>
  <c r="AH81"/>
  <c r="AF64"/>
  <c r="AF77"/>
  <c r="AH54"/>
  <c r="AG42"/>
  <c r="AH28"/>
  <c r="AH24" s="1"/>
  <c r="AH40"/>
  <c r="AH38" s="1"/>
  <c r="AH36"/>
  <c r="AH33" s="1"/>
  <c r="AH71" s="1"/>
  <c r="AH21"/>
  <c r="AH17" s="1"/>
  <c r="AH14"/>
  <c r="AH10" s="1"/>
  <c r="AI6"/>
  <c r="AG105" l="1"/>
  <c r="AG106" s="1"/>
  <c r="AI68"/>
  <c r="AI81"/>
  <c r="AG64"/>
  <c r="AG77"/>
  <c r="AI54"/>
  <c r="AI28"/>
  <c r="AI24" s="1"/>
  <c r="AI36"/>
  <c r="AI33" s="1"/>
  <c r="AI71" s="1"/>
  <c r="AI40"/>
  <c r="AI38" s="1"/>
  <c r="AH42"/>
  <c r="AI21"/>
  <c r="AI17" s="1"/>
  <c r="AJ6"/>
  <c r="AI14"/>
  <c r="AI10" s="1"/>
  <c r="AH105" l="1"/>
  <c r="AH106" s="1"/>
  <c r="AJ68"/>
  <c r="AJ81"/>
  <c r="AH64"/>
  <c r="AH77"/>
  <c r="AJ54"/>
  <c r="AJ28"/>
  <c r="AJ24" s="1"/>
  <c r="AJ36"/>
  <c r="AJ33" s="1"/>
  <c r="AJ40"/>
  <c r="AJ38" s="1"/>
  <c r="AI42"/>
  <c r="AJ21"/>
  <c r="AJ17" s="1"/>
  <c r="AJ14"/>
  <c r="AJ10" s="1"/>
  <c r="AK6"/>
  <c r="AJ71" l="1"/>
  <c r="AI105"/>
  <c r="AI106" s="1"/>
  <c r="AK68"/>
  <c r="AK81"/>
  <c r="AI64"/>
  <c r="AI77"/>
  <c r="AK54"/>
  <c r="AK28"/>
  <c r="AK24" s="1"/>
  <c r="AK36"/>
  <c r="AK33" s="1"/>
  <c r="AK71" s="1"/>
  <c r="AK40"/>
  <c r="AK38" s="1"/>
  <c r="AJ42"/>
  <c r="AK21"/>
  <c r="AK17" s="1"/>
  <c r="AK14"/>
  <c r="AK10" s="1"/>
  <c r="AL6"/>
  <c r="AJ105" l="1"/>
  <c r="AJ106" s="1"/>
  <c r="AL68"/>
  <c r="AL81"/>
  <c r="AJ64"/>
  <c r="AJ77"/>
  <c r="AL54"/>
  <c r="AL28"/>
  <c r="AL24" s="1"/>
  <c r="AL36"/>
  <c r="AL33" s="1"/>
  <c r="AL71" s="1"/>
  <c r="AL40"/>
  <c r="AL38" s="1"/>
  <c r="AK42"/>
  <c r="AL21"/>
  <c r="AL17" s="1"/>
  <c r="AL14"/>
  <c r="AL10" s="1"/>
  <c r="AM6"/>
  <c r="AK105" l="1"/>
  <c r="AK106" s="1"/>
  <c r="AM68"/>
  <c r="AM81"/>
  <c r="AK64"/>
  <c r="AK77"/>
  <c r="AM54"/>
  <c r="AL42"/>
  <c r="AM28"/>
  <c r="AM24" s="1"/>
  <c r="AM36"/>
  <c r="AM33" s="1"/>
  <c r="AM71" s="1"/>
  <c r="AM40"/>
  <c r="AM38" s="1"/>
  <c r="AM21"/>
  <c r="AM17" s="1"/>
  <c r="AM14"/>
  <c r="AM10" s="1"/>
  <c r="AN6"/>
  <c r="AL105" l="1"/>
  <c r="AL106" s="1"/>
  <c r="AN68"/>
  <c r="AN81"/>
  <c r="AL64"/>
  <c r="AL77"/>
  <c r="AN54"/>
  <c r="AN28"/>
  <c r="AN24" s="1"/>
  <c r="AN40"/>
  <c r="AN38" s="1"/>
  <c r="AN36"/>
  <c r="AN33" s="1"/>
  <c r="AN71" s="1"/>
  <c r="AM42"/>
  <c r="AN21"/>
  <c r="AN17" s="1"/>
  <c r="AN14"/>
  <c r="AN10" s="1"/>
  <c r="AO6"/>
  <c r="AM105" l="1"/>
  <c r="AM106" s="1"/>
  <c r="AO68"/>
  <c r="BR68" s="1"/>
  <c r="AO81"/>
  <c r="BR81" s="1"/>
  <c r="AM64"/>
  <c r="AM77"/>
  <c r="AO54"/>
  <c r="BR54" s="1"/>
  <c r="AO28"/>
  <c r="AO24" s="1"/>
  <c r="BR24" s="1"/>
  <c r="AO36"/>
  <c r="AO33" s="1"/>
  <c r="AO40"/>
  <c r="AO38" s="1"/>
  <c r="BR38" s="1"/>
  <c r="D13" i="8" s="1"/>
  <c r="AN42" i="7"/>
  <c r="AO21"/>
  <c r="AO17" s="1"/>
  <c r="BR17" s="1"/>
  <c r="AO14"/>
  <c r="AO10" s="1"/>
  <c r="BR10" s="1"/>
  <c r="AP6"/>
  <c r="D3" i="8" l="1"/>
  <c r="D6"/>
  <c r="AO71" i="7"/>
  <c r="BR71" s="1"/>
  <c r="BR33"/>
  <c r="AN105"/>
  <c r="AN106" s="1"/>
  <c r="AP68"/>
  <c r="AP81"/>
  <c r="AN64"/>
  <c r="AN77"/>
  <c r="AP54"/>
  <c r="AP28"/>
  <c r="AP24" s="1"/>
  <c r="AP40"/>
  <c r="AP38" s="1"/>
  <c r="AP36"/>
  <c r="AP33" s="1"/>
  <c r="AO42"/>
  <c r="AP21"/>
  <c r="AP17" s="1"/>
  <c r="AP14"/>
  <c r="AP10" s="1"/>
  <c r="AQ6"/>
  <c r="D34" i="8" l="1"/>
  <c r="D31"/>
  <c r="D4"/>
  <c r="D32" s="1"/>
  <c r="AP71" i="7"/>
  <c r="BR42"/>
  <c r="D7" i="8"/>
  <c r="AO105" i="7"/>
  <c r="AO106" s="1"/>
  <c r="AQ68"/>
  <c r="AQ81"/>
  <c r="AO64"/>
  <c r="AO77"/>
  <c r="BR77" s="1"/>
  <c r="AQ54"/>
  <c r="AQ28"/>
  <c r="AQ24" s="1"/>
  <c r="AQ36"/>
  <c r="AQ33" s="1"/>
  <c r="AQ71" s="1"/>
  <c r="AQ40"/>
  <c r="AQ38" s="1"/>
  <c r="AP42"/>
  <c r="AQ21"/>
  <c r="AQ17" s="1"/>
  <c r="AR6"/>
  <c r="AQ14"/>
  <c r="AQ10" s="1"/>
  <c r="D23" i="8" l="1"/>
  <c r="D43" s="1"/>
  <c r="E44"/>
  <c r="D35"/>
  <c r="D5"/>
  <c r="D33" s="1"/>
  <c r="BR64" i="7"/>
  <c r="AP105"/>
  <c r="AP106" s="1"/>
  <c r="AR68"/>
  <c r="AR81"/>
  <c r="AP64"/>
  <c r="AP77"/>
  <c r="AR54"/>
  <c r="AR28"/>
  <c r="AR24" s="1"/>
  <c r="AR36"/>
  <c r="AR33" s="1"/>
  <c r="AR40"/>
  <c r="AR38" s="1"/>
  <c r="AQ42"/>
  <c r="AR21"/>
  <c r="AR17" s="1"/>
  <c r="AR14"/>
  <c r="AR10" s="1"/>
  <c r="AS6"/>
  <c r="AR71" l="1"/>
  <c r="AQ105"/>
  <c r="AQ106" s="1"/>
  <c r="AS68"/>
  <c r="AS81"/>
  <c r="AQ64"/>
  <c r="AQ77"/>
  <c r="AS54"/>
  <c r="AS28"/>
  <c r="AS24" s="1"/>
  <c r="AS36"/>
  <c r="AS33" s="1"/>
  <c r="AS71" s="1"/>
  <c r="AS40"/>
  <c r="AS38" s="1"/>
  <c r="AR42"/>
  <c r="AS21"/>
  <c r="AS17" s="1"/>
  <c r="AS14"/>
  <c r="AS10" s="1"/>
  <c r="AT6"/>
  <c r="AR105" l="1"/>
  <c r="AR106" s="1"/>
  <c r="AT68"/>
  <c r="AT81"/>
  <c r="AR64"/>
  <c r="AR77"/>
  <c r="AT54"/>
  <c r="AT28"/>
  <c r="AT24" s="1"/>
  <c r="AT36"/>
  <c r="AT33" s="1"/>
  <c r="AT71" s="1"/>
  <c r="AT40"/>
  <c r="AT38" s="1"/>
  <c r="AS42"/>
  <c r="AT21"/>
  <c r="AT17" s="1"/>
  <c r="AT14"/>
  <c r="AT10" s="1"/>
  <c r="AU6"/>
  <c r="AS105" l="1"/>
  <c r="AS106" s="1"/>
  <c r="AU68"/>
  <c r="AU81"/>
  <c r="AS64"/>
  <c r="AS77"/>
  <c r="AU54"/>
  <c r="AU28"/>
  <c r="AU24" s="1"/>
  <c r="AU40"/>
  <c r="AU38" s="1"/>
  <c r="AU36"/>
  <c r="AU33" s="1"/>
  <c r="AU71" s="1"/>
  <c r="AT42"/>
  <c r="AU21"/>
  <c r="AU17" s="1"/>
  <c r="AU14"/>
  <c r="AU10" s="1"/>
  <c r="AV6"/>
  <c r="AT105" l="1"/>
  <c r="AT106" s="1"/>
  <c r="AV68"/>
  <c r="AV81"/>
  <c r="AT64"/>
  <c r="AT77"/>
  <c r="AV54"/>
  <c r="AU42"/>
  <c r="AV28"/>
  <c r="AV24" s="1"/>
  <c r="AV40"/>
  <c r="AV38" s="1"/>
  <c r="AV36"/>
  <c r="AV33" s="1"/>
  <c r="AV21"/>
  <c r="AV17" s="1"/>
  <c r="AV14"/>
  <c r="AV10" s="1"/>
  <c r="AW6"/>
  <c r="AV71" l="1"/>
  <c r="AU105"/>
  <c r="AU106" s="1"/>
  <c r="AW68"/>
  <c r="AW81"/>
  <c r="AU64"/>
  <c r="AU77"/>
  <c r="AW54"/>
  <c r="AW28"/>
  <c r="AW24" s="1"/>
  <c r="AW40"/>
  <c r="AW38" s="1"/>
  <c r="AW36"/>
  <c r="AW33" s="1"/>
  <c r="AW71" s="1"/>
  <c r="AV42"/>
  <c r="AW21"/>
  <c r="AW17" s="1"/>
  <c r="AW14"/>
  <c r="AW10" s="1"/>
  <c r="AX6"/>
  <c r="AV105" l="1"/>
  <c r="AV106" s="1"/>
  <c r="AX68"/>
  <c r="AX81"/>
  <c r="AV64"/>
  <c r="AV77"/>
  <c r="AX54"/>
  <c r="AX28"/>
  <c r="AX24" s="1"/>
  <c r="AX40"/>
  <c r="AX38" s="1"/>
  <c r="AX36"/>
  <c r="AX33" s="1"/>
  <c r="AX71" s="1"/>
  <c r="AW42"/>
  <c r="AX21"/>
  <c r="AX17" s="1"/>
  <c r="AX14"/>
  <c r="AX10" s="1"/>
  <c r="AY6"/>
  <c r="AW105" l="1"/>
  <c r="AW106" s="1"/>
  <c r="AY68"/>
  <c r="AY81"/>
  <c r="AW64"/>
  <c r="AW77"/>
  <c r="AY54"/>
  <c r="AY28"/>
  <c r="AY24" s="1"/>
  <c r="AY36"/>
  <c r="AY33" s="1"/>
  <c r="AY71" s="1"/>
  <c r="AY40"/>
  <c r="AY38" s="1"/>
  <c r="AX42"/>
  <c r="AY21"/>
  <c r="AY17" s="1"/>
  <c r="AZ6"/>
  <c r="AY14"/>
  <c r="AY10" s="1"/>
  <c r="AX105" l="1"/>
  <c r="AX106" s="1"/>
  <c r="AZ68"/>
  <c r="AZ81"/>
  <c r="AX64"/>
  <c r="AX77"/>
  <c r="AZ54"/>
  <c r="AZ28"/>
  <c r="AZ24" s="1"/>
  <c r="AZ40"/>
  <c r="AZ38" s="1"/>
  <c r="AZ36"/>
  <c r="AZ33" s="1"/>
  <c r="AZ71" s="1"/>
  <c r="AY42"/>
  <c r="AZ21"/>
  <c r="AZ17" s="1"/>
  <c r="AZ14"/>
  <c r="AZ10" s="1"/>
  <c r="BA6"/>
  <c r="AY105" l="1"/>
  <c r="AY106" s="1"/>
  <c r="BA68"/>
  <c r="BS68" s="1"/>
  <c r="BA81"/>
  <c r="BS81" s="1"/>
  <c r="AY64"/>
  <c r="AY77"/>
  <c r="BA54"/>
  <c r="BS54" s="1"/>
  <c r="BA28"/>
  <c r="BA24" s="1"/>
  <c r="BS24" s="1"/>
  <c r="BA36"/>
  <c r="BA33" s="1"/>
  <c r="BA40"/>
  <c r="BA38" s="1"/>
  <c r="BS38" s="1"/>
  <c r="E13" i="8" s="1"/>
  <c r="AZ42" i="7"/>
  <c r="BA21"/>
  <c r="BA17" s="1"/>
  <c r="BS17" s="1"/>
  <c r="BA14"/>
  <c r="BA10" s="1"/>
  <c r="BS10" s="1"/>
  <c r="BB6"/>
  <c r="BA71" l="1"/>
  <c r="BS71" s="1"/>
  <c r="BS33"/>
  <c r="E3" i="8"/>
  <c r="E6"/>
  <c r="AZ105" i="7"/>
  <c r="AZ106" s="1"/>
  <c r="BB68"/>
  <c r="BB81"/>
  <c r="AZ64"/>
  <c r="AZ77"/>
  <c r="BB54"/>
  <c r="BB28"/>
  <c r="BB24" s="1"/>
  <c r="BB40"/>
  <c r="BB38" s="1"/>
  <c r="BB36"/>
  <c r="BB33" s="1"/>
  <c r="BA42"/>
  <c r="BB21"/>
  <c r="BB17" s="1"/>
  <c r="BB14"/>
  <c r="BB10" s="1"/>
  <c r="BC6"/>
  <c r="E31" i="8" l="1"/>
  <c r="E34"/>
  <c r="E7"/>
  <c r="E4"/>
  <c r="E32" s="1"/>
  <c r="BB71" i="7"/>
  <c r="BS42"/>
  <c r="BA105"/>
  <c r="BA106" s="1"/>
  <c r="BC68"/>
  <c r="BC81"/>
  <c r="BA64"/>
  <c r="BA77"/>
  <c r="BS77" s="1"/>
  <c r="BC54"/>
  <c r="BC28"/>
  <c r="BC24" s="1"/>
  <c r="BC40"/>
  <c r="BC38" s="1"/>
  <c r="BC36"/>
  <c r="BC33" s="1"/>
  <c r="BC71" s="1"/>
  <c r="BB42"/>
  <c r="BC21"/>
  <c r="BC17" s="1"/>
  <c r="BC14"/>
  <c r="BC10" s="1"/>
  <c r="BD6"/>
  <c r="E23" i="8" l="1"/>
  <c r="E43" s="1"/>
  <c r="F44"/>
  <c r="E35"/>
  <c r="E5"/>
  <c r="E33" s="1"/>
  <c r="BS64" i="7"/>
  <c r="BB105"/>
  <c r="BB106" s="1"/>
  <c r="BD68"/>
  <c r="BD81"/>
  <c r="BB64"/>
  <c r="BB77"/>
  <c r="BD54"/>
  <c r="BD28"/>
  <c r="BD24" s="1"/>
  <c r="BD40"/>
  <c r="BD38" s="1"/>
  <c r="BD36"/>
  <c r="BD33" s="1"/>
  <c r="BD71" s="1"/>
  <c r="BC42"/>
  <c r="BD21"/>
  <c r="BD17" s="1"/>
  <c r="BD14"/>
  <c r="BD10" s="1"/>
  <c r="BE6"/>
  <c r="BC105" l="1"/>
  <c r="BC106" s="1"/>
  <c r="BE68"/>
  <c r="BE81"/>
  <c r="BC64"/>
  <c r="BC77"/>
  <c r="BE54"/>
  <c r="BD42"/>
  <c r="BE28"/>
  <c r="BE24" s="1"/>
  <c r="BE40"/>
  <c r="BE38" s="1"/>
  <c r="BE36"/>
  <c r="BE33" s="1"/>
  <c r="BE21"/>
  <c r="BE17" s="1"/>
  <c r="BE14"/>
  <c r="BE10" s="1"/>
  <c r="BF6"/>
  <c r="BE71" l="1"/>
  <c r="BD105"/>
  <c r="BD106" s="1"/>
  <c r="BF68"/>
  <c r="BF81"/>
  <c r="BD64"/>
  <c r="BD77"/>
  <c r="BF54"/>
  <c r="BF28"/>
  <c r="BF24" s="1"/>
  <c r="BF40"/>
  <c r="BF38" s="1"/>
  <c r="BF36"/>
  <c r="BF33" s="1"/>
  <c r="BF71" s="1"/>
  <c r="BE42"/>
  <c r="BF21"/>
  <c r="BF17" s="1"/>
  <c r="BF14"/>
  <c r="BF10" s="1"/>
  <c r="BG6"/>
  <c r="BE105" l="1"/>
  <c r="BE106" s="1"/>
  <c r="BG68"/>
  <c r="BG81"/>
  <c r="BE64"/>
  <c r="BE77"/>
  <c r="BG54"/>
  <c r="BG28"/>
  <c r="BG24" s="1"/>
  <c r="BG36"/>
  <c r="BG33" s="1"/>
  <c r="BG71" s="1"/>
  <c r="BG40"/>
  <c r="BG38" s="1"/>
  <c r="BF42"/>
  <c r="BG21"/>
  <c r="BG17" s="1"/>
  <c r="BH6"/>
  <c r="BG14"/>
  <c r="BG10" s="1"/>
  <c r="BF105" l="1"/>
  <c r="BF106" s="1"/>
  <c r="BH68"/>
  <c r="BH81"/>
  <c r="BF64"/>
  <c r="BF77"/>
  <c r="BH54"/>
  <c r="BG42"/>
  <c r="BH28"/>
  <c r="BH24" s="1"/>
  <c r="BH36"/>
  <c r="BH33" s="1"/>
  <c r="BH71" s="1"/>
  <c r="BH40"/>
  <c r="BH38" s="1"/>
  <c r="BH21"/>
  <c r="BH17" s="1"/>
  <c r="BH14"/>
  <c r="BH10" s="1"/>
  <c r="BI6"/>
  <c r="BG105" l="1"/>
  <c r="BG106" s="1"/>
  <c r="BI68"/>
  <c r="BI81"/>
  <c r="BG64"/>
  <c r="BG77"/>
  <c r="BI54"/>
  <c r="BI28"/>
  <c r="BI24" s="1"/>
  <c r="BI36"/>
  <c r="BI33" s="1"/>
  <c r="BI71" s="1"/>
  <c r="BI40"/>
  <c r="BI38" s="1"/>
  <c r="BH42"/>
  <c r="BI21"/>
  <c r="BI17" s="1"/>
  <c r="BI14"/>
  <c r="BI10" s="1"/>
  <c r="BJ6"/>
  <c r="BH105" l="1"/>
  <c r="BH106" s="1"/>
  <c r="BJ68"/>
  <c r="BJ81"/>
  <c r="BH64"/>
  <c r="BH77"/>
  <c r="BJ54"/>
  <c r="BJ28"/>
  <c r="BJ24" s="1"/>
  <c r="BJ40"/>
  <c r="BJ38" s="1"/>
  <c r="BJ36"/>
  <c r="BJ33" s="1"/>
  <c r="BJ71" s="1"/>
  <c r="BI42"/>
  <c r="BJ21"/>
  <c r="BJ17" s="1"/>
  <c r="BJ14"/>
  <c r="BJ10" s="1"/>
  <c r="BK6"/>
  <c r="BI105" l="1"/>
  <c r="BI106" s="1"/>
  <c r="BK68"/>
  <c r="BK81"/>
  <c r="BI64"/>
  <c r="BI77"/>
  <c r="BK54"/>
  <c r="BK28"/>
  <c r="BK24" s="1"/>
  <c r="BK36"/>
  <c r="BK33" s="1"/>
  <c r="BK71" s="1"/>
  <c r="BK40"/>
  <c r="BK38" s="1"/>
  <c r="BJ42"/>
  <c r="BK21"/>
  <c r="BK17" s="1"/>
  <c r="BK14"/>
  <c r="BK10" s="1"/>
  <c r="BL6"/>
  <c r="BJ105" l="1"/>
  <c r="BJ106" s="1"/>
  <c r="BL68"/>
  <c r="BL81"/>
  <c r="BJ64"/>
  <c r="BJ77"/>
  <c r="BL54"/>
  <c r="BL28"/>
  <c r="BL24" s="1"/>
  <c r="BL40"/>
  <c r="BL38" s="1"/>
  <c r="BL36"/>
  <c r="BL33" s="1"/>
  <c r="BL71" s="1"/>
  <c r="BK42"/>
  <c r="BL21"/>
  <c r="BL17" s="1"/>
  <c r="BL14"/>
  <c r="BL10" s="1"/>
  <c r="BM6"/>
  <c r="BK105" l="1"/>
  <c r="BK106" s="1"/>
  <c r="BM68"/>
  <c r="BM81"/>
  <c r="BK64"/>
  <c r="BK77"/>
  <c r="BM54"/>
  <c r="BL42"/>
  <c r="BM28"/>
  <c r="BM24" s="1"/>
  <c r="BM40"/>
  <c r="BM38" s="1"/>
  <c r="BM36"/>
  <c r="BM33" s="1"/>
  <c r="BM14"/>
  <c r="BM10" s="1"/>
  <c r="BM21"/>
  <c r="BM17" s="1"/>
  <c r="BO24" l="1"/>
  <c r="BT24"/>
  <c r="BU24" s="1"/>
  <c r="BO10"/>
  <c r="BT10"/>
  <c r="BO38"/>
  <c r="BT38"/>
  <c r="F13" i="8" s="1"/>
  <c r="BM71" i="7"/>
  <c r="BO33"/>
  <c r="BT33"/>
  <c r="BO68"/>
  <c r="BT68"/>
  <c r="BU68" s="1"/>
  <c r="BO17"/>
  <c r="BT17"/>
  <c r="BU17" s="1"/>
  <c r="BO54"/>
  <c r="BT54"/>
  <c r="BO81"/>
  <c r="BT81"/>
  <c r="BU81" s="1"/>
  <c r="BL105"/>
  <c r="BL106" s="1"/>
  <c r="BL64"/>
  <c r="BL77"/>
  <c r="BM42"/>
  <c r="F4" i="8" l="1"/>
  <c r="BU33" i="7"/>
  <c r="BO71"/>
  <c r="BT71"/>
  <c r="F3" i="8"/>
  <c r="BU10" i="7"/>
  <c r="BO42"/>
  <c r="BT42"/>
  <c r="BU38"/>
  <c r="F6" i="8"/>
  <c r="BU54" i="7"/>
  <c r="BM105"/>
  <c r="BM106" s="1"/>
  <c r="BM64"/>
  <c r="BM77"/>
  <c r="F32" i="8" l="1"/>
  <c r="F31"/>
  <c r="F34"/>
  <c r="BU42" i="7"/>
  <c r="F23" i="8"/>
  <c r="F43" s="1"/>
  <c r="F7"/>
  <c r="BU71" i="7"/>
  <c r="BO64"/>
  <c r="BT64"/>
  <c r="BU64" s="1"/>
  <c r="BO77"/>
  <c r="BT77"/>
  <c r="BU77" s="1"/>
  <c r="F5" i="8"/>
  <c r="F33" s="1"/>
  <c r="H56" i="1"/>
  <c r="H55"/>
  <c r="H57" s="1"/>
  <c r="H47"/>
  <c r="H46"/>
  <c r="H45"/>
  <c r="G31"/>
  <c r="G30"/>
  <c r="G29"/>
  <c r="G15"/>
  <c r="G14"/>
  <c r="G13"/>
  <c r="D7" i="4"/>
  <c r="E7" s="1"/>
  <c r="F7" s="1"/>
  <c r="E4"/>
  <c r="F4" s="1"/>
  <c r="D5"/>
  <c r="E5" s="1"/>
  <c r="D6"/>
  <c r="E6" s="1"/>
  <c r="F6" s="1"/>
  <c r="E57" i="1"/>
  <c r="E58"/>
  <c r="E63" s="1"/>
  <c r="E54"/>
  <c r="E55"/>
  <c r="E56"/>
  <c r="E59"/>
  <c r="E60"/>
  <c r="E61"/>
  <c r="E62"/>
  <c r="E53"/>
  <c r="E48"/>
  <c r="E46"/>
  <c r="E47"/>
  <c r="E45"/>
  <c r="B8"/>
  <c r="C40"/>
  <c r="C24"/>
  <c r="F35" i="8" l="1"/>
  <c r="F5" i="4"/>
  <c r="B19" l="1"/>
  <c r="B24" s="1"/>
  <c r="L61" i="7"/>
  <c r="T61"/>
  <c r="AB61"/>
  <c r="AJ61"/>
  <c r="AR61"/>
  <c r="AZ61"/>
  <c r="BH61"/>
  <c r="K61"/>
  <c r="S61"/>
  <c r="AA61"/>
  <c r="AI61"/>
  <c r="AQ61"/>
  <c r="AY61"/>
  <c r="BG61"/>
  <c r="J61"/>
  <c r="R61"/>
  <c r="Z61"/>
  <c r="AH61"/>
  <c r="AP61"/>
  <c r="AX61"/>
  <c r="BF61"/>
  <c r="G61"/>
  <c r="W61"/>
  <c r="AU61"/>
  <c r="BK61"/>
  <c r="I61"/>
  <c r="Q61"/>
  <c r="Y61"/>
  <c r="AG61"/>
  <c r="AO61"/>
  <c r="AW61"/>
  <c r="BE61"/>
  <c r="BM61"/>
  <c r="AM61"/>
  <c r="H61"/>
  <c r="P61"/>
  <c r="X61"/>
  <c r="AF61"/>
  <c r="AN61"/>
  <c r="AV61"/>
  <c r="BD61"/>
  <c r="BL61"/>
  <c r="O61"/>
  <c r="AE61"/>
  <c r="BC61"/>
  <c r="F62"/>
  <c r="N61"/>
  <c r="V61"/>
  <c r="AD61"/>
  <c r="AL61"/>
  <c r="AT61"/>
  <c r="BB61"/>
  <c r="BJ61"/>
  <c r="M61"/>
  <c r="U61"/>
  <c r="AC61"/>
  <c r="AK61"/>
  <c r="AS61"/>
  <c r="BA61"/>
  <c r="BI61"/>
  <c r="AC62" l="1"/>
  <c r="AC58" s="1"/>
  <c r="R62"/>
  <c r="Z62"/>
  <c r="I62"/>
  <c r="T62"/>
  <c r="T58" s="1"/>
  <c r="V62"/>
  <c r="BM62"/>
  <c r="AM62"/>
  <c r="O62"/>
  <c r="O58" s="1"/>
  <c r="AP62"/>
  <c r="BE62"/>
  <c r="S62"/>
  <c r="S58" s="1"/>
  <c r="AL62"/>
  <c r="BA62"/>
  <c r="BA58" s="1"/>
  <c r="Q62"/>
  <c r="Q58" s="1"/>
  <c r="BI62"/>
  <c r="BI58" s="1"/>
  <c r="P62"/>
  <c r="AX62"/>
  <c r="AX58" s="1"/>
  <c r="AJ62"/>
  <c r="AJ58" s="1"/>
  <c r="L62"/>
  <c r="L58" s="1"/>
  <c r="BL62"/>
  <c r="AT62"/>
  <c r="AT58" s="1"/>
  <c r="H62"/>
  <c r="H58" s="1"/>
  <c r="AI62"/>
  <c r="AI58" s="1"/>
  <c r="BB62"/>
  <c r="AE62"/>
  <c r="AE58" s="1"/>
  <c r="Y62"/>
  <c r="Y58" s="1"/>
  <c r="AQ62"/>
  <c r="AQ58" s="1"/>
  <c r="BJ62"/>
  <c r="BC62"/>
  <c r="BC58" s="1"/>
  <c r="X62"/>
  <c r="X58" s="1"/>
  <c r="AG62"/>
  <c r="AG58" s="1"/>
  <c r="BF62"/>
  <c r="AY62"/>
  <c r="AY58" s="1"/>
  <c r="AR62"/>
  <c r="AR58" s="1"/>
  <c r="AV62"/>
  <c r="AV58" s="1"/>
  <c r="K62"/>
  <c r="K58" s="1"/>
  <c r="AK62"/>
  <c r="AK58" s="1"/>
  <c r="BK62"/>
  <c r="BK58" s="1"/>
  <c r="AH62"/>
  <c r="AH58" s="1"/>
  <c r="F58"/>
  <c r="F57" s="1"/>
  <c r="AF62"/>
  <c r="AF58" s="1"/>
  <c r="G62"/>
  <c r="G58" s="1"/>
  <c r="BG62"/>
  <c r="BG58" s="1"/>
  <c r="AZ62"/>
  <c r="AZ58" s="1"/>
  <c r="AU62"/>
  <c r="AD62"/>
  <c r="BD62"/>
  <c r="BD58" s="1"/>
  <c r="AS62"/>
  <c r="AA62"/>
  <c r="M62"/>
  <c r="U62"/>
  <c r="U58" s="1"/>
  <c r="N62"/>
  <c r="AN62"/>
  <c r="AW62"/>
  <c r="W62"/>
  <c r="W58" s="1"/>
  <c r="J62"/>
  <c r="BH62"/>
  <c r="AB62"/>
  <c r="AO62"/>
  <c r="AO58" s="1"/>
  <c r="W57" l="1"/>
  <c r="U57"/>
  <c r="BD57"/>
  <c r="O57"/>
  <c r="T57"/>
  <c r="AC57"/>
  <c r="F75"/>
  <c r="BF58"/>
  <c r="BF57" s="1"/>
  <c r="BJ58"/>
  <c r="BJ57" s="1"/>
  <c r="BB58"/>
  <c r="BB57" s="1"/>
  <c r="BL58"/>
  <c r="BL57" s="1"/>
  <c r="P58"/>
  <c r="P57" s="1"/>
  <c r="AL58"/>
  <c r="AL57" s="1"/>
  <c r="J58"/>
  <c r="J57" s="1"/>
  <c r="N58"/>
  <c r="N57" s="1"/>
  <c r="AS58"/>
  <c r="AS57" s="1"/>
  <c r="AF57"/>
  <c r="AK57"/>
  <c r="AY57"/>
  <c r="BC57"/>
  <c r="AE57"/>
  <c r="AT57"/>
  <c r="AX57"/>
  <c r="BA57"/>
  <c r="AP58"/>
  <c r="AP57" s="1"/>
  <c r="V58"/>
  <c r="V57" s="1"/>
  <c r="R58"/>
  <c r="R57" s="1"/>
  <c r="AZ57"/>
  <c r="AB58"/>
  <c r="AB57" s="1"/>
  <c r="BH58"/>
  <c r="BH57" s="1"/>
  <c r="AN58"/>
  <c r="AN57" s="1"/>
  <c r="AA58"/>
  <c r="AA57" s="1"/>
  <c r="AU58"/>
  <c r="AU57" s="1"/>
  <c r="G57"/>
  <c r="BK57"/>
  <c r="AR57"/>
  <c r="X57"/>
  <c r="Y57"/>
  <c r="H57"/>
  <c r="AJ57"/>
  <c r="Q57"/>
  <c r="BM58"/>
  <c r="BM57" s="1"/>
  <c r="Z58"/>
  <c r="Z57" s="1"/>
  <c r="K57"/>
  <c r="BE58"/>
  <c r="BE57" s="1"/>
  <c r="AO57"/>
  <c r="AW58"/>
  <c r="AW57" s="1"/>
  <c r="M58"/>
  <c r="M57" s="1"/>
  <c r="AD58"/>
  <c r="AD57" s="1"/>
  <c r="BG57"/>
  <c r="AH57"/>
  <c r="AV57"/>
  <c r="AG57"/>
  <c r="AQ57"/>
  <c r="AI57"/>
  <c r="L57"/>
  <c r="BI57"/>
  <c r="S57"/>
  <c r="AM58"/>
  <c r="AM57" s="1"/>
  <c r="I58"/>
  <c r="I57" s="1"/>
  <c r="F87" l="1"/>
  <c r="F90" s="1"/>
  <c r="F93" s="1"/>
  <c r="F94" s="1"/>
  <c r="BO57"/>
  <c r="BP57"/>
  <c r="B8" i="8" s="1"/>
  <c r="B36" s="1"/>
  <c r="BS57" i="7"/>
  <c r="E8" i="8" s="1"/>
  <c r="E36" s="1"/>
  <c r="BT57" i="7"/>
  <c r="F8" i="8" s="1"/>
  <c r="F36" s="1"/>
  <c r="BR57" i="7"/>
  <c r="D8" i="8" s="1"/>
  <c r="D36" s="1"/>
  <c r="BQ57" i="7"/>
  <c r="AO75"/>
  <c r="AP75"/>
  <c r="AU75"/>
  <c r="AD75"/>
  <c r="BM75"/>
  <c r="V75"/>
  <c r="M75"/>
  <c r="Z75"/>
  <c r="R75"/>
  <c r="AM75"/>
  <c r="BE75"/>
  <c r="AB75"/>
  <c r="AL75"/>
  <c r="BH75"/>
  <c r="AN75"/>
  <c r="AW75"/>
  <c r="AA75"/>
  <c r="I75"/>
  <c r="BF75"/>
  <c r="N75"/>
  <c r="K75"/>
  <c r="AY75"/>
  <c r="BB75"/>
  <c r="L75"/>
  <c r="AZ75"/>
  <c r="BI75"/>
  <c r="H75"/>
  <c r="AE75"/>
  <c r="P75"/>
  <c r="BD75"/>
  <c r="J75"/>
  <c r="AQ75"/>
  <c r="AK75"/>
  <c r="AS75"/>
  <c r="S75"/>
  <c r="BG75"/>
  <c r="AJ75"/>
  <c r="AT75"/>
  <c r="O75"/>
  <c r="BK75"/>
  <c r="AR75"/>
  <c r="W75"/>
  <c r="BL75"/>
  <c r="AH75"/>
  <c r="Q75"/>
  <c r="AX75"/>
  <c r="T75"/>
  <c r="AG75"/>
  <c r="AF75"/>
  <c r="BJ75"/>
  <c r="AI75"/>
  <c r="X75"/>
  <c r="Y75"/>
  <c r="BC75"/>
  <c r="U75"/>
  <c r="AV75"/>
  <c r="G75"/>
  <c r="BA75"/>
  <c r="AC75"/>
  <c r="D9" i="8" l="1"/>
  <c r="D37" s="1"/>
  <c r="B9"/>
  <c r="B37" s="1"/>
  <c r="E9"/>
  <c r="E37" s="1"/>
  <c r="F9"/>
  <c r="F37" s="1"/>
  <c r="AR87" i="7"/>
  <c r="AR90" s="1"/>
  <c r="AP87"/>
  <c r="AP90" s="1"/>
  <c r="R87"/>
  <c r="R90" s="1"/>
  <c r="W87"/>
  <c r="W90" s="1"/>
  <c r="AC87"/>
  <c r="AC90" s="1"/>
  <c r="S87"/>
  <c r="S90" s="1"/>
  <c r="H87"/>
  <c r="H90" s="1"/>
  <c r="BF87"/>
  <c r="BF90" s="1"/>
  <c r="BE87"/>
  <c r="BE90" s="1"/>
  <c r="AU87"/>
  <c r="AU90" s="1"/>
  <c r="G87"/>
  <c r="G90" s="1"/>
  <c r="AO87"/>
  <c r="AO90" s="1"/>
  <c r="BI87"/>
  <c r="BI90" s="1"/>
  <c r="AI87"/>
  <c r="AI90" s="1"/>
  <c r="BG87"/>
  <c r="BG90" s="1"/>
  <c r="AE87"/>
  <c r="AE90" s="1"/>
  <c r="N87"/>
  <c r="N90" s="1"/>
  <c r="AB87"/>
  <c r="AB90" s="1"/>
  <c r="AD87"/>
  <c r="AD90" s="1"/>
  <c r="AA87"/>
  <c r="AA90" s="1"/>
  <c r="AS87"/>
  <c r="AS90" s="1"/>
  <c r="BL87"/>
  <c r="BL90" s="1"/>
  <c r="Q87"/>
  <c r="Q90" s="1"/>
  <c r="P87"/>
  <c r="P90" s="1"/>
  <c r="K87"/>
  <c r="K90" s="1"/>
  <c r="AL87"/>
  <c r="AL90" s="1"/>
  <c r="BM87"/>
  <c r="BM90" s="1"/>
  <c r="AF87"/>
  <c r="AF90" s="1"/>
  <c r="BC87"/>
  <c r="BC90" s="1"/>
  <c r="AX87"/>
  <c r="AX90" s="1"/>
  <c r="AT87"/>
  <c r="AT90" s="1"/>
  <c r="BD87"/>
  <c r="BD90" s="1"/>
  <c r="AY87"/>
  <c r="AY90" s="1"/>
  <c r="BH87"/>
  <c r="BH90" s="1"/>
  <c r="V87"/>
  <c r="V90" s="1"/>
  <c r="AZ87"/>
  <c r="AZ90" s="1"/>
  <c r="BJ87"/>
  <c r="BJ90" s="1"/>
  <c r="AM87"/>
  <c r="AM90" s="1"/>
  <c r="X87"/>
  <c r="X90" s="1"/>
  <c r="Y87"/>
  <c r="Y90" s="1"/>
  <c r="U87"/>
  <c r="U90" s="1"/>
  <c r="O87"/>
  <c r="O90" s="1"/>
  <c r="BB87"/>
  <c r="BB90" s="1"/>
  <c r="AN87"/>
  <c r="AN90" s="1"/>
  <c r="M87"/>
  <c r="M90" s="1"/>
  <c r="AK87"/>
  <c r="AK90" s="1"/>
  <c r="BA87"/>
  <c r="BA90" s="1"/>
  <c r="I87"/>
  <c r="I90" s="1"/>
  <c r="AH87"/>
  <c r="AH90" s="1"/>
  <c r="AJ87"/>
  <c r="AJ90" s="1"/>
  <c r="T87"/>
  <c r="T90" s="1"/>
  <c r="J87"/>
  <c r="J90" s="1"/>
  <c r="AV87"/>
  <c r="AV90" s="1"/>
  <c r="AG87"/>
  <c r="AG90" s="1"/>
  <c r="BK87"/>
  <c r="BK90" s="1"/>
  <c r="AQ87"/>
  <c r="AQ90" s="1"/>
  <c r="L87"/>
  <c r="L90" s="1"/>
  <c r="AW87"/>
  <c r="AW90" s="1"/>
  <c r="Z87"/>
  <c r="Z90" s="1"/>
  <c r="BO75"/>
  <c r="F109"/>
  <c r="BQ75"/>
  <c r="BP75"/>
  <c r="BS75"/>
  <c r="BR75"/>
  <c r="BU57"/>
  <c r="C8" i="8"/>
  <c r="C36" s="1"/>
  <c r="BT75" i="7"/>
  <c r="BP109" l="1"/>
  <c r="B11" i="8"/>
  <c r="B39" s="1"/>
  <c r="E11"/>
  <c r="E39" s="1"/>
  <c r="F11"/>
  <c r="F39" s="1"/>
  <c r="D11"/>
  <c r="D39" s="1"/>
  <c r="C9"/>
  <c r="C37" s="1"/>
  <c r="BC93" i="7"/>
  <c r="BC94" s="1"/>
  <c r="BC109"/>
  <c r="BC118" s="1"/>
  <c r="BQ87"/>
  <c r="C15" i="8" s="1"/>
  <c r="BK93" i="7"/>
  <c r="BK94" s="1"/>
  <c r="BK109"/>
  <c r="BK118" s="1"/>
  <c r="H93"/>
  <c r="H94" s="1"/>
  <c r="H109"/>
  <c r="H118" s="1"/>
  <c r="AJ93"/>
  <c r="AJ94" s="1"/>
  <c r="AJ109"/>
  <c r="AJ118" s="1"/>
  <c r="AT93"/>
  <c r="AT94" s="1"/>
  <c r="AT109"/>
  <c r="AT118" s="1"/>
  <c r="O93"/>
  <c r="O94" s="1"/>
  <c r="O109"/>
  <c r="O118" s="1"/>
  <c r="V93"/>
  <c r="V94" s="1"/>
  <c r="V109"/>
  <c r="V118" s="1"/>
  <c r="G93"/>
  <c r="G94" s="1"/>
  <c r="G109"/>
  <c r="BE93"/>
  <c r="BE94" s="1"/>
  <c r="BE109"/>
  <c r="BE118" s="1"/>
  <c r="BJ93"/>
  <c r="BJ94" s="1"/>
  <c r="BJ109"/>
  <c r="BJ118" s="1"/>
  <c r="T93"/>
  <c r="T94" s="1"/>
  <c r="T109"/>
  <c r="T118" s="1"/>
  <c r="AL93"/>
  <c r="AL94" s="1"/>
  <c r="AL109"/>
  <c r="AL118" s="1"/>
  <c r="BD93"/>
  <c r="BD94" s="1"/>
  <c r="BD109"/>
  <c r="BD118" s="1"/>
  <c r="BS87"/>
  <c r="E15" i="8" s="1"/>
  <c r="AU93" i="7"/>
  <c r="AU94" s="1"/>
  <c r="AU109"/>
  <c r="AU118" s="1"/>
  <c r="AY93"/>
  <c r="AY94" s="1"/>
  <c r="AY109"/>
  <c r="AY118" s="1"/>
  <c r="AG93"/>
  <c r="AG94" s="1"/>
  <c r="AG109"/>
  <c r="AG118" s="1"/>
  <c r="M93"/>
  <c r="M94" s="1"/>
  <c r="M109"/>
  <c r="M118" s="1"/>
  <c r="BP90"/>
  <c r="AQ93"/>
  <c r="AQ94" s="1"/>
  <c r="AQ109"/>
  <c r="AQ118" s="1"/>
  <c r="AS93"/>
  <c r="AS94" s="1"/>
  <c r="AS109"/>
  <c r="AS118" s="1"/>
  <c r="AI93"/>
  <c r="AI94" s="1"/>
  <c r="AI109"/>
  <c r="AI118" s="1"/>
  <c r="BI93"/>
  <c r="BI94" s="1"/>
  <c r="BI109"/>
  <c r="BI118" s="1"/>
  <c r="AK93"/>
  <c r="AK94" s="1"/>
  <c r="AK109"/>
  <c r="AK118" s="1"/>
  <c r="AO93"/>
  <c r="AO94" s="1"/>
  <c r="AO109"/>
  <c r="AO118" s="1"/>
  <c r="F118"/>
  <c r="F110"/>
  <c r="F111" s="1"/>
  <c r="BG93"/>
  <c r="BG94" s="1"/>
  <c r="BG109"/>
  <c r="BG118" s="1"/>
  <c r="W93"/>
  <c r="W94" s="1"/>
  <c r="W109"/>
  <c r="W118" s="1"/>
  <c r="J93"/>
  <c r="J94" s="1"/>
  <c r="J109"/>
  <c r="J118" s="1"/>
  <c r="L93"/>
  <c r="L94" s="1"/>
  <c r="L109"/>
  <c r="L118" s="1"/>
  <c r="Y93"/>
  <c r="Y94" s="1"/>
  <c r="Y109"/>
  <c r="Y118" s="1"/>
  <c r="AF93"/>
  <c r="AF94" s="1"/>
  <c r="AF109"/>
  <c r="AF118" s="1"/>
  <c r="P93"/>
  <c r="P94" s="1"/>
  <c r="P109"/>
  <c r="P118" s="1"/>
  <c r="BO87"/>
  <c r="AX93"/>
  <c r="AX94" s="1"/>
  <c r="AX109"/>
  <c r="AX118" s="1"/>
  <c r="Z93"/>
  <c r="Z94" s="1"/>
  <c r="Z109"/>
  <c r="Z118" s="1"/>
  <c r="AN93"/>
  <c r="AN94" s="1"/>
  <c r="AN109"/>
  <c r="AN118" s="1"/>
  <c r="BT87"/>
  <c r="F15" i="8" s="1"/>
  <c r="BH93" i="7"/>
  <c r="BH94" s="1"/>
  <c r="BH109"/>
  <c r="BH118" s="1"/>
  <c r="AC93"/>
  <c r="AC94" s="1"/>
  <c r="AC109"/>
  <c r="AC118" s="1"/>
  <c r="AZ93"/>
  <c r="AZ94" s="1"/>
  <c r="AZ109"/>
  <c r="AZ118" s="1"/>
  <c r="AR93"/>
  <c r="AR94" s="1"/>
  <c r="AR109"/>
  <c r="AR118" s="1"/>
  <c r="X93"/>
  <c r="X94" s="1"/>
  <c r="X109"/>
  <c r="X118" s="1"/>
  <c r="BP87"/>
  <c r="B15" i="8" s="1"/>
  <c r="U93" i="7"/>
  <c r="U94" s="1"/>
  <c r="U109"/>
  <c r="U118" s="1"/>
  <c r="BM93"/>
  <c r="BM94" s="1"/>
  <c r="BM109"/>
  <c r="BM118" s="1"/>
  <c r="AW93"/>
  <c r="AW94" s="1"/>
  <c r="AW109"/>
  <c r="AW118" s="1"/>
  <c r="BF93"/>
  <c r="BF94" s="1"/>
  <c r="BF109"/>
  <c r="BF118" s="1"/>
  <c r="AM93"/>
  <c r="AM94" s="1"/>
  <c r="AM109"/>
  <c r="AM118" s="1"/>
  <c r="Q93"/>
  <c r="Q94" s="1"/>
  <c r="Q109"/>
  <c r="Q118" s="1"/>
  <c r="BA93"/>
  <c r="BA94" s="1"/>
  <c r="BA109"/>
  <c r="BA118" s="1"/>
  <c r="AA93"/>
  <c r="AA94" s="1"/>
  <c r="AA109"/>
  <c r="AA118" s="1"/>
  <c r="AE93"/>
  <c r="AE94" s="1"/>
  <c r="AE109"/>
  <c r="AE118" s="1"/>
  <c r="N93"/>
  <c r="N94" s="1"/>
  <c r="N109"/>
  <c r="N118" s="1"/>
  <c r="BR87"/>
  <c r="D15" i="8" s="1"/>
  <c r="AV93" i="7"/>
  <c r="AV94" s="1"/>
  <c r="AV109"/>
  <c r="AV118" s="1"/>
  <c r="S93"/>
  <c r="S94" s="1"/>
  <c r="S109"/>
  <c r="S118" s="1"/>
  <c r="K93"/>
  <c r="K94" s="1"/>
  <c r="K109"/>
  <c r="K118" s="1"/>
  <c r="I93"/>
  <c r="I94" s="1"/>
  <c r="I109"/>
  <c r="I118" s="1"/>
  <c r="BL93"/>
  <c r="BL94" s="1"/>
  <c r="BL109"/>
  <c r="BL118" s="1"/>
  <c r="AH93"/>
  <c r="AH94" s="1"/>
  <c r="AH109"/>
  <c r="AH118" s="1"/>
  <c r="AB93"/>
  <c r="AB94" s="1"/>
  <c r="AB109"/>
  <c r="AB118" s="1"/>
  <c r="BU75"/>
  <c r="B3" i="13" l="1"/>
  <c r="BU109" i="7"/>
  <c r="F119"/>
  <c r="B41" i="8"/>
  <c r="B45" s="1"/>
  <c r="B8" i="12" s="1"/>
  <c r="B10" s="1"/>
  <c r="E41" i="8"/>
  <c r="E45" s="1"/>
  <c r="E8" i="12" s="1"/>
  <c r="E10" s="1"/>
  <c r="F41" i="8"/>
  <c r="F45" s="1"/>
  <c r="D41"/>
  <c r="D45" s="1"/>
  <c r="D8" i="12" s="1"/>
  <c r="D10" s="1"/>
  <c r="B14" i="8"/>
  <c r="B16" s="1"/>
  <c r="C11"/>
  <c r="C39" s="1"/>
  <c r="C41" s="1"/>
  <c r="C45" s="1"/>
  <c r="C8" i="12" s="1"/>
  <c r="C10" s="1"/>
  <c r="E14" i="8"/>
  <c r="E16" s="1"/>
  <c r="F14"/>
  <c r="F16" s="1"/>
  <c r="D14"/>
  <c r="D16" s="1"/>
  <c r="BO90" i="7"/>
  <c r="AP93"/>
  <c r="BS90"/>
  <c r="AP109"/>
  <c r="AP118" s="1"/>
  <c r="R93"/>
  <c r="BQ90"/>
  <c r="R109"/>
  <c r="R118" s="1"/>
  <c r="G118"/>
  <c r="G110"/>
  <c r="BP93"/>
  <c r="BB93"/>
  <c r="BT90"/>
  <c r="BB109"/>
  <c r="BB118" s="1"/>
  <c r="AD93"/>
  <c r="BR90"/>
  <c r="AD109"/>
  <c r="AD118" s="1"/>
  <c r="BU87"/>
  <c r="B4" i="13" l="1"/>
  <c r="B6" s="1"/>
  <c r="B33"/>
  <c r="B34" s="1"/>
  <c r="B41"/>
  <c r="B42" s="1"/>
  <c r="H42" s="1"/>
  <c r="F120" i="7"/>
  <c r="G119"/>
  <c r="G120" s="1"/>
  <c r="D13" i="12"/>
  <c r="D37" s="1"/>
  <c r="B47"/>
  <c r="D52" s="1"/>
  <c r="F8"/>
  <c r="F10" s="1"/>
  <c r="C14" i="8"/>
  <c r="C16" s="1"/>
  <c r="BU90" i="7"/>
  <c r="AP94"/>
  <c r="BS93"/>
  <c r="BB94"/>
  <c r="BT93"/>
  <c r="H110"/>
  <c r="G111"/>
  <c r="R94"/>
  <c r="BQ93"/>
  <c r="AD94"/>
  <c r="BR93"/>
  <c r="BO93"/>
  <c r="I34" i="13" l="1"/>
  <c r="D54" i="12"/>
  <c r="B17" i="13" s="1"/>
  <c r="G33"/>
  <c r="G34" s="1"/>
  <c r="B16"/>
  <c r="B23"/>
  <c r="B24" s="1"/>
  <c r="H119" i="7"/>
  <c r="H120" s="1"/>
  <c r="BU93"/>
  <c r="I110"/>
  <c r="H111"/>
  <c r="B18" i="13" l="1"/>
  <c r="D61" i="12"/>
  <c r="E8" i="14"/>
  <c r="B55" i="13"/>
  <c r="E6" i="14"/>
  <c r="E3"/>
  <c r="E5"/>
  <c r="E7"/>
  <c r="E4"/>
  <c r="E9"/>
  <c r="E10"/>
  <c r="I119" i="7"/>
  <c r="I120" s="1"/>
  <c r="J110"/>
  <c r="I111"/>
  <c r="B54" i="13" l="1"/>
  <c r="E11" i="14"/>
  <c r="J119" i="7"/>
  <c r="J120" s="1"/>
  <c r="K110"/>
  <c r="J111"/>
  <c r="G37" i="14" l="1"/>
  <c r="H24"/>
  <c r="F37"/>
  <c r="G24"/>
  <c r="E37"/>
  <c r="F24"/>
  <c r="D37"/>
  <c r="E24"/>
  <c r="C37"/>
  <c r="D24"/>
  <c r="C24"/>
  <c r="B37"/>
  <c r="H37"/>
  <c r="B24"/>
  <c r="K119" i="7"/>
  <c r="K120" s="1"/>
  <c r="L110"/>
  <c r="K111"/>
  <c r="L119" l="1"/>
  <c r="L120" s="1"/>
  <c r="M110"/>
  <c r="L111"/>
  <c r="M119" l="1"/>
  <c r="M120" s="1"/>
  <c r="N110"/>
  <c r="M111"/>
  <c r="N119" l="1"/>
  <c r="N120" s="1"/>
  <c r="O110"/>
  <c r="N111"/>
  <c r="O119" l="1"/>
  <c r="O120" s="1"/>
  <c r="P110"/>
  <c r="O111"/>
  <c r="P119" l="1"/>
  <c r="P120" s="1"/>
  <c r="Q110"/>
  <c r="P111"/>
  <c r="Q119" l="1"/>
  <c r="R110"/>
  <c r="Q111"/>
  <c r="R119" l="1"/>
  <c r="R120" s="1"/>
  <c r="Q120"/>
  <c r="S110"/>
  <c r="R111"/>
  <c r="S119" l="1"/>
  <c r="S120" s="1"/>
  <c r="T110"/>
  <c r="S111"/>
  <c r="T119" l="1"/>
  <c r="T120" s="1"/>
  <c r="U110"/>
  <c r="T111"/>
  <c r="U119" l="1"/>
  <c r="U120" s="1"/>
  <c r="V110"/>
  <c r="U111"/>
  <c r="V119" l="1"/>
  <c r="V120" s="1"/>
  <c r="W110"/>
  <c r="V111"/>
  <c r="W119" l="1"/>
  <c r="W120" s="1"/>
  <c r="X110"/>
  <c r="W111"/>
  <c r="X119" l="1"/>
  <c r="X120" s="1"/>
  <c r="Y110"/>
  <c r="X111"/>
  <c r="Y119" l="1"/>
  <c r="Y120" s="1"/>
  <c r="Z110"/>
  <c r="Y111"/>
  <c r="Z119" l="1"/>
  <c r="Z120" s="1"/>
  <c r="AA110"/>
  <c r="Z111"/>
  <c r="AA119" l="1"/>
  <c r="AA120" s="1"/>
  <c r="AB110"/>
  <c r="AA111"/>
  <c r="AB119" l="1"/>
  <c r="AB120" s="1"/>
  <c r="AC110"/>
  <c r="AB111"/>
  <c r="AC119" l="1"/>
  <c r="AD110"/>
  <c r="AC111"/>
  <c r="AD119" l="1"/>
  <c r="AD120" s="1"/>
  <c r="AC120"/>
  <c r="AE110"/>
  <c r="AD111"/>
  <c r="AE119" l="1"/>
  <c r="AE120" s="1"/>
  <c r="AF110"/>
  <c r="AE111"/>
  <c r="AF119" l="1"/>
  <c r="AF120" s="1"/>
  <c r="AG110"/>
  <c r="AF111"/>
  <c r="AG119" l="1"/>
  <c r="AG120" s="1"/>
  <c r="AH110"/>
  <c r="AG111"/>
  <c r="AH119" l="1"/>
  <c r="AH120" s="1"/>
  <c r="AI110"/>
  <c r="AH111"/>
  <c r="AI119" l="1"/>
  <c r="AI120" s="1"/>
  <c r="AJ110"/>
  <c r="AI111"/>
  <c r="AJ119" l="1"/>
  <c r="AJ120" s="1"/>
  <c r="AK110"/>
  <c r="AJ111"/>
  <c r="AK119" l="1"/>
  <c r="AK120" s="1"/>
  <c r="AL110"/>
  <c r="AK111"/>
  <c r="AL119" l="1"/>
  <c r="AL120" s="1"/>
  <c r="AM110"/>
  <c r="AL111"/>
  <c r="AM119" l="1"/>
  <c r="AM120" s="1"/>
  <c r="AN110"/>
  <c r="AM111"/>
  <c r="AN119" l="1"/>
  <c r="AN120" s="1"/>
  <c r="AO110"/>
  <c r="AN111"/>
  <c r="AO119" l="1"/>
  <c r="AP110"/>
  <c r="AO111"/>
  <c r="AP119" l="1"/>
  <c r="AP120" s="1"/>
  <c r="AO120"/>
  <c r="AQ110"/>
  <c r="AP111"/>
  <c r="AQ119" l="1"/>
  <c r="AQ120" s="1"/>
  <c r="AR110"/>
  <c r="AQ111"/>
  <c r="AR119" l="1"/>
  <c r="AR120" s="1"/>
  <c r="AS110"/>
  <c r="AR111"/>
  <c r="AS119" l="1"/>
  <c r="AS120" s="1"/>
  <c r="AT110"/>
  <c r="AS111"/>
  <c r="AT119" l="1"/>
  <c r="AT120" s="1"/>
  <c r="AU110"/>
  <c r="AT111"/>
  <c r="AU119" l="1"/>
  <c r="AU120" s="1"/>
  <c r="AV110"/>
  <c r="AU111"/>
  <c r="AV119" l="1"/>
  <c r="AV120" s="1"/>
  <c r="AW110"/>
  <c r="AV111"/>
  <c r="AW119" l="1"/>
  <c r="AW120" s="1"/>
  <c r="AX110"/>
  <c r="AW111"/>
  <c r="AX119" l="1"/>
  <c r="AX120" s="1"/>
  <c r="AY110"/>
  <c r="AX111"/>
  <c r="AY119" l="1"/>
  <c r="AY120" s="1"/>
  <c r="AZ110"/>
  <c r="AY111"/>
  <c r="AZ119" l="1"/>
  <c r="AZ120" s="1"/>
  <c r="BA110"/>
  <c r="AZ111"/>
  <c r="BA119" l="1"/>
  <c r="BB110"/>
  <c r="BA111"/>
  <c r="BB119" l="1"/>
  <c r="BB120" s="1"/>
  <c r="BA120"/>
  <c r="BC110"/>
  <c r="BB111"/>
  <c r="BC119" l="1"/>
  <c r="BC120" s="1"/>
  <c r="BD110"/>
  <c r="BC111"/>
  <c r="BD119" l="1"/>
  <c r="BD120" s="1"/>
  <c r="BE110"/>
  <c r="BD111"/>
  <c r="BE119" l="1"/>
  <c r="BE120" s="1"/>
  <c r="BF110"/>
  <c r="BE111"/>
  <c r="BF119" l="1"/>
  <c r="BF120" s="1"/>
  <c r="BG110"/>
  <c r="BF111"/>
  <c r="BG119" l="1"/>
  <c r="BG120" s="1"/>
  <c r="BH110"/>
  <c r="BG111"/>
  <c r="BH119" l="1"/>
  <c r="BH120" s="1"/>
  <c r="BI110"/>
  <c r="BH111"/>
  <c r="BI119" l="1"/>
  <c r="BI120" s="1"/>
  <c r="BJ110"/>
  <c r="BI111"/>
  <c r="BJ119" l="1"/>
  <c r="BJ120" s="1"/>
  <c r="BK110"/>
  <c r="BJ111"/>
  <c r="BK119" l="1"/>
  <c r="BK120" s="1"/>
  <c r="BL110"/>
  <c r="BK111"/>
  <c r="BL119" l="1"/>
  <c r="BL120" s="1"/>
  <c r="BM110"/>
  <c r="BM111" s="1"/>
  <c r="B113" s="1"/>
  <c r="BL111"/>
  <c r="C113" l="1"/>
  <c r="B49" i="13"/>
  <c r="BM119" i="7"/>
  <c r="BM120" l="1"/>
  <c r="B122" l="1"/>
  <c r="C122" l="1"/>
  <c r="B50" i="13"/>
</calcChain>
</file>

<file path=xl/comments1.xml><?xml version="1.0" encoding="utf-8"?>
<comments xmlns="http://schemas.openxmlformats.org/spreadsheetml/2006/main">
  <authors>
    <author>Автор</author>
  </authors>
  <commentList>
    <comment ref="B6" authorId="0">
      <text>
        <r>
          <rPr>
            <sz val="9"/>
            <color indexed="81"/>
            <rFont val="Tahoma"/>
            <family val="2"/>
            <charset val="204"/>
          </rPr>
          <t xml:space="preserve">Можно через ЧПС
</t>
        </r>
      </text>
    </comment>
    <comment ref="B18" authorId="0">
      <text>
        <r>
          <rPr>
            <b/>
            <sz val="9"/>
            <color indexed="81"/>
            <rFont val="Tahoma"/>
            <family val="2"/>
            <charset val="204"/>
          </rPr>
          <t>Можно посчитатать через ЧПС-Io</t>
        </r>
      </text>
    </comment>
    <comment ref="B24" authorId="0">
      <text>
        <r>
          <rPr>
            <b/>
            <sz val="9"/>
            <color indexed="81"/>
            <rFont val="Tahoma"/>
            <family val="2"/>
            <charset val="204"/>
          </rPr>
          <t>Можно через ЧПС-Io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37" authorId="0">
      <text>
        <r>
          <rPr>
            <b/>
            <sz val="9"/>
            <color indexed="81"/>
            <rFont val="Tahoma"/>
            <family val="2"/>
            <charset val="204"/>
          </rPr>
          <t>Поиск решения или ВСД</t>
        </r>
      </text>
    </comment>
    <comment ref="B45" authorId="0">
      <text>
        <r>
          <rPr>
            <b/>
            <sz val="9"/>
            <color indexed="81"/>
            <rFont val="Tahoma"/>
            <family val="2"/>
            <charset val="204"/>
          </rPr>
          <t>Через поиск решения или ВСД</t>
        </r>
      </text>
    </comment>
  </commentList>
</comments>
</file>

<file path=xl/sharedStrings.xml><?xml version="1.0" encoding="utf-8"?>
<sst xmlns="http://schemas.openxmlformats.org/spreadsheetml/2006/main" count="614" uniqueCount="373">
  <si>
    <t>Помещение</t>
  </si>
  <si>
    <t>Статья расходов</t>
  </si>
  <si>
    <t>Стоимость, руб.</t>
  </si>
  <si>
    <t>Цена, руб.</t>
  </si>
  <si>
    <t>-</t>
  </si>
  <si>
    <t>Проект вентиляции и ее могнтаж</t>
  </si>
  <si>
    <t>Проект электропроводки и его выполнение</t>
  </si>
  <si>
    <t>Пожарное оснащение</t>
  </si>
  <si>
    <t>Ремонт</t>
  </si>
  <si>
    <t>Игровое место стандарт</t>
  </si>
  <si>
    <t>ИТОГО</t>
  </si>
  <si>
    <t>Комлектующие</t>
  </si>
  <si>
    <t>Наименование</t>
  </si>
  <si>
    <t>Клавиатура</t>
  </si>
  <si>
    <t>Мышь</t>
  </si>
  <si>
    <t>Коврик</t>
  </si>
  <si>
    <t>Наушники</t>
  </si>
  <si>
    <t xml:space="preserve">Процессор </t>
  </si>
  <si>
    <t>Видеокарта</t>
  </si>
  <si>
    <t>Оперативная память</t>
  </si>
  <si>
    <t>Монитор</t>
  </si>
  <si>
    <t>RAZER BLACKWIDOW</t>
  </si>
  <si>
    <t>THUNDER X3TM30</t>
  </si>
  <si>
    <t>THUNDER X3TMP40</t>
  </si>
  <si>
    <t>RAZER KRAKEN</t>
  </si>
  <si>
    <t>NVIDIA RTX 2070</t>
  </si>
  <si>
    <t>16 Gb DDR4</t>
  </si>
  <si>
    <t>ACER Nitro VG240Ybmipx 23.8"</t>
  </si>
  <si>
    <t>ПО</t>
  </si>
  <si>
    <t>Windows 10 Pro</t>
  </si>
  <si>
    <t>Игровое кресло</t>
  </si>
  <si>
    <t>Стол компьютерный</t>
  </si>
  <si>
    <t>INTEL CORE i-5 9600k</t>
  </si>
  <si>
    <t>DXRacer</t>
  </si>
  <si>
    <t>Стол для ПК</t>
  </si>
  <si>
    <t>Игровое место VIP</t>
  </si>
  <si>
    <t>ASUS ROG CLAYMORE</t>
  </si>
  <si>
    <t>ASUS ROG GLADIUS 2</t>
  </si>
  <si>
    <t>ASUS ROG SCABBARD</t>
  </si>
  <si>
    <t>ASUS ROG DELTA</t>
  </si>
  <si>
    <t>INTEL CORE i-9 9700k</t>
  </si>
  <si>
    <t>MSI RTX 2080</t>
  </si>
  <si>
    <t>ASUS ROG Strix XG248Q 240 ГЦ, 24 “</t>
  </si>
  <si>
    <t>PS4+VR</t>
  </si>
  <si>
    <t>PS4</t>
  </si>
  <si>
    <t>Телевизоры</t>
  </si>
  <si>
    <t xml:space="preserve">Sony PlayStation VR (CUH-ZVR2) + PlayStation Camera </t>
  </si>
  <si>
    <t>SAMSUNG UE49RU8000UXRU Ultra HD 4K (2160p)</t>
  </si>
  <si>
    <t>Зона кафе и администратора</t>
  </si>
  <si>
    <t>Видеонаблюдение</t>
  </si>
  <si>
    <t>Кол-во</t>
  </si>
  <si>
    <t>Компьютер администратора</t>
  </si>
  <si>
    <t>Кресло администратора</t>
  </si>
  <si>
    <t>Стойка администратора</t>
  </si>
  <si>
    <t>Принтер</t>
  </si>
  <si>
    <t>Онлайн касса</t>
  </si>
  <si>
    <t>Стол кафе</t>
  </si>
  <si>
    <t>Минидиваны</t>
  </si>
  <si>
    <t>Оборудование кафе</t>
  </si>
  <si>
    <t>Диваны</t>
  </si>
  <si>
    <t>Кальяны</t>
  </si>
  <si>
    <t>Статья расхода</t>
  </si>
  <si>
    <t>Кресло рабочее Arachno</t>
  </si>
  <si>
    <t>Xerox Phaser 3020BI</t>
  </si>
  <si>
    <t>Стендмебель раскладной</t>
  </si>
  <si>
    <t>СВЭНСТА</t>
  </si>
  <si>
    <t xml:space="preserve">Милан 120 </t>
  </si>
  <si>
    <t>Khalil Mamoon Trimetal Triple</t>
  </si>
  <si>
    <t>Заработная плата</t>
  </si>
  <si>
    <t>Должность</t>
  </si>
  <si>
    <t>З/П, руб</t>
  </si>
  <si>
    <t>Отчисления ЕСН</t>
  </si>
  <si>
    <t>ЕСН</t>
  </si>
  <si>
    <t>Управляющий</t>
  </si>
  <si>
    <t>Оклад, руб.</t>
  </si>
  <si>
    <t>Администратор</t>
  </si>
  <si>
    <t>ИТ-специалист</t>
  </si>
  <si>
    <t>Кальянщик</t>
  </si>
  <si>
    <t>Аутсорсинг</t>
  </si>
  <si>
    <t>Бухгалтерия</t>
  </si>
  <si>
    <t>Уборщица</t>
  </si>
  <si>
    <t>Амортизация стандартного ПК (5лет)</t>
  </si>
  <si>
    <t>Ежегодная амортизация, руб.</t>
  </si>
  <si>
    <t>Ежемесячная амортизация, руб.</t>
  </si>
  <si>
    <t>Амортизация VIP ПК (5лет)</t>
  </si>
  <si>
    <t>Амортизация ТВ (5лет)</t>
  </si>
  <si>
    <t>Амортизация ПК администратора (5лет)</t>
  </si>
  <si>
    <t>Операционные затраты</t>
  </si>
  <si>
    <t>Сумма, руб.</t>
  </si>
  <si>
    <t>З/п</t>
  </si>
  <si>
    <t>Аренда</t>
  </si>
  <si>
    <t>Электричество и интернет</t>
  </si>
  <si>
    <t>Покупка еды и напитков</t>
  </si>
  <si>
    <t>Непредвиденное</t>
  </si>
  <si>
    <t>ВВОДНЫЕ ДАННЫЕ / ASSUMPTIONS</t>
  </si>
  <si>
    <t>UNIT</t>
  </si>
  <si>
    <t>Ед. изм.</t>
  </si>
  <si>
    <t>Значение</t>
  </si>
  <si>
    <t>Количество стандартных PC</t>
  </si>
  <si>
    <t>шт.</t>
  </si>
  <si>
    <t>Площадь помещения</t>
  </si>
  <si>
    <t>м2</t>
  </si>
  <si>
    <t xml:space="preserve">REVENUE  </t>
  </si>
  <si>
    <t>1 год</t>
  </si>
  <si>
    <t>2 год</t>
  </si>
  <si>
    <t>3 год</t>
  </si>
  <si>
    <t>4 год</t>
  </si>
  <si>
    <t>5 год</t>
  </si>
  <si>
    <t>% загрузки PC</t>
  </si>
  <si>
    <t>%</t>
  </si>
  <si>
    <t>% загрузки PC VIP</t>
  </si>
  <si>
    <t>% загрузки  Sony PS + TV Led</t>
  </si>
  <si>
    <t>Средняя стоимость часа игры PC</t>
  </si>
  <si>
    <t>руб.</t>
  </si>
  <si>
    <t>Средняя стоимость часа игры PC VIP</t>
  </si>
  <si>
    <t xml:space="preserve">Средняя стоимость часа игры Sony PS </t>
  </si>
  <si>
    <t>Рублей выручки бара на 1 час игрового времени</t>
  </si>
  <si>
    <t>руб./час.</t>
  </si>
  <si>
    <t>Прочие доходы</t>
  </si>
  <si>
    <t>руб./мес.</t>
  </si>
  <si>
    <t>OPEX (операционные расходы)</t>
  </si>
  <si>
    <t>Ставка аренды помещения (фикс ставка/постоянная часть)</t>
  </si>
  <si>
    <t>руб./м2 год</t>
  </si>
  <si>
    <t>% роста годовой арендной ставки помещения</t>
  </si>
  <si>
    <t>% в год</t>
  </si>
  <si>
    <t>Доля прочих затрат (мелкие затраты)</t>
  </si>
  <si>
    <t>% от затрат</t>
  </si>
  <si>
    <t>Отношение оборотного капитала к выручке</t>
  </si>
  <si>
    <t>% от выручки</t>
  </si>
  <si>
    <t>Сумма официальной з/п в мес.</t>
  </si>
  <si>
    <t>% затрат на рекламу от выручки</t>
  </si>
  <si>
    <t>Маржинальность бара / % наценки</t>
  </si>
  <si>
    <t>тыс.руб/мес.</t>
  </si>
  <si>
    <t>Доля карточных платежей от выручки</t>
  </si>
  <si>
    <t>Комиссия за эквайринг</t>
  </si>
  <si>
    <t>Бухгалтерское обсулживание</t>
  </si>
  <si>
    <t>Инфляция</t>
  </si>
  <si>
    <t>Количество PC Boot Camp (VIP)</t>
  </si>
  <si>
    <t>Количество  Sony PS + TV</t>
  </si>
  <si>
    <t>Ставка УСН (доходы-расходы)</t>
  </si>
  <si>
    <t>Затраты на интернет и электричество в мес.</t>
  </si>
  <si>
    <t>tax rate</t>
  </si>
  <si>
    <t>CAPEX (ИНВЕСТИЦИИ)</t>
  </si>
  <si>
    <t>ед. изм.</t>
  </si>
  <si>
    <t>Цена за ед., руб.</t>
  </si>
  <si>
    <t>Стоимость</t>
  </si>
  <si>
    <t>ПОМЕЩЕНИЕ</t>
  </si>
  <si>
    <t>1 место</t>
  </si>
  <si>
    <t>VR</t>
  </si>
  <si>
    <t>работ</t>
  </si>
  <si>
    <t>Оборудование игровых мест</t>
  </si>
  <si>
    <t>ПК стандарт+мебель</t>
  </si>
  <si>
    <t>ПК VIP+мебель</t>
  </si>
  <si>
    <t>PS4+мебель</t>
  </si>
  <si>
    <t>ТВ</t>
  </si>
  <si>
    <t>ИНВЕСТИЦИИ ВСЕГО</t>
  </si>
  <si>
    <t>МОДЕЛЬ</t>
  </si>
  <si>
    <t>Годовая инфляция</t>
  </si>
  <si>
    <t>Инфляция периода</t>
  </si>
  <si>
    <t>Накопленная инфляция</t>
  </si>
  <si>
    <t>Среднее количество часов в месяце всего 1PC</t>
  </si>
  <si>
    <t>часов/1PC</t>
  </si>
  <si>
    <t>Период</t>
  </si>
  <si>
    <t>Всего</t>
  </si>
  <si>
    <t>Выручка от аренды стандартных PC</t>
  </si>
  <si>
    <t>Количество компьютеров PC</t>
  </si>
  <si>
    <t>Средняя стоимость часа игры PC с инфляцией</t>
  </si>
  <si>
    <t>Количество часов игрового времени 1 PC</t>
  </si>
  <si>
    <t>часов /1 PC</t>
  </si>
  <si>
    <t>руб/час</t>
  </si>
  <si>
    <t>Выручка от PC VIP</t>
  </si>
  <si>
    <t xml:space="preserve"> Выручка от аренды Sony PS </t>
  </si>
  <si>
    <t>Количество компьютеров PS</t>
  </si>
  <si>
    <t>% загрузки PS</t>
  </si>
  <si>
    <t>Средняя стоимость часа игры PS</t>
  </si>
  <si>
    <t>Средняя стоимость часа игры PS с инфляцией</t>
  </si>
  <si>
    <t>Количество часов игрового времени 1 PS</t>
  </si>
  <si>
    <t>часов /1 PS</t>
  </si>
  <si>
    <t>Выручка кафе</t>
  </si>
  <si>
    <t>Всего часов игрового времени</t>
  </si>
  <si>
    <t>часов</t>
  </si>
  <si>
    <t>Рублей выручки бара на 1 час игрового времени с инфляцией</t>
  </si>
  <si>
    <t>Всего часов игрового времени всех PC / PS</t>
  </si>
  <si>
    <t>Прочие доходы без инфляции</t>
  </si>
  <si>
    <t>Прочие доходы с инфляцией</t>
  </si>
  <si>
    <t>TOTAL REVENUE</t>
  </si>
  <si>
    <t>OPEX</t>
  </si>
  <si>
    <t>Среднее количество рабочих дней</t>
  </si>
  <si>
    <t>дней</t>
  </si>
  <si>
    <t>Аренда помещения (фиксированная ставка)</t>
  </si>
  <si>
    <t>Площадь</t>
  </si>
  <si>
    <t>Ставка аренды</t>
  </si>
  <si>
    <t>руб./м2 в год</t>
  </si>
  <si>
    <t xml:space="preserve">Накопленный % роста </t>
  </si>
  <si>
    <t>Коммунальные платежи</t>
  </si>
  <si>
    <t>Коммунальные платежи в мес. на 1 м2</t>
  </si>
  <si>
    <t>Фонд оплаты труда</t>
  </si>
  <si>
    <t>ставка ЕСН</t>
  </si>
  <si>
    <t>Сумма отчислений ЕСН</t>
  </si>
  <si>
    <t>Реклама</t>
  </si>
  <si>
    <t>% корректировки суммы затрат на рекламу</t>
  </si>
  <si>
    <t>Интернет</t>
  </si>
  <si>
    <t>Закупки Бар</t>
  </si>
  <si>
    <t>Прочие затраты</t>
  </si>
  <si>
    <t>Эквайринг</t>
  </si>
  <si>
    <t>Бухгалтреское обслуживание</t>
  </si>
  <si>
    <t>TOTAL OPEX</t>
  </si>
  <si>
    <t>Комаунальные платежи (вода)</t>
  </si>
  <si>
    <t>Налоги (УСН 15%)</t>
  </si>
  <si>
    <t>Ставка УСН</t>
  </si>
  <si>
    <t>Маржинальность бара ( % наценки)</t>
  </si>
  <si>
    <t xml:space="preserve">% </t>
  </si>
  <si>
    <t>Margin(Прибыль)</t>
  </si>
  <si>
    <t>Margin %</t>
  </si>
  <si>
    <t>CAPEX</t>
  </si>
  <si>
    <t>Инвестиции</t>
  </si>
  <si>
    <t>Total investments</t>
  </si>
  <si>
    <t>Оборотные средства</t>
  </si>
  <si>
    <t>Требующиеся оборотные средства</t>
  </si>
  <si>
    <t>тыс. руб.</t>
  </si>
  <si>
    <t>Изменение оборотных средств</t>
  </si>
  <si>
    <t>Free Cash Flow</t>
  </si>
  <si>
    <t>Cumulative cash flow</t>
  </si>
  <si>
    <t>Cumulative Discounted  cash flow</t>
  </si>
  <si>
    <t>Ставка дисконтирования</t>
  </si>
  <si>
    <t>Discounted cash flow</t>
  </si>
  <si>
    <t>Выручка от реализации услуг</t>
  </si>
  <si>
    <t>Выручка от реализации товаров</t>
  </si>
  <si>
    <t>Выручка</t>
  </si>
  <si>
    <t>Себестоимость реализованных товаров</t>
  </si>
  <si>
    <t>Коммерческие/управленческие расходы</t>
  </si>
  <si>
    <t>Амортизация</t>
  </si>
  <si>
    <t>Процентные расходы</t>
  </si>
  <si>
    <t>Налог на прибыль</t>
  </si>
  <si>
    <t>Чистая прибыль</t>
  </si>
  <si>
    <t>Себестоимость оказанных услуг (коммуналка+интернет+аренда)</t>
  </si>
  <si>
    <t>Discounted  cash flow</t>
  </si>
  <si>
    <t>rd</t>
  </si>
  <si>
    <t>Платеж</t>
  </si>
  <si>
    <t>Тело</t>
  </si>
  <si>
    <t>Процентные платежи</t>
  </si>
  <si>
    <t>Остаток</t>
  </si>
  <si>
    <t>По месяцам</t>
  </si>
  <si>
    <t xml:space="preserve">Процент </t>
  </si>
  <si>
    <t>Прибыль до процентов, налогов и амортизации (EBITDA)</t>
  </si>
  <si>
    <t>Прибыль до процентов и налогов (EBIT)</t>
  </si>
  <si>
    <t>Прибыль до налогообложения (EBT)</t>
  </si>
  <si>
    <t>Кредит на сумму 1млн.руб под 7,5% годовых</t>
  </si>
  <si>
    <t>Прогнозируемый отчет о прибылях и убытках</t>
  </si>
  <si>
    <t>Чистая операционная прибыль после вычета налога (NOPAT)</t>
  </si>
  <si>
    <t>Свободный денежный поток без учета долгового бремени:</t>
  </si>
  <si>
    <t>Капитальные расходы</t>
  </si>
  <si>
    <t>Прогнозируемый баланс (некоторые статьи)</t>
  </si>
  <si>
    <t>Основные средства</t>
  </si>
  <si>
    <t>Operating Results</t>
  </si>
  <si>
    <t>Промежуточные операционные денежные потоки</t>
  </si>
  <si>
    <t>Изменение оборотного капитала</t>
  </si>
  <si>
    <t>Отношение кап затрат к выручке</t>
  </si>
  <si>
    <t>Свободный денежный поток без использования заемных средств (unlevered FCF)</t>
  </si>
  <si>
    <t>Расчет re</t>
  </si>
  <si>
    <t>где:</t>
  </si>
  <si>
    <t>r – ставка дисконтирования;</t>
  </si>
  <si>
    <t>I – процент инфляции (корректировка на рост потребительских цен).</t>
  </si>
  <si>
    <t xml:space="preserve">Для расчета ставки дисконтирования по кумулятивному методу необходимо рассчитать безрисковую процентную ставку, </t>
  </si>
  <si>
    <t>премию за риск (степень влияния различных рисков) и провести корректировку на инфляцию.</t>
  </si>
  <si>
    <t>rp – премия за риски компании;</t>
  </si>
  <si>
    <t>rf – безрисковая процентная ставка (оценка доходности на основе доходности государственных ценных бумаг (ГКО, ОФЗ));</t>
  </si>
  <si>
    <t>rf</t>
  </si>
  <si>
    <t>Вид риска</t>
  </si>
  <si>
    <t>Интервал оценки</t>
  </si>
  <si>
    <t>Оценка</t>
  </si>
  <si>
    <t>Пояснение</t>
  </si>
  <si>
    <t>Безоисковая ставка (rf)</t>
  </si>
  <si>
    <t>Размер фирмы</t>
  </si>
  <si>
    <t>Финансовая структура</t>
  </si>
  <si>
    <t>Диверсификация</t>
  </si>
  <si>
    <t>Менеджмент</t>
  </si>
  <si>
    <t>rс – премия за страновой риск (используется для оценки и сравнения международных компаний);</t>
  </si>
  <si>
    <t>0-5</t>
  </si>
  <si>
    <t>re</t>
  </si>
  <si>
    <t>Бескупонная доходность государственных облигаций (ЦБРФ)</t>
  </si>
  <si>
    <t>Малый размер компании, незначительная конкуренция</t>
  </si>
  <si>
    <t>Часть капитала заемная, рентабельность в 1-ый год ниже, чем в последующие</t>
  </si>
  <si>
    <t>Низкая</t>
  </si>
  <si>
    <t>Простая организационная структура</t>
  </si>
  <si>
    <t>wacc</t>
  </si>
  <si>
    <t>Расчет WACC</t>
  </si>
  <si>
    <t>E</t>
  </si>
  <si>
    <t>D</t>
  </si>
  <si>
    <t>V</t>
  </si>
  <si>
    <t>E/V</t>
  </si>
  <si>
    <t>D/V</t>
  </si>
  <si>
    <t>WACC</t>
  </si>
  <si>
    <t>g</t>
  </si>
  <si>
    <t>Исследование PwC</t>
  </si>
  <si>
    <t>Текущая стоимость промежуточных денежных потоков</t>
  </si>
  <si>
    <t>WACC(D/V=0)</t>
  </si>
  <si>
    <t>Discounted un-FCF</t>
  </si>
  <si>
    <t>PV un-FCF</t>
  </si>
  <si>
    <t>Промежуточный налоговый щит</t>
  </si>
  <si>
    <t>Оплата процентов</t>
  </si>
  <si>
    <t>Ставка налога на прибыль</t>
  </si>
  <si>
    <t>Налоговый щит</t>
  </si>
  <si>
    <t>Текущая стоимость налогового щита</t>
  </si>
  <si>
    <t>PV tax sheild</t>
  </si>
  <si>
    <t>Un-FCF 2025</t>
  </si>
  <si>
    <t>TV</t>
  </si>
  <si>
    <t>Итого Стоимость в прогнозный период</t>
  </si>
  <si>
    <t>Total Intermediate Term Value=PV of FCF+PV of Interest Tax Shields</t>
  </si>
  <si>
    <t>Total Intermediate Term Value</t>
  </si>
  <si>
    <t>PV of TV</t>
  </si>
  <si>
    <t>Стоимость операционных активов</t>
  </si>
  <si>
    <t>Value of Operating Assets=Total Intermediate Term Value+PV of Terminal Value</t>
  </si>
  <si>
    <t>Value of Operating Asset</t>
  </si>
  <si>
    <t>Дисконтированная терминальная стоимость</t>
  </si>
  <si>
    <t>NPV</t>
  </si>
  <si>
    <t>FCF</t>
  </si>
  <si>
    <t>Disc.FCF</t>
  </si>
  <si>
    <t>Сумма дисконтированных ден.потоков</t>
  </si>
  <si>
    <t>SUM DFCF</t>
  </si>
  <si>
    <t>1. NPV (чистая приведенная стоимость)</t>
  </si>
  <si>
    <t>РР</t>
  </si>
  <si>
    <t>3. РР (период окупаемости) и DPP</t>
  </si>
  <si>
    <t>DPP</t>
  </si>
  <si>
    <t>мес.</t>
  </si>
  <si>
    <t>4. РI (индекс прибыльности)</t>
  </si>
  <si>
    <t>5. IRR-WACC (запас финансовой прочности)</t>
  </si>
  <si>
    <t>Денежные потоки</t>
  </si>
  <si>
    <t>С учетом терминальной стоимости</t>
  </si>
  <si>
    <t>Без учета терминальной стоимости</t>
  </si>
  <si>
    <t>2. IRR (внутренняя норма доходности)</t>
  </si>
  <si>
    <t>Io</t>
  </si>
  <si>
    <t xml:space="preserve">IRR </t>
  </si>
  <si>
    <t>С учетом TV</t>
  </si>
  <si>
    <t>Discounted</t>
  </si>
  <si>
    <t>Без учета TV</t>
  </si>
  <si>
    <t>PI с учетом TV</t>
  </si>
  <si>
    <t>PI без учета TV</t>
  </si>
  <si>
    <t>IRR-WACC с учетом TV</t>
  </si>
  <si>
    <t>IRR-WACC без учета TV</t>
  </si>
  <si>
    <t>доходности государственных ценных бумаг (ГКО, ОФЗ)</t>
  </si>
  <si>
    <t xml:space="preserve"> </t>
  </si>
  <si>
    <t>Изменяемый фактор</t>
  </si>
  <si>
    <t>Загрузка оборудования</t>
  </si>
  <si>
    <t xml:space="preserve">Стоимость 1 часа игры </t>
  </si>
  <si>
    <t>Выручка бара на 1 час времени</t>
  </si>
  <si>
    <t>Сумма официальной заработной платы</t>
  </si>
  <si>
    <t>Затраты на электричество и интернет</t>
  </si>
  <si>
    <t>Налоговая ставка</t>
  </si>
  <si>
    <t>Стоимость собственного капитала (re)</t>
  </si>
  <si>
    <t>Стоимость заемного капитала (rd)</t>
  </si>
  <si>
    <t>Ставка роста (g)</t>
  </si>
  <si>
    <t>Значение NPV (без учета терминальной стоимости) при изменении фактора на %</t>
  </si>
  <si>
    <t>NPV с учетом TV</t>
  </si>
  <si>
    <t>Изменение NPV (без учета терминальной стоимости) при изменении фактора на %</t>
  </si>
  <si>
    <t>Сценарий</t>
  </si>
  <si>
    <t>Пессимистичный</t>
  </si>
  <si>
    <t>Наиболее вероятный</t>
  </si>
  <si>
    <t>Оптимистичный</t>
  </si>
  <si>
    <t>Вероятность реализации</t>
  </si>
  <si>
    <t>Фактор</t>
  </si>
  <si>
    <t>Доля от планового показателя при реализации сценария</t>
  </si>
  <si>
    <t>Стоимость 1 часа игры</t>
  </si>
  <si>
    <t>Сумма официальной з/п</t>
  </si>
  <si>
    <t>NPV (с учетом TV)</t>
  </si>
  <si>
    <t>NPV (без учета TV)</t>
  </si>
  <si>
    <t>IRR (с учетом TV)</t>
  </si>
  <si>
    <t>IRR (без учета TV)</t>
  </si>
  <si>
    <t>PP</t>
  </si>
  <si>
    <t>Ожидаемые:</t>
  </si>
  <si>
    <t>Sigma (с учетом TV)</t>
  </si>
  <si>
    <t>Sigma (без учета TV)</t>
  </si>
  <si>
    <t>Показатели финансовой эффективности</t>
  </si>
</sst>
</file>

<file path=xl/styles.xml><?xml version="1.0" encoding="utf-8"?>
<styleSheet xmlns="http://schemas.openxmlformats.org/spreadsheetml/2006/main">
  <numFmts count="10">
    <numFmt numFmtId="6" formatCode="#,##0\ &quot;₽&quot;;[Red]\-#,##0\ &quot;₽&quot;"/>
    <numFmt numFmtId="8" formatCode="#,##0.00\ &quot;₽&quot;;[Red]\-#,##0.00\ &quot;₽&quot;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  <numFmt numFmtId="165" formatCode="_-* #,##0\ &quot;₽&quot;_-;\-* #,##0\ &quot;₽&quot;_-;_-* &quot;-&quot;??\ &quot;₽&quot;_-;_-@_-"/>
    <numFmt numFmtId="166" formatCode="0.000%"/>
    <numFmt numFmtId="167" formatCode="#,##0.00\ &quot;₽&quot;"/>
    <numFmt numFmtId="168" formatCode="0.0"/>
    <numFmt numFmtId="169" formatCode="0.0000"/>
  </numFmts>
  <fonts count="3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4"/>
      <color indexed="9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4"/>
      <color indexed="9"/>
      <name val="Cambria"/>
      <family val="1"/>
      <scheme val="major"/>
    </font>
    <font>
      <b/>
      <sz val="14"/>
      <color rgb="FF002060"/>
      <name val="Arial Black"/>
      <family val="2"/>
      <charset val="204"/>
    </font>
    <font>
      <sz val="11"/>
      <color rgb="FF212034"/>
      <name val="&amp;quo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ck">
        <color auto="1"/>
      </right>
      <top/>
      <bottom style="double">
        <color indexed="64"/>
      </bottom>
      <diagonal/>
    </border>
    <border>
      <left/>
      <right style="thick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7" borderId="10" applyNumberFormat="0" applyAlignment="0" applyProtection="0"/>
    <xf numFmtId="44" fontId="4" fillId="0" borderId="0" applyFont="0" applyFill="0" applyBorder="0" applyAlignment="0" applyProtection="0"/>
  </cellStyleXfs>
  <cellXfs count="2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center"/>
    </xf>
    <xf numFmtId="4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44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44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9" fontId="0" fillId="2" borderId="1" xfId="0" applyNumberFormat="1" applyFill="1" applyBorder="1" applyAlignment="1">
      <alignment horizontal="center"/>
    </xf>
    <xf numFmtId="44" fontId="0" fillId="0" borderId="2" xfId="0" applyNumberFormat="1" applyFill="1" applyBorder="1" applyAlignment="1">
      <alignment horizontal="center"/>
    </xf>
    <xf numFmtId="44" fontId="0" fillId="0" borderId="2" xfId="0" applyNumberFormat="1" applyBorder="1"/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9" fontId="0" fillId="4" borderId="0" xfId="3" applyFont="1" applyFill="1" applyAlignment="1">
      <alignment horizontal="center" vertical="center"/>
    </xf>
    <xf numFmtId="9" fontId="0" fillId="0" borderId="0" xfId="3" applyFont="1" applyAlignment="1">
      <alignment vertical="center"/>
    </xf>
    <xf numFmtId="0" fontId="0" fillId="0" borderId="0" xfId="0" applyBorder="1" applyAlignment="1">
      <alignment vertical="center"/>
    </xf>
    <xf numFmtId="0" fontId="0" fillId="4" borderId="0" xfId="2" applyNumberFormat="1" applyFont="1" applyFill="1" applyAlignment="1">
      <alignment horizontal="center" vertical="center"/>
    </xf>
    <xf numFmtId="44" fontId="0" fillId="4" borderId="0" xfId="0" applyNumberFormat="1" applyFill="1" applyAlignment="1">
      <alignment horizontal="center" vertical="center"/>
    </xf>
    <xf numFmtId="44" fontId="0" fillId="4" borderId="0" xfId="2" applyNumberFormat="1" applyFont="1" applyFill="1" applyAlignment="1">
      <alignment horizontal="left" vertical="center"/>
    </xf>
    <xf numFmtId="44" fontId="0" fillId="4" borderId="0" xfId="2" applyNumberFormat="1" applyFont="1" applyFill="1" applyAlignment="1">
      <alignment horizontal="center" vertical="center"/>
    </xf>
    <xf numFmtId="44" fontId="1" fillId="4" borderId="0" xfId="2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0" fillId="0" borderId="4" xfId="0" applyBorder="1"/>
    <xf numFmtId="10" fontId="0" fillId="0" borderId="0" xfId="0" applyNumberFormat="1"/>
    <xf numFmtId="0" fontId="1" fillId="0" borderId="0" xfId="0" applyFont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1" fillId="5" borderId="3" xfId="0" applyNumberFormat="1" applyFont="1" applyFill="1" applyBorder="1" applyAlignment="1">
      <alignment vertical="center"/>
    </xf>
    <xf numFmtId="44" fontId="1" fillId="5" borderId="3" xfId="0" applyNumberFormat="1" applyFont="1" applyFill="1" applyBorder="1" applyAlignment="1">
      <alignment horizontal="right" vertical="center"/>
    </xf>
    <xf numFmtId="44" fontId="1" fillId="5" borderId="3" xfId="0" applyNumberFormat="1" applyFont="1" applyFill="1" applyBorder="1" applyAlignment="1">
      <alignment horizontal="center" vertical="center"/>
    </xf>
    <xf numFmtId="8" fontId="0" fillId="4" borderId="0" xfId="0" applyNumberFormat="1" applyFill="1" applyAlignment="1">
      <alignment horizontal="center" vertical="center"/>
    </xf>
    <xf numFmtId="44" fontId="0" fillId="0" borderId="0" xfId="0" applyNumberFormat="1"/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9" fontId="0" fillId="0" borderId="0" xfId="0" applyNumberFormat="1"/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0" fillId="0" borderId="0" xfId="0" applyNumberFormat="1" applyAlignment="1">
      <alignment horizontal="center"/>
    </xf>
    <xf numFmtId="0" fontId="12" fillId="2" borderId="3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13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right" vertical="center"/>
    </xf>
    <xf numFmtId="0" fontId="14" fillId="2" borderId="3" xfId="0" applyFont="1" applyFill="1" applyBorder="1" applyAlignment="1">
      <alignment vertical="center"/>
    </xf>
    <xf numFmtId="0" fontId="14" fillId="2" borderId="7" xfId="0" applyFont="1" applyFill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15" fillId="5" borderId="0" xfId="0" applyFont="1" applyFill="1"/>
    <xf numFmtId="0" fontId="12" fillId="0" borderId="0" xfId="0" applyFont="1" applyAlignment="1">
      <alignment vertical="center" wrapText="1"/>
    </xf>
    <xf numFmtId="0" fontId="10" fillId="5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0" fillId="4" borderId="0" xfId="0" applyNumberFormat="1" applyFill="1" applyAlignment="1">
      <alignment horizontal="center"/>
    </xf>
    <xf numFmtId="10" fontId="0" fillId="4" borderId="0" xfId="0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165" fontId="10" fillId="5" borderId="0" xfId="0" applyNumberFormat="1" applyFont="1" applyFill="1" applyBorder="1" applyAlignment="1">
      <alignment horizontal="center" vertical="center"/>
    </xf>
    <xf numFmtId="0" fontId="0" fillId="0" borderId="8" xfId="0" applyBorder="1"/>
    <xf numFmtId="0" fontId="16" fillId="5" borderId="0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3" fontId="12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9" fontId="17" fillId="4" borderId="0" xfId="3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0" xfId="0" applyFill="1" applyAlignment="1">
      <alignment horizontal="center"/>
    </xf>
    <xf numFmtId="44" fontId="17" fillId="0" borderId="0" xfId="0" applyNumberFormat="1" applyFont="1" applyAlignment="1">
      <alignment horizontal="center" vertical="center"/>
    </xf>
    <xf numFmtId="44" fontId="17" fillId="4" borderId="0" xfId="0" applyNumberFormat="1" applyFont="1" applyFill="1" applyAlignment="1">
      <alignment horizontal="center" vertical="center"/>
    </xf>
    <xf numFmtId="165" fontId="13" fillId="5" borderId="0" xfId="0" applyNumberFormat="1" applyFont="1" applyFill="1" applyBorder="1" applyAlignment="1">
      <alignment horizontal="right" vertical="center"/>
    </xf>
    <xf numFmtId="0" fontId="18" fillId="5" borderId="0" xfId="0" applyFont="1" applyFill="1"/>
    <xf numFmtId="0" fontId="19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164" fontId="21" fillId="0" borderId="0" xfId="2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9" fontId="20" fillId="4" borderId="0" xfId="3" applyFont="1" applyFill="1" applyAlignment="1">
      <alignment horizontal="center" vertical="center"/>
    </xf>
    <xf numFmtId="164" fontId="21" fillId="0" borderId="0" xfId="2" applyNumberFormat="1" applyFont="1" applyAlignment="1">
      <alignment horizontal="center" vertical="center"/>
    </xf>
    <xf numFmtId="44" fontId="20" fillId="0" borderId="0" xfId="0" applyNumberFormat="1" applyFont="1" applyAlignment="1">
      <alignment horizontal="center" vertical="center"/>
    </xf>
    <xf numFmtId="44" fontId="20" fillId="4" borderId="0" xfId="0" applyNumberFormat="1" applyFont="1" applyFill="1" applyAlignment="1">
      <alignment horizontal="center" vertical="center"/>
    </xf>
    <xf numFmtId="165" fontId="1" fillId="5" borderId="0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11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44" fontId="0" fillId="4" borderId="0" xfId="3" applyNumberFormat="1" applyFont="1" applyFill="1" applyAlignment="1">
      <alignment horizontal="center"/>
    </xf>
    <xf numFmtId="165" fontId="1" fillId="5" borderId="0" xfId="2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166" fontId="0" fillId="0" borderId="0" xfId="3" applyNumberFormat="1" applyFont="1"/>
    <xf numFmtId="43" fontId="0" fillId="0" borderId="8" xfId="0" applyNumberFormat="1" applyBorder="1"/>
    <xf numFmtId="0" fontId="1" fillId="6" borderId="9" xfId="0" applyFont="1" applyFill="1" applyBorder="1"/>
    <xf numFmtId="44" fontId="1" fillId="5" borderId="0" xfId="2" applyNumberFormat="1" applyFont="1" applyFill="1" applyBorder="1" applyAlignment="1">
      <alignment horizontal="right" vertical="center"/>
    </xf>
    <xf numFmtId="165" fontId="1" fillId="5" borderId="0" xfId="2" applyNumberFormat="1" applyFont="1" applyFill="1" applyBorder="1" applyAlignment="1">
      <alignment horizontal="right" vertical="center"/>
    </xf>
    <xf numFmtId="44" fontId="1" fillId="6" borderId="9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1" fillId="2" borderId="3" xfId="0" applyFont="1" applyFill="1" applyBorder="1" applyAlignment="1">
      <alignment horizontal="right" vertical="center"/>
    </xf>
    <xf numFmtId="0" fontId="0" fillId="2" borderId="7" xfId="0" applyFill="1" applyBorder="1" applyAlignment="1">
      <alignment vertical="center"/>
    </xf>
    <xf numFmtId="0" fontId="0" fillId="0" borderId="0" xfId="0" applyBorder="1"/>
    <xf numFmtId="164" fontId="0" fillId="0" borderId="0" xfId="0" applyNumberFormat="1"/>
    <xf numFmtId="0" fontId="22" fillId="5" borderId="0" xfId="0" applyFont="1" applyFill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10" fontId="0" fillId="0" borderId="0" xfId="3" applyNumberFormat="1" applyFont="1"/>
    <xf numFmtId="164" fontId="0" fillId="0" borderId="0" xfId="2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/>
    </xf>
    <xf numFmtId="9" fontId="0" fillId="4" borderId="0" xfId="3" applyFont="1" applyFill="1" applyAlignment="1">
      <alignment horizontal="center"/>
    </xf>
    <xf numFmtId="10" fontId="0" fillId="0" borderId="0" xfId="3" applyNumberFormat="1" applyFont="1" applyAlignment="1">
      <alignment horizontal="center"/>
    </xf>
    <xf numFmtId="44" fontId="0" fillId="2" borderId="0" xfId="0" applyNumberFormat="1" applyFill="1"/>
    <xf numFmtId="0" fontId="24" fillId="2" borderId="3" xfId="0" applyFont="1" applyFill="1" applyBorder="1" applyAlignment="1">
      <alignment vertical="center"/>
    </xf>
    <xf numFmtId="3" fontId="19" fillId="2" borderId="3" xfId="0" applyNumberFormat="1" applyFont="1" applyFill="1" applyBorder="1" applyAlignment="1">
      <alignment horizontal="right" vertical="center"/>
    </xf>
    <xf numFmtId="0" fontId="25" fillId="0" borderId="0" xfId="0" applyFont="1"/>
    <xf numFmtId="9" fontId="0" fillId="0" borderId="0" xfId="3" applyFont="1"/>
    <xf numFmtId="0" fontId="19" fillId="2" borderId="3" xfId="0" applyFont="1" applyFill="1" applyBorder="1" applyAlignment="1">
      <alignment horizontal="right" vertical="center"/>
    </xf>
    <xf numFmtId="0" fontId="26" fillId="2" borderId="3" xfId="0" applyFont="1" applyFill="1" applyBorder="1" applyAlignment="1">
      <alignment vertical="center"/>
    </xf>
    <xf numFmtId="0" fontId="26" fillId="2" borderId="7" xfId="0" applyFont="1" applyFill="1" applyBorder="1" applyAlignment="1">
      <alignment vertical="center"/>
    </xf>
    <xf numFmtId="3" fontId="1" fillId="6" borderId="9" xfId="0" applyNumberFormat="1" applyFont="1" applyFill="1" applyBorder="1" applyAlignment="1">
      <alignment horizontal="right" vertical="center"/>
    </xf>
    <xf numFmtId="3" fontId="1" fillId="6" borderId="11" xfId="0" applyNumberFormat="1" applyFont="1" applyFill="1" applyBorder="1" applyAlignment="1">
      <alignment horizontal="right" vertical="center"/>
    </xf>
    <xf numFmtId="9" fontId="0" fillId="0" borderId="0" xfId="0" applyNumberFormat="1" applyAlignment="1">
      <alignment vertical="center"/>
    </xf>
    <xf numFmtId="164" fontId="19" fillId="2" borderId="3" xfId="0" applyNumberFormat="1" applyFont="1" applyFill="1" applyBorder="1" applyAlignment="1">
      <alignment horizontal="right" vertical="center"/>
    </xf>
    <xf numFmtId="44" fontId="0" fillId="0" borderId="0" xfId="2" applyNumberFormat="1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44" fontId="1" fillId="2" borderId="3" xfId="0" applyNumberFormat="1" applyFont="1" applyFill="1" applyBorder="1" applyAlignment="1">
      <alignment horizontal="center" vertical="center"/>
    </xf>
    <xf numFmtId="44" fontId="19" fillId="2" borderId="3" xfId="0" applyNumberFormat="1" applyFont="1" applyFill="1" applyBorder="1" applyAlignment="1">
      <alignment horizontal="right" vertical="center"/>
    </xf>
    <xf numFmtId="44" fontId="19" fillId="2" borderId="3" xfId="0" applyNumberFormat="1" applyFont="1" applyFill="1" applyBorder="1" applyAlignment="1">
      <alignment horizontal="center" vertical="center"/>
    </xf>
    <xf numFmtId="0" fontId="23" fillId="7" borderId="10" xfId="4" applyAlignment="1">
      <alignment horizontal="center"/>
    </xf>
    <xf numFmtId="0" fontId="0" fillId="0" borderId="0" xfId="2" applyNumberFormat="1" applyFont="1" applyAlignment="1">
      <alignment horizontal="center"/>
    </xf>
    <xf numFmtId="2" fontId="23" fillId="7" borderId="10" xfId="4" applyNumberFormat="1" applyAlignment="1">
      <alignment horizontal="center"/>
    </xf>
    <xf numFmtId="0" fontId="27" fillId="8" borderId="0" xfId="0" applyFont="1" applyFill="1" applyBorder="1" applyAlignment="1" applyProtection="1"/>
    <xf numFmtId="0" fontId="27" fillId="8" borderId="0" xfId="0" applyNumberFormat="1" applyFont="1" applyFill="1" applyBorder="1" applyAlignment="1" applyProtection="1">
      <alignment horizontal="center"/>
      <protection locked="0"/>
    </xf>
    <xf numFmtId="0" fontId="29" fillId="0" borderId="0" xfId="0" applyFont="1" applyAlignment="1">
      <alignment vertical="top" wrapText="1"/>
    </xf>
    <xf numFmtId="0" fontId="30" fillId="0" borderId="0" xfId="0" applyFont="1" applyAlignment="1">
      <alignment vertical="top" wrapText="1"/>
    </xf>
    <xf numFmtId="0" fontId="0" fillId="0" borderId="12" xfId="0" applyBorder="1"/>
    <xf numFmtId="44" fontId="28" fillId="0" borderId="12" xfId="5" applyNumberFormat="1" applyFont="1" applyBorder="1" applyAlignment="1" applyProtection="1">
      <alignment horizontal="center"/>
      <protection locked="0"/>
    </xf>
    <xf numFmtId="0" fontId="0" fillId="0" borderId="12" xfId="0" applyBorder="1" applyAlignment="1">
      <alignment horizontal="center"/>
    </xf>
    <xf numFmtId="44" fontId="15" fillId="0" borderId="12" xfId="5" applyNumberFormat="1" applyFont="1" applyBorder="1" applyAlignment="1" applyProtection="1">
      <alignment horizontal="center"/>
      <protection locked="0"/>
    </xf>
    <xf numFmtId="44" fontId="0" fillId="0" borderId="12" xfId="0" applyNumberFormat="1" applyBorder="1" applyAlignment="1">
      <alignment horizontal="center"/>
    </xf>
    <xf numFmtId="44" fontId="31" fillId="0" borderId="12" xfId="5" applyNumberFormat="1" applyFont="1" applyBorder="1" applyAlignment="1" applyProtection="1">
      <alignment horizontal="center"/>
      <protection locked="0"/>
    </xf>
    <xf numFmtId="0" fontId="32" fillId="8" borderId="0" xfId="0" applyFont="1" applyFill="1" applyAlignment="1" applyProtection="1">
      <alignment vertical="center"/>
    </xf>
    <xf numFmtId="0" fontId="1" fillId="6" borderId="9" xfId="0" applyFont="1" applyFill="1" applyBorder="1" applyAlignment="1">
      <alignment horizontal="center"/>
    </xf>
    <xf numFmtId="44" fontId="1" fillId="6" borderId="9" xfId="0" applyNumberFormat="1" applyFont="1" applyFill="1" applyBorder="1" applyAlignment="1">
      <alignment horizontal="center"/>
    </xf>
    <xf numFmtId="165" fontId="1" fillId="4" borderId="0" xfId="2" applyNumberFormat="1" applyFont="1" applyFill="1" applyBorder="1" applyAlignment="1">
      <alignment horizontal="right" vertical="center"/>
    </xf>
    <xf numFmtId="44" fontId="1" fillId="0" borderId="12" xfId="0" applyNumberFormat="1" applyFont="1" applyBorder="1" applyAlignment="1">
      <alignment horizontal="center"/>
    </xf>
    <xf numFmtId="44" fontId="0" fillId="0" borderId="12" xfId="0" applyNumberFormat="1" applyBorder="1"/>
    <xf numFmtId="0" fontId="0" fillId="0" borderId="0" xfId="0" applyAlignment="1">
      <alignment wrapText="1"/>
    </xf>
    <xf numFmtId="167" fontId="0" fillId="0" borderId="0" xfId="0" applyNumberFormat="1"/>
    <xf numFmtId="0" fontId="33" fillId="0" borderId="0" xfId="0" applyFont="1" applyAlignment="1" applyProtection="1">
      <alignment horizontal="left" vertical="center"/>
    </xf>
    <xf numFmtId="168" fontId="0" fillId="0" borderId="12" xfId="0" applyNumberFormat="1" applyBorder="1" applyAlignment="1">
      <alignment horizontal="center"/>
    </xf>
    <xf numFmtId="0" fontId="0" fillId="0" borderId="0" xfId="0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44" fontId="1" fillId="2" borderId="3" xfId="2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wrapText="1"/>
    </xf>
    <xf numFmtId="0" fontId="1" fillId="0" borderId="12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0" xfId="0" applyFill="1"/>
    <xf numFmtId="10" fontId="0" fillId="2" borderId="0" xfId="0" applyNumberFormat="1" applyFill="1"/>
    <xf numFmtId="10" fontId="0" fillId="0" borderId="12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 wrapText="1"/>
    </xf>
    <xf numFmtId="10" fontId="1" fillId="2" borderId="12" xfId="0" applyNumberFormat="1" applyFont="1" applyFill="1" applyBorder="1" applyAlignment="1">
      <alignment horizontal="center"/>
    </xf>
    <xf numFmtId="10" fontId="0" fillId="0" borderId="12" xfId="0" applyNumberFormat="1" applyBorder="1"/>
    <xf numFmtId="10" fontId="0" fillId="2" borderId="12" xfId="0" applyNumberForma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44" fontId="1" fillId="0" borderId="12" xfId="0" applyNumberFormat="1" applyFont="1" applyBorder="1"/>
    <xf numFmtId="0" fontId="13" fillId="9" borderId="12" xfId="0" applyFont="1" applyFill="1" applyBorder="1" applyAlignment="1" applyProtection="1"/>
    <xf numFmtId="44" fontId="0" fillId="2" borderId="12" xfId="0" applyNumberFormat="1" applyFont="1" applyFill="1" applyBorder="1" applyAlignment="1">
      <alignment horizontal="center"/>
    </xf>
    <xf numFmtId="44" fontId="0" fillId="2" borderId="12" xfId="0" applyNumberFormat="1" applyFill="1" applyBorder="1"/>
    <xf numFmtId="8" fontId="0" fillId="0" borderId="0" xfId="0" applyNumberFormat="1"/>
    <xf numFmtId="10" fontId="0" fillId="4" borderId="0" xfId="0" applyNumberFormat="1" applyFill="1"/>
    <xf numFmtId="8" fontId="0" fillId="0" borderId="12" xfId="0" applyNumberFormat="1" applyBorder="1" applyAlignment="1">
      <alignment horizontal="center"/>
    </xf>
    <xf numFmtId="165" fontId="10" fillId="2" borderId="0" xfId="0" applyNumberFormat="1" applyFont="1" applyFill="1" applyBorder="1" applyAlignment="1">
      <alignment horizontal="center" vertical="center"/>
    </xf>
    <xf numFmtId="0" fontId="0" fillId="6" borderId="0" xfId="0" applyFill="1"/>
    <xf numFmtId="165" fontId="10" fillId="6" borderId="0" xfId="0" applyNumberFormat="1" applyFont="1" applyFill="1" applyBorder="1" applyAlignment="1">
      <alignment horizontal="center" vertical="center"/>
    </xf>
    <xf numFmtId="8" fontId="0" fillId="2" borderId="12" xfId="0" applyNumberFormat="1" applyFill="1" applyBorder="1"/>
    <xf numFmtId="0" fontId="1" fillId="0" borderId="12" xfId="0" applyFont="1" applyBorder="1"/>
    <xf numFmtId="165" fontId="0" fillId="0" borderId="12" xfId="0" applyNumberFormat="1" applyBorder="1"/>
    <xf numFmtId="165" fontId="1" fillId="2" borderId="12" xfId="0" applyNumberFormat="1" applyFont="1" applyFill="1" applyBorder="1"/>
    <xf numFmtId="165" fontId="0" fillId="0" borderId="12" xfId="0" applyNumberFormat="1" applyBorder="1" applyAlignment="1">
      <alignment horizontal="center"/>
    </xf>
    <xf numFmtId="165" fontId="0" fillId="0" borderId="0" xfId="0" applyNumberFormat="1"/>
    <xf numFmtId="0" fontId="1" fillId="0" borderId="12" xfId="0" applyFont="1" applyFill="1" applyBorder="1"/>
    <xf numFmtId="0" fontId="0" fillId="0" borderId="0" xfId="0"/>
    <xf numFmtId="44" fontId="1" fillId="2" borderId="1" xfId="0" applyNumberFormat="1" applyFont="1" applyFill="1" applyBorder="1"/>
    <xf numFmtId="44" fontId="1" fillId="2" borderId="1" xfId="0" applyNumberFormat="1" applyFont="1" applyFill="1" applyBorder="1" applyAlignment="1">
      <alignment horizontal="center"/>
    </xf>
    <xf numFmtId="6" fontId="0" fillId="0" borderId="12" xfId="0" applyNumberFormat="1" applyBorder="1" applyAlignment="1">
      <alignment horizontal="center"/>
    </xf>
    <xf numFmtId="6" fontId="0" fillId="8" borderId="0" xfId="0" applyNumberFormat="1" applyFill="1"/>
    <xf numFmtId="169" fontId="1" fillId="2" borderId="12" xfId="0" applyNumberFormat="1" applyFont="1" applyFill="1" applyBorder="1" applyAlignment="1">
      <alignment horizontal="center"/>
    </xf>
    <xf numFmtId="0" fontId="0" fillId="0" borderId="0" xfId="0"/>
    <xf numFmtId="0" fontId="0" fillId="0" borderId="12" xfId="0" applyBorder="1" applyAlignment="1">
      <alignment horizontal="center"/>
    </xf>
    <xf numFmtId="165" fontId="37" fillId="0" borderId="12" xfId="0" applyNumberFormat="1" applyFont="1" applyBorder="1"/>
    <xf numFmtId="10" fontId="37" fillId="0" borderId="12" xfId="0" applyNumberFormat="1" applyFont="1" applyBorder="1"/>
    <xf numFmtId="10" fontId="12" fillId="0" borderId="12" xfId="0" applyNumberFormat="1" applyFont="1" applyBorder="1"/>
    <xf numFmtId="0" fontId="0" fillId="0" borderId="0" xfId="0"/>
    <xf numFmtId="0" fontId="0" fillId="0" borderId="13" xfId="0" applyFill="1" applyBorder="1" applyAlignment="1">
      <alignment horizontal="center" wrapText="1"/>
    </xf>
    <xf numFmtId="0" fontId="0" fillId="0" borderId="12" xfId="0" applyNumberFormat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0" fillId="0" borderId="12" xfId="0" applyFill="1" applyBorder="1" applyAlignment="1">
      <alignment horizontal="center" wrapText="1"/>
    </xf>
    <xf numFmtId="0" fontId="0" fillId="0" borderId="0" xfId="0"/>
    <xf numFmtId="0" fontId="1" fillId="0" borderId="12" xfId="0" applyFont="1" applyBorder="1"/>
    <xf numFmtId="0" fontId="1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Fill="1" applyBorder="1" applyAlignment="1">
      <alignment horizontal="center" wrapText="1"/>
    </xf>
    <xf numFmtId="0" fontId="0" fillId="0" borderId="14" xfId="0" applyFill="1" applyBorder="1" applyAlignment="1">
      <alignment horizontal="center" wrapText="1"/>
    </xf>
    <xf numFmtId="0" fontId="0" fillId="0" borderId="15" xfId="0" applyFill="1" applyBorder="1" applyAlignment="1">
      <alignment horizontal="center" wrapText="1"/>
    </xf>
    <xf numFmtId="2" fontId="0" fillId="0" borderId="12" xfId="0" applyNumberFormat="1" applyBorder="1" applyAlignment="1">
      <alignment horizontal="center"/>
    </xf>
  </cellXfs>
  <cellStyles count="6">
    <cellStyle name="Вывод" xfId="4" builtinId="21"/>
    <cellStyle name="Гиперссылка" xfId="1" builtinId="8"/>
    <cellStyle name="Денежный" xfId="5" builtinId="4"/>
    <cellStyle name="Обычный" xfId="0" builtinId="0"/>
    <cellStyle name="Процентный" xfId="3" builtinId="5"/>
    <cellStyle name="Финансовый" xfId="2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Изменение</a:t>
            </a:r>
            <a:r>
              <a:rPr lang="ru-RU" baseline="0"/>
              <a:t> </a:t>
            </a:r>
            <a:r>
              <a:rPr lang="en-US" baseline="0"/>
              <a:t>NPV</a:t>
            </a:r>
            <a:endParaRPr lang="ru-RU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'Чувств. NPV'!$A$16</c:f>
              <c:strCache>
                <c:ptCount val="1"/>
                <c:pt idx="0">
                  <c:v>Загрузка оборудования</c:v>
                </c:pt>
              </c:strCache>
            </c:strRef>
          </c:tx>
          <c:marker>
            <c:symbol val="none"/>
          </c:marker>
          <c:cat>
            <c:numRef>
              <c:f>'Чувств. NPV'!$B$15:$H$15</c:f>
              <c:numCache>
                <c:formatCode>0%</c:formatCode>
                <c:ptCount val="7"/>
                <c:pt idx="0">
                  <c:v>-0.3</c:v>
                </c:pt>
                <c:pt idx="1">
                  <c:v>-0.2</c:v>
                </c:pt>
                <c:pt idx="2">
                  <c:v>-0.1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</c:v>
                </c:pt>
              </c:numCache>
            </c:numRef>
          </c:cat>
          <c:val>
            <c:numRef>
              <c:f>'Чувств. NPV'!$B$16:$H$16</c:f>
              <c:numCache>
                <c:formatCode>_-* #,##0\ "₽"_-;\-* #,##0\ "₽"_-;_-* "-"??\ "₽"_-;_-@_-</c:formatCode>
                <c:ptCount val="7"/>
                <c:pt idx="0">
                  <c:v>-9067316.780541338</c:v>
                </c:pt>
                <c:pt idx="1">
                  <c:v>-6044877.8536942219</c:v>
                </c:pt>
                <c:pt idx="2">
                  <c:v>-3022438.9268471096</c:v>
                </c:pt>
                <c:pt idx="3">
                  <c:v>0</c:v>
                </c:pt>
                <c:pt idx="4">
                  <c:v>3022438.9268471189</c:v>
                </c:pt>
                <c:pt idx="5">
                  <c:v>6044877.8536942266</c:v>
                </c:pt>
                <c:pt idx="6">
                  <c:v>9067316.7805413418</c:v>
                </c:pt>
              </c:numCache>
            </c:numRef>
          </c:val>
        </c:ser>
        <c:ser>
          <c:idx val="1"/>
          <c:order val="1"/>
          <c:tx>
            <c:strRef>
              <c:f>'Чувств. NPV'!$A$17</c:f>
              <c:strCache>
                <c:ptCount val="1"/>
                <c:pt idx="0">
                  <c:v>Стоимость 1 часа игры </c:v>
                </c:pt>
              </c:strCache>
            </c:strRef>
          </c:tx>
          <c:marker>
            <c:symbol val="none"/>
          </c:marker>
          <c:val>
            <c:numRef>
              <c:f>'Чувств. NPV'!$B$17:$H$17</c:f>
              <c:numCache>
                <c:formatCode>_-* #,##0\ "₽"_-;\-* #,##0\ "₽"_-;_-* "-"??\ "₽"_-;_-@_-</c:formatCode>
                <c:ptCount val="7"/>
                <c:pt idx="0">
                  <c:v>-7224237.7625751905</c:v>
                </c:pt>
                <c:pt idx="1">
                  <c:v>-4815261.6215189155</c:v>
                </c:pt>
                <c:pt idx="2">
                  <c:v>-2403941.9682008326</c:v>
                </c:pt>
                <c:pt idx="3">
                  <c:v>0</c:v>
                </c:pt>
                <c:pt idx="4">
                  <c:v>2403941.9682008382</c:v>
                </c:pt>
                <c:pt idx="5">
                  <c:v>4807883.9364016727</c:v>
                </c:pt>
                <c:pt idx="6">
                  <c:v>7211825.9046025015</c:v>
                </c:pt>
              </c:numCache>
            </c:numRef>
          </c:val>
        </c:ser>
        <c:ser>
          <c:idx val="2"/>
          <c:order val="2"/>
          <c:tx>
            <c:strRef>
              <c:f>'Чувств. NPV'!$A$18</c:f>
              <c:strCache>
                <c:ptCount val="1"/>
                <c:pt idx="0">
                  <c:v>Выручка бара на 1 час времени</c:v>
                </c:pt>
              </c:strCache>
            </c:strRef>
          </c:tx>
          <c:marker>
            <c:symbol val="none"/>
          </c:marker>
          <c:val>
            <c:numRef>
              <c:f>'Чувств. NPV'!$B$18:$H$18</c:f>
              <c:numCache>
                <c:formatCode>_-* #,##0\ "₽"_-;\-* #,##0\ "₽"_-;_-* "-"??\ "₽"_-;_-@_-</c:formatCode>
                <c:ptCount val="7"/>
                <c:pt idx="0">
                  <c:v>-2178886.3331778981</c:v>
                </c:pt>
                <c:pt idx="1">
                  <c:v>-1452590.8887852654</c:v>
                </c:pt>
                <c:pt idx="2">
                  <c:v>-726295.44439263083</c:v>
                </c:pt>
                <c:pt idx="3">
                  <c:v>0</c:v>
                </c:pt>
                <c:pt idx="4">
                  <c:v>726295.44439263456</c:v>
                </c:pt>
                <c:pt idx="5">
                  <c:v>1452590.8887852691</c:v>
                </c:pt>
                <c:pt idx="6">
                  <c:v>2178886.3331779018</c:v>
                </c:pt>
              </c:numCache>
            </c:numRef>
          </c:val>
        </c:ser>
        <c:ser>
          <c:idx val="3"/>
          <c:order val="3"/>
          <c:tx>
            <c:strRef>
              <c:f>'Чувств. NPV'!$A$19</c:f>
              <c:strCache>
                <c:ptCount val="1"/>
                <c:pt idx="0">
                  <c:v>Сумма официальной заработной платы</c:v>
                </c:pt>
              </c:strCache>
            </c:strRef>
          </c:tx>
          <c:marker>
            <c:symbol val="none"/>
          </c:marker>
          <c:val>
            <c:numRef>
              <c:f>'Чувств. NPV'!$B$19:$H$19</c:f>
              <c:numCache>
                <c:formatCode>_-* #,##0\ "₽"_-;\-* #,##0\ "₽"_-;_-* "-"??\ "₽"_-;_-@_-</c:formatCode>
                <c:ptCount val="7"/>
                <c:pt idx="0">
                  <c:v>2937690.8721245006</c:v>
                </c:pt>
                <c:pt idx="1">
                  <c:v>1958460.581416335</c:v>
                </c:pt>
                <c:pt idx="2">
                  <c:v>979230.29070816562</c:v>
                </c:pt>
                <c:pt idx="3">
                  <c:v>0</c:v>
                </c:pt>
                <c:pt idx="4">
                  <c:v>-979230.29070816562</c:v>
                </c:pt>
                <c:pt idx="5">
                  <c:v>-1958460.5814163294</c:v>
                </c:pt>
                <c:pt idx="6">
                  <c:v>-2945313.2472501546</c:v>
                </c:pt>
              </c:numCache>
            </c:numRef>
          </c:val>
        </c:ser>
        <c:ser>
          <c:idx val="4"/>
          <c:order val="4"/>
          <c:tx>
            <c:strRef>
              <c:f>'Чувств. NPV'!$A$20</c:f>
              <c:strCache>
                <c:ptCount val="1"/>
                <c:pt idx="0">
                  <c:v>Затраты на электричество и интернет</c:v>
                </c:pt>
              </c:strCache>
            </c:strRef>
          </c:tx>
          <c:marker>
            <c:symbol val="none"/>
          </c:marker>
          <c:val>
            <c:numRef>
              <c:f>'Чувств. NPV'!$B$20:$H$20</c:f>
              <c:numCache>
                <c:formatCode>_-* #,##0\ "₽"_-;\-* #,##0\ "₽"_-;_-* "-"??\ "₽"_-;_-@_-</c:formatCode>
                <c:ptCount val="7"/>
                <c:pt idx="0">
                  <c:v>581738.14881744981</c:v>
                </c:pt>
                <c:pt idx="1">
                  <c:v>387825.4325449653</c:v>
                </c:pt>
                <c:pt idx="2">
                  <c:v>193912.71627248265</c:v>
                </c:pt>
                <c:pt idx="3">
                  <c:v>0</c:v>
                </c:pt>
                <c:pt idx="4">
                  <c:v>-193912.71627248079</c:v>
                </c:pt>
                <c:pt idx="5">
                  <c:v>-387825.4325449653</c:v>
                </c:pt>
                <c:pt idx="6">
                  <c:v>-581738.14881744608</c:v>
                </c:pt>
              </c:numCache>
            </c:numRef>
          </c:val>
        </c:ser>
        <c:ser>
          <c:idx val="5"/>
          <c:order val="5"/>
          <c:tx>
            <c:strRef>
              <c:f>'Чувств. NPV'!$A$21</c:f>
              <c:strCache>
                <c:ptCount val="1"/>
                <c:pt idx="0">
                  <c:v>Налоговая ставка</c:v>
                </c:pt>
              </c:strCache>
            </c:strRef>
          </c:tx>
          <c:marker>
            <c:symbol val="none"/>
          </c:marker>
          <c:val>
            <c:numRef>
              <c:f>'Чувств. NPV'!$B$21:$H$21</c:f>
              <c:numCache>
                <c:formatCode>_-* #,##0\ "₽"_-;\-* #,##0\ "₽"_-;_-* "-"??\ "₽"_-;_-@_-</c:formatCode>
                <c:ptCount val="7"/>
                <c:pt idx="0">
                  <c:v>-34487.499514963478</c:v>
                </c:pt>
                <c:pt idx="1">
                  <c:v>-23006.265205971897</c:v>
                </c:pt>
                <c:pt idx="2">
                  <c:v>-11510.439951647073</c:v>
                </c:pt>
                <c:pt idx="3">
                  <c:v>0</c:v>
                </c:pt>
                <c:pt idx="4">
                  <c:v>11525.078447369859</c:v>
                </c:pt>
                <c:pt idx="5">
                  <c:v>23064.819235442206</c:v>
                </c:pt>
                <c:pt idx="6">
                  <c:v>34619.246255815029</c:v>
                </c:pt>
              </c:numCache>
            </c:numRef>
          </c:val>
        </c:ser>
        <c:ser>
          <c:idx val="6"/>
          <c:order val="6"/>
          <c:tx>
            <c:strRef>
              <c:f>'Чувств. NPV'!$A$22</c:f>
              <c:strCache>
                <c:ptCount val="1"/>
                <c:pt idx="0">
                  <c:v>Стоимость собственного капитала (re)</c:v>
                </c:pt>
              </c:strCache>
            </c:strRef>
          </c:tx>
          <c:marker>
            <c:symbol val="none"/>
          </c:marker>
          <c:val>
            <c:numRef>
              <c:f>'Чувств. NPV'!$B$22:$H$22</c:f>
              <c:numCache>
                <c:formatCode>_-* #,##0\ "₽"_-;\-* #,##0\ "₽"_-;_-* "-"??\ "₽"_-;_-@_-</c:formatCode>
                <c:ptCount val="7"/>
                <c:pt idx="0">
                  <c:v>1409006.2756108027</c:v>
                </c:pt>
                <c:pt idx="1">
                  <c:v>916031.82275672071</c:v>
                </c:pt>
                <c:pt idx="2">
                  <c:v>446845.66542701796</c:v>
                </c:pt>
                <c:pt idx="3">
                  <c:v>0</c:v>
                </c:pt>
                <c:pt idx="4">
                  <c:v>-425848.50818578899</c:v>
                </c:pt>
                <c:pt idx="5">
                  <c:v>-831947.36026034132</c:v>
                </c:pt>
                <c:pt idx="6">
                  <c:v>-1219456.0594608653</c:v>
                </c:pt>
              </c:numCache>
            </c:numRef>
          </c:val>
        </c:ser>
        <c:ser>
          <c:idx val="7"/>
          <c:order val="7"/>
          <c:tx>
            <c:strRef>
              <c:f>'Чувств. NPV'!$A$23</c:f>
              <c:strCache>
                <c:ptCount val="1"/>
                <c:pt idx="0">
                  <c:v>Стоимость заемного капитала (rd)</c:v>
                </c:pt>
              </c:strCache>
            </c:strRef>
          </c:tx>
          <c:marker>
            <c:symbol val="none"/>
          </c:marker>
          <c:val>
            <c:numRef>
              <c:f>'Чувств. NPV'!$B$23:$H$23</c:f>
              <c:numCache>
                <c:formatCode>_-* #,##0\ "₽"_-;\-* #,##0\ "₽"_-;_-* "-"??\ "₽"_-;_-@_-</c:formatCode>
                <c:ptCount val="7"/>
                <c:pt idx="0">
                  <c:v>222617.31970501691</c:v>
                </c:pt>
                <c:pt idx="1">
                  <c:v>147895.67890148424</c:v>
                </c:pt>
                <c:pt idx="2">
                  <c:v>73691.458464477211</c:v>
                </c:pt>
                <c:pt idx="3">
                  <c:v>0</c:v>
                </c:pt>
                <c:pt idx="4">
                  <c:v>-73183.304199175909</c:v>
                </c:pt>
                <c:pt idx="5">
                  <c:v>-145863.011794433</c:v>
                </c:pt>
                <c:pt idx="6">
                  <c:v>-218043.63103314117</c:v>
                </c:pt>
              </c:numCache>
            </c:numRef>
          </c:val>
        </c:ser>
        <c:marker val="1"/>
        <c:axId val="169344384"/>
        <c:axId val="171062400"/>
      </c:lineChart>
      <c:catAx>
        <c:axId val="169344384"/>
        <c:scaling>
          <c:orientation val="minMax"/>
        </c:scaling>
        <c:axPos val="b"/>
        <c:numFmt formatCode="0%" sourceLinked="1"/>
        <c:majorTickMark val="none"/>
        <c:tickLblPos val="nextTo"/>
        <c:crossAx val="171062400"/>
        <c:crosses val="autoZero"/>
        <c:auto val="1"/>
        <c:lblAlgn val="ctr"/>
        <c:lblOffset val="100"/>
      </c:catAx>
      <c:valAx>
        <c:axId val="171062400"/>
        <c:scaling>
          <c:orientation val="minMax"/>
        </c:scaling>
        <c:axPos val="l"/>
        <c:majorGridlines/>
        <c:numFmt formatCode="_-* #,##0\ &quot;₽&quot;_-;\-* #,##0\ &quot;₽&quot;_-;_-* &quot;-&quot;??\ &quot;₽&quot;_-;_-@_-" sourceLinked="1"/>
        <c:majorTickMark val="none"/>
        <c:tickLblPos val="nextTo"/>
        <c:crossAx val="1693443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Изменение</a:t>
            </a:r>
            <a:r>
              <a:rPr lang="ru-RU" baseline="0"/>
              <a:t> </a:t>
            </a:r>
            <a:r>
              <a:rPr lang="en-US" baseline="0"/>
              <a:t>NPV</a:t>
            </a:r>
            <a:endParaRPr lang="ru-RU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'Чувств. NPV'!$A$24</c:f>
              <c:strCache>
                <c:ptCount val="1"/>
                <c:pt idx="0">
                  <c:v>Ставка роста (g)</c:v>
                </c:pt>
              </c:strCache>
            </c:strRef>
          </c:tx>
          <c:marker>
            <c:symbol val="none"/>
          </c:marker>
          <c:cat>
            <c:numRef>
              <c:f>'Чувств. NPV'!$B$15:$H$15</c:f>
              <c:numCache>
                <c:formatCode>0%</c:formatCode>
                <c:ptCount val="7"/>
                <c:pt idx="0">
                  <c:v>-0.3</c:v>
                </c:pt>
                <c:pt idx="1">
                  <c:v>-0.2</c:v>
                </c:pt>
                <c:pt idx="2">
                  <c:v>-0.1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</c:v>
                </c:pt>
              </c:numCache>
            </c:numRef>
          </c:cat>
          <c:val>
            <c:numRef>
              <c:f>'Чувств. NPV'!$B$24:$H$24</c:f>
              <c:numCache>
                <c:formatCode>_-* #,##0\ "₽"_-;\-* #,##0\ "₽"_-;_-* "-"??\ "₽"_-;_-@_-</c:formatCode>
                <c:ptCount val="7"/>
                <c:pt idx="0">
                  <c:v>-8683876.8546174616</c:v>
                </c:pt>
                <c:pt idx="1">
                  <c:v>-6241524.9713906199</c:v>
                </c:pt>
                <c:pt idx="2">
                  <c:v>-3385226.5770295635</c:v>
                </c:pt>
                <c:pt idx="3">
                  <c:v>0</c:v>
                </c:pt>
                <c:pt idx="4">
                  <c:v>4076066.1647370905</c:v>
                </c:pt>
                <c:pt idx="5">
                  <c:v>9078476.6893527955</c:v>
                </c:pt>
                <c:pt idx="6">
                  <c:v>15363502.977058649</c:v>
                </c:pt>
              </c:numCache>
            </c:numRef>
          </c:val>
        </c:ser>
        <c:marker val="1"/>
        <c:axId val="171078784"/>
        <c:axId val="171080320"/>
      </c:lineChart>
      <c:catAx>
        <c:axId val="171078784"/>
        <c:scaling>
          <c:orientation val="minMax"/>
        </c:scaling>
        <c:axPos val="b"/>
        <c:numFmt formatCode="0%" sourceLinked="1"/>
        <c:majorTickMark val="none"/>
        <c:tickLblPos val="nextTo"/>
        <c:crossAx val="171080320"/>
        <c:crosses val="autoZero"/>
        <c:auto val="1"/>
        <c:lblAlgn val="ctr"/>
        <c:lblOffset val="100"/>
      </c:catAx>
      <c:valAx>
        <c:axId val="171080320"/>
        <c:scaling>
          <c:orientation val="minMax"/>
        </c:scaling>
        <c:axPos val="l"/>
        <c:majorGridlines/>
        <c:numFmt formatCode="_-* #,##0\ &quot;₽&quot;_-;\-* #,##0\ &quot;₽&quot;_-;_-* &quot;-&quot;??\ &quot;₽&quot;_-;_-@_-" sourceLinked="1"/>
        <c:majorTickMark val="none"/>
        <c:tickLblPos val="nextTo"/>
        <c:crossAx val="1710787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en-US"/>
              <a:t>NPV</a:t>
            </a:r>
            <a:endParaRPr lang="ru-RU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Сценарии!$A$13</c:f>
              <c:strCache>
                <c:ptCount val="1"/>
                <c:pt idx="0">
                  <c:v>NPV (с учетом TV)</c:v>
                </c:pt>
              </c:strCache>
            </c:strRef>
          </c:tx>
          <c:dLbls>
            <c:dLbl>
              <c:idx val="0"/>
              <c:layout>
                <c:manualLayout>
                  <c:x val="-0.11897306397306399"/>
                  <c:y val="-4.4723969252271074E-2"/>
                </c:manualLayout>
              </c:layout>
              <c:dLblPos val="r"/>
              <c:showVal val="1"/>
            </c:dLbl>
            <c:dLblPos val="l"/>
            <c:showVal val="1"/>
          </c:dLbls>
          <c:cat>
            <c:strRef>
              <c:f>Сценарии!$B$1:$D$1</c:f>
              <c:strCache>
                <c:ptCount val="3"/>
                <c:pt idx="0">
                  <c:v>Пессимистичный</c:v>
                </c:pt>
                <c:pt idx="1">
                  <c:v>Наиболее вероятный</c:v>
                </c:pt>
                <c:pt idx="2">
                  <c:v>Оптимистичный</c:v>
                </c:pt>
              </c:strCache>
            </c:strRef>
          </c:cat>
          <c:val>
            <c:numRef>
              <c:f>Сценарии!$B$13:$D$13</c:f>
              <c:numCache>
                <c:formatCode>_-* #,##0\ "₽"_-;\-* #,##0\ "₽"_-;_-* "-"??\ "₽"_-;_-@_-</c:formatCode>
                <c:ptCount val="3"/>
                <c:pt idx="0">
                  <c:v>20955626.885556206</c:v>
                </c:pt>
                <c:pt idx="1">
                  <c:v>47456307.053075626</c:v>
                </c:pt>
                <c:pt idx="2">
                  <c:v>80621346.798860878</c:v>
                </c:pt>
              </c:numCache>
            </c:numRef>
          </c:val>
        </c:ser>
        <c:ser>
          <c:idx val="1"/>
          <c:order val="1"/>
          <c:tx>
            <c:strRef>
              <c:f>Сценарии!$A$14</c:f>
              <c:strCache>
                <c:ptCount val="1"/>
                <c:pt idx="0">
                  <c:v>NPV (без учета TV)</c:v>
                </c:pt>
              </c:strCache>
            </c:strRef>
          </c:tx>
          <c:dLbls>
            <c:dLbl>
              <c:idx val="0"/>
              <c:layout>
                <c:manualLayout>
                  <c:x val="-0.10538720538720539"/>
                  <c:y val="-3.3542976939203356E-2"/>
                </c:manualLayout>
              </c:layout>
              <c:dLblPos val="r"/>
              <c:showVal val="1"/>
            </c:dLbl>
            <c:dLbl>
              <c:idx val="1"/>
              <c:layout>
                <c:manualLayout>
                  <c:x val="-0.11212121212121216"/>
                  <c:y val="-3.6338225017470312E-2"/>
                </c:manualLayout>
              </c:layout>
              <c:dLblPos val="r"/>
              <c:showVal val="1"/>
            </c:dLbl>
            <c:dLbl>
              <c:idx val="2"/>
              <c:layout>
                <c:manualLayout>
                  <c:x val="-0.11055555555555556"/>
                  <c:y val="-5.5904961565338931E-2"/>
                </c:manualLayout>
              </c:layout>
              <c:dLblPos val="r"/>
              <c:showVal val="1"/>
            </c:dLbl>
            <c:dLblPos val="l"/>
            <c:showVal val="1"/>
          </c:dLbls>
          <c:cat>
            <c:strRef>
              <c:f>Сценарии!$B$1:$D$1</c:f>
              <c:strCache>
                <c:ptCount val="3"/>
                <c:pt idx="0">
                  <c:v>Пессимистичный</c:v>
                </c:pt>
                <c:pt idx="1">
                  <c:v>Наиболее вероятный</c:v>
                </c:pt>
                <c:pt idx="2">
                  <c:v>Оптимистичный</c:v>
                </c:pt>
              </c:strCache>
            </c:strRef>
          </c:cat>
          <c:val>
            <c:numRef>
              <c:f>Сценарии!$B$14:$D$14</c:f>
              <c:numCache>
                <c:formatCode>_-* #,##0\ "₽"_-;\-* #,##0\ "₽"_-;_-* "-"??\ "₽"_-;_-@_-</c:formatCode>
                <c:ptCount val="3"/>
                <c:pt idx="0">
                  <c:v>3143031.3620267604</c:v>
                </c:pt>
                <c:pt idx="1">
                  <c:v>9979881.573453553</c:v>
                </c:pt>
                <c:pt idx="2">
                  <c:v>17414032.09628702</c:v>
                </c:pt>
              </c:numCache>
            </c:numRef>
          </c:val>
        </c:ser>
        <c:dLbls>
          <c:showVal val="1"/>
        </c:dLbls>
        <c:marker val="1"/>
        <c:axId val="171872640"/>
        <c:axId val="171874176"/>
      </c:lineChart>
      <c:catAx>
        <c:axId val="171872640"/>
        <c:scaling>
          <c:orientation val="minMax"/>
        </c:scaling>
        <c:axPos val="b"/>
        <c:majorTickMark val="none"/>
        <c:tickLblPos val="nextTo"/>
        <c:crossAx val="171874176"/>
        <c:crosses val="autoZero"/>
        <c:auto val="1"/>
        <c:lblAlgn val="ctr"/>
        <c:lblOffset val="100"/>
      </c:catAx>
      <c:valAx>
        <c:axId val="171874176"/>
        <c:scaling>
          <c:orientation val="minMax"/>
        </c:scaling>
        <c:axPos val="l"/>
        <c:majorGridlines/>
        <c:numFmt formatCode="_-* #,##0\ &quot;₽&quot;_-;\-* #,##0\ &quot;₽&quot;_-;_-* &quot;-&quot;??\ &quot;₽&quot;_-;_-@_-" sourceLinked="1"/>
        <c:majorTickMark val="none"/>
        <c:tickLblPos val="nextTo"/>
        <c:crossAx val="1718726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3</xdr:row>
      <xdr:rowOff>76200</xdr:rowOff>
    </xdr:from>
    <xdr:to>
      <xdr:col>0</xdr:col>
      <xdr:colOff>2000250</xdr:colOff>
      <xdr:row>5</xdr:row>
      <xdr:rowOff>104775</xdr:rowOff>
    </xdr:to>
    <xdr:pic>
      <xdr:nvPicPr>
        <xdr:cNvPr id="3074" name="Picture 2" descr="Формула кумулятивного метода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647700"/>
          <a:ext cx="1933575" cy="4095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352424</xdr:colOff>
      <xdr:row>3</xdr:row>
      <xdr:rowOff>104776</xdr:rowOff>
    </xdr:from>
    <xdr:to>
      <xdr:col>30</xdr:col>
      <xdr:colOff>285749</xdr:colOff>
      <xdr:row>9</xdr:row>
      <xdr:rowOff>104776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4999" y="676276"/>
          <a:ext cx="15782925" cy="11430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962025</xdr:colOff>
      <xdr:row>27</xdr:row>
      <xdr:rowOff>85725</xdr:rowOff>
    </xdr:from>
    <xdr:to>
      <xdr:col>1</xdr:col>
      <xdr:colOff>476250</xdr:colOff>
      <xdr:row>29</xdr:row>
      <xdr:rowOff>28575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62025" y="5419725"/>
          <a:ext cx="1971675" cy="3238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1047750</xdr:colOff>
      <xdr:row>1</xdr:row>
      <xdr:rowOff>28575</xdr:rowOff>
    </xdr:from>
    <xdr:to>
      <xdr:col>3</xdr:col>
      <xdr:colOff>123825</xdr:colOff>
      <xdr:row>3</xdr:row>
      <xdr:rowOff>142875</xdr:rowOff>
    </xdr:to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47750" y="219075"/>
          <a:ext cx="3219450" cy="495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1381125</xdr:colOff>
      <xdr:row>17</xdr:row>
      <xdr:rowOff>133350</xdr:rowOff>
    </xdr:from>
    <xdr:to>
      <xdr:col>5</xdr:col>
      <xdr:colOff>76200</xdr:colOff>
      <xdr:row>20</xdr:row>
      <xdr:rowOff>47625</xdr:rowOff>
    </xdr:to>
    <xdr:pic>
      <xdr:nvPicPr>
        <xdr:cNvPr id="512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81125" y="3752850"/>
          <a:ext cx="4848225" cy="4857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1485900</xdr:colOff>
      <xdr:row>42</xdr:row>
      <xdr:rowOff>161925</xdr:rowOff>
    </xdr:from>
    <xdr:to>
      <xdr:col>2</xdr:col>
      <xdr:colOff>590550</xdr:colOff>
      <xdr:row>44</xdr:row>
      <xdr:rowOff>142875</xdr:rowOff>
    </xdr:to>
    <xdr:pic>
      <xdr:nvPicPr>
        <xdr:cNvPr id="512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485900" y="7210425"/>
          <a:ext cx="2390775" cy="3619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1019175</xdr:colOff>
      <xdr:row>9</xdr:row>
      <xdr:rowOff>133350</xdr:rowOff>
    </xdr:from>
    <xdr:to>
      <xdr:col>1</xdr:col>
      <xdr:colOff>561975</xdr:colOff>
      <xdr:row>12</xdr:row>
      <xdr:rowOff>57150</xdr:rowOff>
    </xdr:to>
    <xdr:pic>
      <xdr:nvPicPr>
        <xdr:cNvPr id="6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19175" y="1847850"/>
          <a:ext cx="2695575" cy="495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1266825</xdr:colOff>
      <xdr:row>27</xdr:row>
      <xdr:rowOff>123825</xdr:rowOff>
    </xdr:from>
    <xdr:to>
      <xdr:col>0</xdr:col>
      <xdr:colOff>2781300</xdr:colOff>
      <xdr:row>30</xdr:row>
      <xdr:rowOff>47625</xdr:rowOff>
    </xdr:to>
    <xdr:pic>
      <xdr:nvPicPr>
        <xdr:cNvPr id="614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66825" y="2600325"/>
          <a:ext cx="1514475" cy="4953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638175</xdr:colOff>
      <xdr:row>0</xdr:row>
      <xdr:rowOff>95250</xdr:rowOff>
    </xdr:from>
    <xdr:to>
      <xdr:col>21</xdr:col>
      <xdr:colOff>0</xdr:colOff>
      <xdr:row>30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657225</xdr:colOff>
      <xdr:row>31</xdr:row>
      <xdr:rowOff>76200</xdr:rowOff>
    </xdr:from>
    <xdr:to>
      <xdr:col>21</xdr:col>
      <xdr:colOff>19050</xdr:colOff>
      <xdr:row>61</xdr:row>
      <xdr:rowOff>76200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0</xdr:row>
      <xdr:rowOff>152400</xdr:rowOff>
    </xdr:from>
    <xdr:to>
      <xdr:col>18</xdr:col>
      <xdr:colOff>66675</xdr:colOff>
      <xdr:row>24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opLeftCell="A34" workbookViewId="0">
      <selection activeCell="A34" sqref="A34"/>
    </sheetView>
  </sheetViews>
  <sheetFormatPr defaultRowHeight="15"/>
  <cols>
    <col min="1" max="1" width="42.42578125" bestFit="1" customWidth="1"/>
    <col min="2" max="2" width="45.85546875" bestFit="1" customWidth="1"/>
    <col min="3" max="3" width="15.5703125" bestFit="1" customWidth="1"/>
    <col min="4" max="4" width="17.140625" customWidth="1"/>
    <col min="5" max="5" width="16.7109375" customWidth="1"/>
    <col min="6" max="6" width="35.7109375" customWidth="1"/>
    <col min="7" max="7" width="37.28515625" customWidth="1"/>
    <col min="8" max="8" width="29.140625" customWidth="1"/>
  </cols>
  <sheetData>
    <row r="1" spans="1:7">
      <c r="A1" s="2" t="s">
        <v>0</v>
      </c>
      <c r="B1" s="3"/>
      <c r="C1" s="3"/>
    </row>
    <row r="2" spans="1:7">
      <c r="A2" s="6" t="s">
        <v>1</v>
      </c>
      <c r="B2" s="6" t="s">
        <v>2</v>
      </c>
      <c r="C2" s="3"/>
    </row>
    <row r="3" spans="1:7">
      <c r="A3" s="7" t="s">
        <v>5</v>
      </c>
      <c r="B3" s="8">
        <v>100000</v>
      </c>
      <c r="C3" s="4"/>
    </row>
    <row r="4" spans="1:7">
      <c r="A4" s="7" t="s">
        <v>6</v>
      </c>
      <c r="B4" s="8">
        <v>50000</v>
      </c>
      <c r="C4" s="3"/>
    </row>
    <row r="5" spans="1:7">
      <c r="A5" s="7" t="s">
        <v>7</v>
      </c>
      <c r="B5" s="8">
        <v>50000</v>
      </c>
      <c r="C5" s="3"/>
    </row>
    <row r="6" spans="1:7">
      <c r="A6" s="7" t="s">
        <v>8</v>
      </c>
      <c r="B6" s="8">
        <v>300000</v>
      </c>
      <c r="C6" s="3"/>
    </row>
    <row r="7" spans="1:7">
      <c r="A7" s="7" t="s">
        <v>49</v>
      </c>
      <c r="B7" s="8">
        <v>100000</v>
      </c>
      <c r="C7" s="3"/>
    </row>
    <row r="8" spans="1:7">
      <c r="A8" s="7" t="s">
        <v>10</v>
      </c>
      <c r="B8" s="221">
        <f>SUM(B3:B7)</f>
        <v>600000</v>
      </c>
      <c r="C8" s="3"/>
    </row>
    <row r="9" spans="1:7">
      <c r="A9" s="3"/>
      <c r="B9" s="5"/>
      <c r="C9" s="3"/>
    </row>
    <row r="10" spans="1:7">
      <c r="A10" s="3"/>
      <c r="B10" s="5"/>
      <c r="C10" s="3"/>
    </row>
    <row r="11" spans="1:7">
      <c r="A11" s="2" t="s">
        <v>9</v>
      </c>
      <c r="B11" s="5"/>
      <c r="C11" s="3"/>
    </row>
    <row r="12" spans="1:7">
      <c r="A12" s="10" t="s">
        <v>11</v>
      </c>
      <c r="B12" s="11" t="s">
        <v>12</v>
      </c>
      <c r="C12" s="6" t="s">
        <v>2</v>
      </c>
      <c r="F12" s="13" t="s">
        <v>81</v>
      </c>
      <c r="G12" s="13"/>
    </row>
    <row r="13" spans="1:7">
      <c r="A13" s="12" t="s">
        <v>13</v>
      </c>
      <c r="B13" s="8" t="s">
        <v>21</v>
      </c>
      <c r="C13" s="8">
        <v>7000</v>
      </c>
      <c r="F13" s="13" t="s">
        <v>2</v>
      </c>
      <c r="G13" s="14">
        <f>SUM(C13:C20)</f>
        <v>87000</v>
      </c>
    </row>
    <row r="14" spans="1:7">
      <c r="A14" s="12" t="s">
        <v>14</v>
      </c>
      <c r="B14" s="8" t="s">
        <v>22</v>
      </c>
      <c r="C14" s="8">
        <v>1500</v>
      </c>
      <c r="F14" s="13" t="s">
        <v>82</v>
      </c>
      <c r="G14" s="14">
        <f>G13/5</f>
        <v>17400</v>
      </c>
    </row>
    <row r="15" spans="1:7">
      <c r="A15" s="12" t="s">
        <v>15</v>
      </c>
      <c r="B15" s="8" t="s">
        <v>23</v>
      </c>
      <c r="C15" s="8">
        <v>500</v>
      </c>
      <c r="F15" s="13" t="s">
        <v>83</v>
      </c>
      <c r="G15" s="14">
        <f>G14/30</f>
        <v>580</v>
      </c>
    </row>
    <row r="16" spans="1:7">
      <c r="A16" s="12" t="s">
        <v>16</v>
      </c>
      <c r="B16" s="8" t="s">
        <v>24</v>
      </c>
      <c r="C16" s="8">
        <v>3000</v>
      </c>
    </row>
    <row r="17" spans="1:7">
      <c r="A17" s="12" t="s">
        <v>17</v>
      </c>
      <c r="B17" s="8" t="s">
        <v>32</v>
      </c>
      <c r="C17" s="8">
        <v>17500</v>
      </c>
    </row>
    <row r="18" spans="1:7">
      <c r="A18" s="12" t="s">
        <v>18</v>
      </c>
      <c r="B18" s="7" t="s">
        <v>25</v>
      </c>
      <c r="C18" s="8">
        <v>36000</v>
      </c>
    </row>
    <row r="19" spans="1:7">
      <c r="A19" s="12" t="s">
        <v>19</v>
      </c>
      <c r="B19" s="7" t="s">
        <v>26</v>
      </c>
      <c r="C19" s="8">
        <v>7500</v>
      </c>
    </row>
    <row r="20" spans="1:7">
      <c r="A20" s="12" t="s">
        <v>20</v>
      </c>
      <c r="B20" s="7" t="s">
        <v>27</v>
      </c>
      <c r="C20" s="8">
        <v>14000</v>
      </c>
    </row>
    <row r="21" spans="1:7">
      <c r="A21" s="12" t="s">
        <v>28</v>
      </c>
      <c r="B21" s="7" t="s">
        <v>29</v>
      </c>
      <c r="C21" s="8">
        <v>22000</v>
      </c>
    </row>
    <row r="22" spans="1:7">
      <c r="A22" s="12" t="s">
        <v>30</v>
      </c>
      <c r="B22" s="7" t="s">
        <v>33</v>
      </c>
      <c r="C22" s="8">
        <v>30000</v>
      </c>
    </row>
    <row r="23" spans="1:7">
      <c r="A23" s="12" t="s">
        <v>31</v>
      </c>
      <c r="B23" s="7" t="s">
        <v>34</v>
      </c>
      <c r="C23" s="8">
        <v>5000</v>
      </c>
    </row>
    <row r="24" spans="1:7">
      <c r="A24" s="7"/>
      <c r="B24" s="7" t="s">
        <v>10</v>
      </c>
      <c r="C24" s="221">
        <f>SUM(C13:C23)</f>
        <v>144000</v>
      </c>
    </row>
    <row r="25" spans="1:7">
      <c r="A25" s="3"/>
      <c r="B25" s="3"/>
      <c r="C25" s="5"/>
    </row>
    <row r="26" spans="1:7">
      <c r="A26" s="3"/>
      <c r="B26" s="3"/>
      <c r="C26" s="3"/>
    </row>
    <row r="27" spans="1:7">
      <c r="A27" s="2" t="s">
        <v>35</v>
      </c>
      <c r="B27" s="5"/>
      <c r="C27" s="3"/>
    </row>
    <row r="28" spans="1:7">
      <c r="A28" s="10" t="s">
        <v>11</v>
      </c>
      <c r="B28" s="11" t="s">
        <v>12</v>
      </c>
      <c r="C28" s="6" t="s">
        <v>2</v>
      </c>
      <c r="F28" s="13" t="s">
        <v>84</v>
      </c>
      <c r="G28" s="13"/>
    </row>
    <row r="29" spans="1:7">
      <c r="A29" s="12" t="s">
        <v>13</v>
      </c>
      <c r="B29" s="8" t="s">
        <v>36</v>
      </c>
      <c r="C29" s="8">
        <v>9000</v>
      </c>
      <c r="F29" s="13" t="s">
        <v>2</v>
      </c>
      <c r="G29" s="14">
        <f>SUM(C29:C36)</f>
        <v>165100</v>
      </c>
    </row>
    <row r="30" spans="1:7">
      <c r="A30" s="12" t="s">
        <v>14</v>
      </c>
      <c r="B30" s="8" t="s">
        <v>37</v>
      </c>
      <c r="C30" s="8">
        <v>4000</v>
      </c>
      <c r="F30" s="13" t="s">
        <v>82</v>
      </c>
      <c r="G30" s="14">
        <f>G29/5</f>
        <v>33020</v>
      </c>
    </row>
    <row r="31" spans="1:7">
      <c r="A31" s="12" t="s">
        <v>15</v>
      </c>
      <c r="B31" s="8" t="s">
        <v>38</v>
      </c>
      <c r="C31" s="8">
        <v>2600</v>
      </c>
      <c r="F31" s="13" t="s">
        <v>83</v>
      </c>
      <c r="G31" s="14">
        <f>G30/30</f>
        <v>1100.6666666666667</v>
      </c>
    </row>
    <row r="32" spans="1:7">
      <c r="A32" s="12" t="s">
        <v>16</v>
      </c>
      <c r="B32" s="8" t="s">
        <v>39</v>
      </c>
      <c r="C32" s="8">
        <v>10000</v>
      </c>
    </row>
    <row r="33" spans="1:8">
      <c r="A33" s="12" t="s">
        <v>17</v>
      </c>
      <c r="B33" s="8" t="s">
        <v>40</v>
      </c>
      <c r="C33" s="8">
        <v>35000</v>
      </c>
    </row>
    <row r="34" spans="1:8">
      <c r="A34" s="12" t="s">
        <v>18</v>
      </c>
      <c r="B34" s="7" t="s">
        <v>41</v>
      </c>
      <c r="C34" s="8">
        <v>60000</v>
      </c>
    </row>
    <row r="35" spans="1:8">
      <c r="A35" s="12" t="s">
        <v>19</v>
      </c>
      <c r="B35" s="7" t="s">
        <v>26</v>
      </c>
      <c r="C35" s="8">
        <v>7500</v>
      </c>
    </row>
    <row r="36" spans="1:8">
      <c r="A36" s="12" t="s">
        <v>20</v>
      </c>
      <c r="B36" s="7" t="s">
        <v>42</v>
      </c>
      <c r="C36" s="8">
        <v>37000</v>
      </c>
    </row>
    <row r="37" spans="1:8">
      <c r="A37" s="12" t="s">
        <v>28</v>
      </c>
      <c r="B37" s="7" t="s">
        <v>29</v>
      </c>
      <c r="C37" s="8">
        <v>22000</v>
      </c>
    </row>
    <row r="38" spans="1:8">
      <c r="A38" s="12" t="s">
        <v>30</v>
      </c>
      <c r="B38" s="7" t="s">
        <v>33</v>
      </c>
      <c r="C38" s="8">
        <v>30000</v>
      </c>
    </row>
    <row r="39" spans="1:8">
      <c r="A39" s="12" t="s">
        <v>31</v>
      </c>
      <c r="B39" s="7" t="s">
        <v>34</v>
      </c>
      <c r="C39" s="8">
        <v>5000</v>
      </c>
    </row>
    <row r="40" spans="1:8">
      <c r="A40" s="7"/>
      <c r="B40" s="7" t="s">
        <v>10</v>
      </c>
      <c r="C40" s="221">
        <f>SUM(C29:C39)</f>
        <v>222100</v>
      </c>
    </row>
    <row r="43" spans="1:8">
      <c r="A43" s="2" t="s">
        <v>43</v>
      </c>
    </row>
    <row r="44" spans="1:8">
      <c r="A44" s="10" t="s">
        <v>11</v>
      </c>
      <c r="B44" s="11" t="s">
        <v>12</v>
      </c>
      <c r="C44" s="7" t="s">
        <v>3</v>
      </c>
      <c r="D44" s="6" t="s">
        <v>50</v>
      </c>
      <c r="E44" s="6" t="s">
        <v>2</v>
      </c>
      <c r="G44" s="13" t="s">
        <v>85</v>
      </c>
      <c r="H44" s="13"/>
    </row>
    <row r="45" spans="1:8">
      <c r="A45" s="12" t="s">
        <v>44</v>
      </c>
      <c r="B45" s="8" t="s">
        <v>4</v>
      </c>
      <c r="C45" s="8">
        <v>26000</v>
      </c>
      <c r="D45" s="15">
        <v>2</v>
      </c>
      <c r="E45" s="8">
        <f>C45*D45</f>
        <v>52000</v>
      </c>
      <c r="G45" s="13" t="s">
        <v>2</v>
      </c>
      <c r="H45" s="14">
        <f>E47</f>
        <v>150000</v>
      </c>
    </row>
    <row r="46" spans="1:8" ht="30">
      <c r="A46" s="18" t="s">
        <v>46</v>
      </c>
      <c r="B46" s="8" t="s">
        <v>4</v>
      </c>
      <c r="C46" s="8">
        <v>34000</v>
      </c>
      <c r="D46" s="15">
        <v>1</v>
      </c>
      <c r="E46" s="8">
        <f t="shared" ref="E46:E47" si="0">C46*D46</f>
        <v>34000</v>
      </c>
      <c r="G46" s="13" t="s">
        <v>82</v>
      </c>
      <c r="H46" s="14">
        <f>H45/5</f>
        <v>30000</v>
      </c>
    </row>
    <row r="47" spans="1:8">
      <c r="A47" s="12" t="s">
        <v>45</v>
      </c>
      <c r="B47" s="8" t="s">
        <v>47</v>
      </c>
      <c r="C47" s="8">
        <v>50000</v>
      </c>
      <c r="D47" s="15">
        <v>3</v>
      </c>
      <c r="E47" s="8">
        <f t="shared" si="0"/>
        <v>150000</v>
      </c>
      <c r="G47" s="13" t="s">
        <v>83</v>
      </c>
      <c r="H47" s="14">
        <f>H46/30</f>
        <v>1000</v>
      </c>
    </row>
    <row r="48" spans="1:8">
      <c r="A48" s="7"/>
      <c r="B48" s="8"/>
      <c r="C48" s="8"/>
      <c r="D48" s="15" t="s">
        <v>10</v>
      </c>
      <c r="E48" s="221">
        <f>SUM(E45:E47)</f>
        <v>236000</v>
      </c>
    </row>
    <row r="51" spans="1:8">
      <c r="A51" s="2" t="s">
        <v>48</v>
      </c>
      <c r="B51" s="3"/>
    </row>
    <row r="52" spans="1:8">
      <c r="A52" s="10" t="s">
        <v>61</v>
      </c>
      <c r="B52" s="11" t="s">
        <v>12</v>
      </c>
      <c r="C52" s="7" t="s">
        <v>3</v>
      </c>
      <c r="D52" s="6" t="s">
        <v>50</v>
      </c>
      <c r="E52" s="6" t="s">
        <v>2</v>
      </c>
    </row>
    <row r="53" spans="1:8">
      <c r="A53" s="12" t="s">
        <v>51</v>
      </c>
      <c r="B53" s="8" t="s">
        <v>4</v>
      </c>
      <c r="C53" s="8">
        <v>50000</v>
      </c>
      <c r="D53" s="15">
        <v>1</v>
      </c>
      <c r="E53" s="8">
        <f>C53*D53</f>
        <v>50000</v>
      </c>
    </row>
    <row r="54" spans="1:8">
      <c r="A54" s="18" t="s">
        <v>52</v>
      </c>
      <c r="B54" s="8" t="s">
        <v>62</v>
      </c>
      <c r="C54" s="8">
        <v>4600</v>
      </c>
      <c r="D54" s="15">
        <v>1</v>
      </c>
      <c r="E54" s="8">
        <f t="shared" ref="E54:E62" si="1">C54*D54</f>
        <v>4600</v>
      </c>
      <c r="G54" s="13" t="s">
        <v>86</v>
      </c>
      <c r="H54" s="13"/>
    </row>
    <row r="55" spans="1:8">
      <c r="A55" s="12" t="s">
        <v>53</v>
      </c>
      <c r="B55" s="8" t="s">
        <v>4</v>
      </c>
      <c r="C55" s="8">
        <v>30000</v>
      </c>
      <c r="D55" s="15">
        <v>1</v>
      </c>
      <c r="E55" s="8">
        <f t="shared" si="1"/>
        <v>30000</v>
      </c>
      <c r="G55" s="13" t="s">
        <v>2</v>
      </c>
      <c r="H55" s="14">
        <f>C53</f>
        <v>50000</v>
      </c>
    </row>
    <row r="56" spans="1:8">
      <c r="A56" s="12" t="s">
        <v>54</v>
      </c>
      <c r="B56" s="8" t="s">
        <v>63</v>
      </c>
      <c r="C56" s="8">
        <v>5600</v>
      </c>
      <c r="D56" s="15">
        <v>1</v>
      </c>
      <c r="E56" s="8">
        <f t="shared" si="1"/>
        <v>5600</v>
      </c>
      <c r="G56" s="13" t="s">
        <v>82</v>
      </c>
      <c r="H56" s="14">
        <f>H55/5</f>
        <v>10000</v>
      </c>
    </row>
    <row r="57" spans="1:8">
      <c r="A57" s="13" t="s">
        <v>55</v>
      </c>
      <c r="B57" s="7" t="s">
        <v>4</v>
      </c>
      <c r="C57" s="14">
        <v>20000</v>
      </c>
      <c r="D57" s="7">
        <v>1</v>
      </c>
      <c r="E57" s="8">
        <f>C57*D57</f>
        <v>20000</v>
      </c>
      <c r="G57" s="13" t="s">
        <v>83</v>
      </c>
      <c r="H57" s="14">
        <f>H56/30</f>
        <v>333.33333333333331</v>
      </c>
    </row>
    <row r="58" spans="1:8">
      <c r="A58" s="13" t="s">
        <v>56</v>
      </c>
      <c r="B58" s="7" t="s">
        <v>64</v>
      </c>
      <c r="C58" s="14">
        <v>1500</v>
      </c>
      <c r="D58" s="7">
        <v>6</v>
      </c>
      <c r="E58" s="8">
        <f>C58*D58</f>
        <v>9000</v>
      </c>
    </row>
    <row r="59" spans="1:8">
      <c r="A59" s="13" t="s">
        <v>57</v>
      </c>
      <c r="B59" s="7" t="s">
        <v>65</v>
      </c>
      <c r="C59" s="8">
        <v>5000</v>
      </c>
      <c r="D59" s="7">
        <v>8</v>
      </c>
      <c r="E59" s="8">
        <f t="shared" si="1"/>
        <v>40000</v>
      </c>
    </row>
    <row r="60" spans="1:8">
      <c r="A60" s="13" t="s">
        <v>58</v>
      </c>
      <c r="B60" s="7" t="s">
        <v>4</v>
      </c>
      <c r="C60" s="8">
        <v>35000</v>
      </c>
      <c r="D60" s="7">
        <v>1</v>
      </c>
      <c r="E60" s="8">
        <f t="shared" si="1"/>
        <v>35000</v>
      </c>
    </row>
    <row r="61" spans="1:8">
      <c r="A61" s="13" t="s">
        <v>59</v>
      </c>
      <c r="B61" s="7" t="s">
        <v>66</v>
      </c>
      <c r="C61" s="8">
        <v>6800</v>
      </c>
      <c r="D61" s="7">
        <v>2</v>
      </c>
      <c r="E61" s="8">
        <f t="shared" si="1"/>
        <v>13600</v>
      </c>
    </row>
    <row r="62" spans="1:8">
      <c r="A62" s="13" t="s">
        <v>60</v>
      </c>
      <c r="B62" s="7" t="s">
        <v>67</v>
      </c>
      <c r="C62" s="8">
        <v>4000</v>
      </c>
      <c r="D62" s="7">
        <v>7</v>
      </c>
      <c r="E62" s="8">
        <f t="shared" si="1"/>
        <v>28000</v>
      </c>
    </row>
    <row r="63" spans="1:8">
      <c r="A63" s="13"/>
      <c r="B63" s="7"/>
      <c r="C63" s="8"/>
      <c r="D63" s="7" t="s">
        <v>10</v>
      </c>
      <c r="E63" s="221">
        <f>SUM(E53:E62)</f>
        <v>235800</v>
      </c>
    </row>
    <row r="66" spans="1:5">
      <c r="A66" s="1"/>
      <c r="E66" s="67">
        <f>B8+C24*10+C40*5+E48+E63</f>
        <v>3622300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"/>
  <sheetViews>
    <sheetView workbookViewId="0">
      <selection activeCell="B24" sqref="B24"/>
    </sheetView>
  </sheetViews>
  <sheetFormatPr defaultRowHeight="15"/>
  <cols>
    <col min="1" max="1" width="39.42578125" customWidth="1"/>
    <col min="2" max="2" width="20.85546875" customWidth="1"/>
    <col min="3" max="3" width="18.5703125" customWidth="1"/>
    <col min="4" max="4" width="18.85546875" customWidth="1"/>
    <col min="5" max="5" width="18.42578125" customWidth="1"/>
    <col min="6" max="6" width="19.85546875" customWidth="1"/>
    <col min="7" max="7" width="16.140625" customWidth="1"/>
    <col min="8" max="8" width="14" customWidth="1"/>
    <col min="9" max="9" width="13.7109375" customWidth="1"/>
  </cols>
  <sheetData>
    <row r="1" spans="1:9">
      <c r="A1" s="1" t="s">
        <v>68</v>
      </c>
    </row>
    <row r="2" spans="1:9">
      <c r="A2" s="6" t="s">
        <v>69</v>
      </c>
      <c r="B2" s="6" t="s">
        <v>74</v>
      </c>
      <c r="C2" s="6" t="s">
        <v>50</v>
      </c>
      <c r="D2" s="6" t="s">
        <v>70</v>
      </c>
      <c r="E2" s="6" t="s">
        <v>71</v>
      </c>
      <c r="F2" s="6" t="s">
        <v>2</v>
      </c>
    </row>
    <row r="3" spans="1:9">
      <c r="A3" s="7" t="s">
        <v>73</v>
      </c>
      <c r="B3" s="8">
        <v>35000</v>
      </c>
      <c r="C3" s="7">
        <v>1</v>
      </c>
      <c r="D3" s="8">
        <f>C3*B3</f>
        <v>35000</v>
      </c>
      <c r="E3" s="8">
        <f>D3*$I$4</f>
        <v>10500</v>
      </c>
      <c r="F3" s="8">
        <f>D3+E3</f>
        <v>45500</v>
      </c>
    </row>
    <row r="4" spans="1:9">
      <c r="A4" s="7" t="s">
        <v>75</v>
      </c>
      <c r="B4" s="8">
        <v>26000</v>
      </c>
      <c r="C4" s="7">
        <v>3</v>
      </c>
      <c r="D4" s="8">
        <f>C4*B4</f>
        <v>78000</v>
      </c>
      <c r="E4" s="8">
        <f>D4*$I$4</f>
        <v>23400</v>
      </c>
      <c r="F4" s="8">
        <f t="shared" ref="F4:F6" si="0">D4+E4</f>
        <v>101400</v>
      </c>
      <c r="H4" s="7" t="s">
        <v>72</v>
      </c>
      <c r="I4" s="19">
        <v>0.3</v>
      </c>
    </row>
    <row r="5" spans="1:9">
      <c r="A5" s="7" t="s">
        <v>76</v>
      </c>
      <c r="B5" s="8">
        <v>40000</v>
      </c>
      <c r="C5" s="7">
        <v>1</v>
      </c>
      <c r="D5" s="8">
        <f t="shared" ref="D5:D6" si="1">C5*B5</f>
        <v>40000</v>
      </c>
      <c r="E5" s="8">
        <f>D5*$I$4</f>
        <v>12000</v>
      </c>
      <c r="F5" s="8">
        <f t="shared" si="0"/>
        <v>52000</v>
      </c>
    </row>
    <row r="6" spans="1:9">
      <c r="A6" s="7" t="s">
        <v>77</v>
      </c>
      <c r="B6" s="8">
        <v>25000</v>
      </c>
      <c r="C6" s="7">
        <v>1</v>
      </c>
      <c r="D6" s="8">
        <f t="shared" si="1"/>
        <v>25000</v>
      </c>
      <c r="E6" s="8">
        <f>D6*$I$4</f>
        <v>7500</v>
      </c>
      <c r="F6" s="8">
        <f t="shared" si="0"/>
        <v>32500</v>
      </c>
    </row>
    <row r="7" spans="1:9">
      <c r="A7" s="7" t="s">
        <v>80</v>
      </c>
      <c r="B7" s="8">
        <v>15000</v>
      </c>
      <c r="C7" s="7">
        <v>1</v>
      </c>
      <c r="D7" s="8">
        <f t="shared" ref="D7" si="2">C7*B7</f>
        <v>15000</v>
      </c>
      <c r="E7" s="8">
        <f>D7*$I$4</f>
        <v>4500</v>
      </c>
      <c r="F7" s="8">
        <f t="shared" ref="F7" si="3">D7+E7</f>
        <v>19500</v>
      </c>
    </row>
    <row r="8" spans="1:9">
      <c r="D8" s="146">
        <f>SUM(D3:D7)</f>
        <v>193000</v>
      </c>
    </row>
    <row r="9" spans="1:9">
      <c r="A9" s="16"/>
      <c r="B9" s="17"/>
      <c r="C9" s="16"/>
      <c r="D9" s="17"/>
      <c r="E9" s="17"/>
      <c r="F9" s="17"/>
    </row>
    <row r="10" spans="1:9">
      <c r="E10" s="9" t="s">
        <v>78</v>
      </c>
    </row>
    <row r="11" spans="1:9">
      <c r="E11" s="20" t="s">
        <v>79</v>
      </c>
      <c r="F11" s="21">
        <v>1500</v>
      </c>
    </row>
    <row r="12" spans="1:9">
      <c r="E12" s="7" t="s">
        <v>10</v>
      </c>
      <c r="F12" s="220">
        <f>SUM(F3:F7)+F11</f>
        <v>252400</v>
      </c>
    </row>
    <row r="17" spans="1:2">
      <c r="A17" s="1" t="s">
        <v>87</v>
      </c>
    </row>
    <row r="18" spans="1:2">
      <c r="A18" s="6" t="s">
        <v>61</v>
      </c>
      <c r="B18" s="6" t="s">
        <v>88</v>
      </c>
    </row>
    <row r="19" spans="1:2">
      <c r="A19" s="7" t="s">
        <v>89</v>
      </c>
      <c r="B19" s="8">
        <f>F12</f>
        <v>252400</v>
      </c>
    </row>
    <row r="20" spans="1:2">
      <c r="A20" s="7" t="s">
        <v>90</v>
      </c>
      <c r="B20" s="8">
        <v>150000</v>
      </c>
    </row>
    <row r="21" spans="1:2">
      <c r="A21" s="7" t="s">
        <v>91</v>
      </c>
      <c r="B21" s="8">
        <v>50000</v>
      </c>
    </row>
    <row r="22" spans="1:2">
      <c r="A22" s="7" t="s">
        <v>92</v>
      </c>
      <c r="B22" s="8">
        <v>10000</v>
      </c>
    </row>
    <row r="23" spans="1:2">
      <c r="A23" s="7" t="s">
        <v>93</v>
      </c>
      <c r="B23" s="8">
        <v>15000</v>
      </c>
    </row>
    <row r="24" spans="1:2">
      <c r="A24" s="7" t="s">
        <v>10</v>
      </c>
      <c r="B24" s="221">
        <f>SUM(B19:B23)</f>
        <v>477400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selection activeCell="G15" sqref="G15"/>
    </sheetView>
  </sheetViews>
  <sheetFormatPr defaultRowHeight="15"/>
  <cols>
    <col min="1" max="1" width="10.28515625" customWidth="1"/>
    <col min="2" max="2" width="12.42578125" customWidth="1"/>
    <col min="3" max="3" width="42.28515625" customWidth="1"/>
    <col min="4" max="4" width="15.28515625" customWidth="1"/>
    <col min="5" max="5" width="14" customWidth="1"/>
    <col min="6" max="6" width="17.140625" customWidth="1"/>
    <col min="7" max="7" width="17.85546875" customWidth="1"/>
  </cols>
  <sheetData>
    <row r="1" spans="1:7" ht="18.75">
      <c r="A1" s="22"/>
      <c r="B1" s="22"/>
      <c r="C1" s="22" t="s">
        <v>142</v>
      </c>
      <c r="D1" s="23"/>
      <c r="E1" s="23"/>
      <c r="F1" s="23"/>
      <c r="G1" s="23"/>
    </row>
    <row r="2" spans="1:7">
      <c r="A2" s="27"/>
      <c r="B2" s="27"/>
      <c r="C2" s="27"/>
      <c r="D2" s="57" t="s">
        <v>143</v>
      </c>
      <c r="E2" s="57" t="s">
        <v>50</v>
      </c>
      <c r="F2" s="57" t="s">
        <v>144</v>
      </c>
      <c r="G2" s="57" t="s">
        <v>145</v>
      </c>
    </row>
    <row r="3" spans="1:7" ht="15.75" thickBot="1">
      <c r="A3" s="58"/>
      <c r="B3" s="58"/>
      <c r="C3" s="58" t="s">
        <v>146</v>
      </c>
      <c r="D3" s="59"/>
      <c r="E3" s="58"/>
      <c r="F3" s="58"/>
      <c r="G3" s="63">
        <f>SUM(G4:G8)</f>
        <v>600000</v>
      </c>
    </row>
    <row r="4" spans="1:7" ht="15.75" thickTop="1">
      <c r="A4" s="27"/>
      <c r="B4" s="27"/>
      <c r="C4" t="s">
        <v>5</v>
      </c>
      <c r="D4" s="3" t="s">
        <v>149</v>
      </c>
      <c r="E4" s="39">
        <v>1</v>
      </c>
      <c r="F4" s="48">
        <f>Нач.инв.!B3</f>
        <v>100000</v>
      </c>
      <c r="G4" s="62">
        <f>E4*F4</f>
        <v>100000</v>
      </c>
    </row>
    <row r="5" spans="1:7">
      <c r="A5" s="27"/>
      <c r="B5" s="27"/>
      <c r="C5" t="s">
        <v>6</v>
      </c>
      <c r="D5" s="3" t="s">
        <v>149</v>
      </c>
      <c r="E5" s="39">
        <v>1</v>
      </c>
      <c r="F5" s="48">
        <f>Нач.инв.!B4</f>
        <v>50000</v>
      </c>
      <c r="G5" s="62">
        <f t="shared" ref="G5:G8" si="0">E5*F5</f>
        <v>50000</v>
      </c>
    </row>
    <row r="6" spans="1:7">
      <c r="A6" s="27"/>
      <c r="B6" s="27"/>
      <c r="C6" t="s">
        <v>7</v>
      </c>
      <c r="D6" s="3" t="s">
        <v>149</v>
      </c>
      <c r="E6" s="39">
        <v>1</v>
      </c>
      <c r="F6" s="48">
        <f>Нач.инв.!B5</f>
        <v>50000</v>
      </c>
      <c r="G6" s="62">
        <f t="shared" si="0"/>
        <v>50000</v>
      </c>
    </row>
    <row r="7" spans="1:7">
      <c r="A7" s="27"/>
      <c r="B7" s="27"/>
      <c r="C7" t="s">
        <v>8</v>
      </c>
      <c r="D7" s="3" t="s">
        <v>149</v>
      </c>
      <c r="E7" s="39">
        <v>1</v>
      </c>
      <c r="F7" s="48">
        <f>Нач.инв.!B6</f>
        <v>300000</v>
      </c>
      <c r="G7" s="62">
        <f t="shared" si="0"/>
        <v>300000</v>
      </c>
    </row>
    <row r="8" spans="1:7">
      <c r="A8" s="27"/>
      <c r="B8" s="27"/>
      <c r="C8" t="s">
        <v>49</v>
      </c>
      <c r="D8" s="3" t="s">
        <v>149</v>
      </c>
      <c r="E8" s="39">
        <v>1</v>
      </c>
      <c r="F8" s="48">
        <f>Нач.инв.!B7</f>
        <v>100000</v>
      </c>
      <c r="G8" s="62">
        <f t="shared" si="0"/>
        <v>100000</v>
      </c>
    </row>
    <row r="9" spans="1:7">
      <c r="A9" s="27"/>
      <c r="B9" s="27"/>
      <c r="C9" s="27"/>
      <c r="D9" s="29"/>
      <c r="E9" s="39"/>
      <c r="G9" s="29"/>
    </row>
    <row r="10" spans="1:7" ht="15.75" thickBot="1">
      <c r="A10" s="58"/>
      <c r="B10" s="58"/>
      <c r="C10" s="58" t="s">
        <v>150</v>
      </c>
      <c r="D10" s="59"/>
      <c r="E10" s="59"/>
      <c r="F10" s="59"/>
      <c r="G10" s="64">
        <f>SUM(G11:G15)</f>
        <v>2803100</v>
      </c>
    </row>
    <row r="11" spans="1:7" ht="15.75" thickTop="1">
      <c r="A11" s="27"/>
      <c r="B11" s="27"/>
      <c r="C11" s="27" t="s">
        <v>151</v>
      </c>
      <c r="D11" s="29" t="s">
        <v>147</v>
      </c>
      <c r="E11" s="39">
        <f>'Вход и предположения'!E4</f>
        <v>10</v>
      </c>
      <c r="F11" s="48">
        <f>Нач.инв.!C24</f>
        <v>144000</v>
      </c>
      <c r="G11" s="62">
        <f>E11*F11</f>
        <v>1440000</v>
      </c>
    </row>
    <row r="12" spans="1:7">
      <c r="A12" s="27"/>
      <c r="B12" s="27"/>
      <c r="C12" s="27" t="s">
        <v>152</v>
      </c>
      <c r="D12" s="29" t="s">
        <v>147</v>
      </c>
      <c r="E12" s="39">
        <f>'Вход и предположения'!E5</f>
        <v>5</v>
      </c>
      <c r="F12" s="48">
        <f>Нач.инв.!C40</f>
        <v>222100</v>
      </c>
      <c r="G12" s="62">
        <f t="shared" ref="G12:G15" si="1">E12*F12</f>
        <v>1110500</v>
      </c>
    </row>
    <row r="13" spans="1:7">
      <c r="A13" s="27"/>
      <c r="B13" s="27"/>
      <c r="C13" s="27" t="s">
        <v>153</v>
      </c>
      <c r="D13" s="29" t="s">
        <v>147</v>
      </c>
      <c r="E13" s="39">
        <f>'Вход и предположения'!E6</f>
        <v>2</v>
      </c>
      <c r="F13" s="48">
        <f>Нач.инв.!C45+Нач.инв.!C47+Нач.инв.!C61+Нач.инв.!C58</f>
        <v>84300</v>
      </c>
      <c r="G13" s="62">
        <f t="shared" si="1"/>
        <v>168600</v>
      </c>
    </row>
    <row r="14" spans="1:7">
      <c r="A14" s="27"/>
      <c r="B14" s="27"/>
      <c r="C14" s="27" t="s">
        <v>148</v>
      </c>
      <c r="D14" s="29" t="s">
        <v>147</v>
      </c>
      <c r="E14" s="39">
        <v>1</v>
      </c>
      <c r="F14" s="48">
        <f>Нач.инв.!C46</f>
        <v>34000</v>
      </c>
      <c r="G14" s="62">
        <f t="shared" si="1"/>
        <v>34000</v>
      </c>
    </row>
    <row r="15" spans="1:7">
      <c r="A15" s="27"/>
      <c r="B15" s="27"/>
      <c r="C15" s="27" t="s">
        <v>154</v>
      </c>
      <c r="D15" s="29" t="s">
        <v>147</v>
      </c>
      <c r="E15" s="39">
        <v>1</v>
      </c>
      <c r="F15" s="48">
        <f>Нач.инв.!C47</f>
        <v>50000</v>
      </c>
      <c r="G15" s="62">
        <f t="shared" si="1"/>
        <v>50000</v>
      </c>
    </row>
    <row r="16" spans="1:7">
      <c r="A16" s="27"/>
      <c r="B16" s="27"/>
      <c r="D16" s="29"/>
      <c r="E16" s="3"/>
      <c r="G16" s="62"/>
    </row>
    <row r="17" spans="1:7" ht="15.75" thickBot="1">
      <c r="A17" s="58"/>
      <c r="B17" s="58"/>
      <c r="C17" s="58" t="s">
        <v>48</v>
      </c>
      <c r="D17" s="59"/>
      <c r="E17" s="59"/>
      <c r="F17" s="65"/>
      <c r="G17" s="64">
        <f>SUM(G18:G26)</f>
        <v>219200</v>
      </c>
    </row>
    <row r="18" spans="1:7" ht="15.75" thickTop="1">
      <c r="A18" s="27"/>
      <c r="B18" s="27"/>
      <c r="C18" s="27" t="s">
        <v>51</v>
      </c>
      <c r="D18" s="29" t="s">
        <v>99</v>
      </c>
      <c r="E18" s="3">
        <v>1</v>
      </c>
      <c r="F18" s="66">
        <v>50000</v>
      </c>
      <c r="G18" s="62">
        <f>E18*F18</f>
        <v>50000</v>
      </c>
    </row>
    <row r="19" spans="1:7">
      <c r="A19" s="27"/>
      <c r="B19" s="27"/>
      <c r="C19" s="27" t="s">
        <v>52</v>
      </c>
      <c r="D19" s="29" t="s">
        <v>99</v>
      </c>
      <c r="E19" s="3">
        <v>1</v>
      </c>
      <c r="F19" s="66">
        <v>4600</v>
      </c>
      <c r="G19" s="62">
        <f t="shared" ref="G19:G26" si="2">E19*F19</f>
        <v>4600</v>
      </c>
    </row>
    <row r="20" spans="1:7">
      <c r="A20" s="27"/>
      <c r="B20" s="27"/>
      <c r="C20" s="27" t="s">
        <v>53</v>
      </c>
      <c r="D20" s="29" t="s">
        <v>99</v>
      </c>
      <c r="E20" s="3">
        <v>1</v>
      </c>
      <c r="F20" s="66">
        <v>30000</v>
      </c>
      <c r="G20" s="62">
        <f t="shared" si="2"/>
        <v>30000</v>
      </c>
    </row>
    <row r="21" spans="1:7">
      <c r="A21" s="27"/>
      <c r="B21" s="27"/>
      <c r="C21" s="27" t="s">
        <v>54</v>
      </c>
      <c r="D21" s="29" t="s">
        <v>99</v>
      </c>
      <c r="E21" s="3">
        <v>1</v>
      </c>
      <c r="F21" s="66">
        <v>5600</v>
      </c>
      <c r="G21" s="62">
        <f t="shared" si="2"/>
        <v>5600</v>
      </c>
    </row>
    <row r="22" spans="1:7">
      <c r="A22" s="27"/>
      <c r="B22" s="27"/>
      <c r="C22" s="27" t="s">
        <v>55</v>
      </c>
      <c r="D22" s="29" t="s">
        <v>99</v>
      </c>
      <c r="E22" s="3">
        <v>1</v>
      </c>
      <c r="F22" s="66">
        <v>20000</v>
      </c>
      <c r="G22" s="62">
        <f t="shared" si="2"/>
        <v>20000</v>
      </c>
    </row>
    <row r="23" spans="1:7">
      <c r="A23" s="27"/>
      <c r="B23" s="27"/>
      <c r="C23" s="27" t="s">
        <v>56</v>
      </c>
      <c r="D23" s="29" t="s">
        <v>99</v>
      </c>
      <c r="E23" s="3">
        <v>4</v>
      </c>
      <c r="F23" s="66">
        <v>1500</v>
      </c>
      <c r="G23" s="62">
        <f t="shared" si="2"/>
        <v>6000</v>
      </c>
    </row>
    <row r="24" spans="1:7">
      <c r="A24" s="27"/>
      <c r="B24" s="27"/>
      <c r="C24" s="27" t="s">
        <v>57</v>
      </c>
      <c r="D24" s="29" t="s">
        <v>99</v>
      </c>
      <c r="E24" s="3">
        <v>8</v>
      </c>
      <c r="F24" s="66">
        <v>5000</v>
      </c>
      <c r="G24" s="62">
        <f t="shared" si="2"/>
        <v>40000</v>
      </c>
    </row>
    <row r="25" spans="1:7">
      <c r="A25" s="27"/>
      <c r="B25" s="27"/>
      <c r="C25" s="27" t="s">
        <v>58</v>
      </c>
      <c r="D25" s="29" t="s">
        <v>99</v>
      </c>
      <c r="E25" s="3">
        <v>1</v>
      </c>
      <c r="F25" s="66">
        <v>35000</v>
      </c>
      <c r="G25" s="62">
        <f t="shared" si="2"/>
        <v>35000</v>
      </c>
    </row>
    <row r="26" spans="1:7">
      <c r="A26" s="27"/>
      <c r="B26" s="27"/>
      <c r="C26" s="27" t="s">
        <v>60</v>
      </c>
      <c r="D26" s="29" t="s">
        <v>99</v>
      </c>
      <c r="E26" s="3">
        <v>7</v>
      </c>
      <c r="F26" s="66">
        <v>4000</v>
      </c>
      <c r="G26" s="62">
        <f t="shared" si="2"/>
        <v>28000</v>
      </c>
    </row>
    <row r="27" spans="1:7">
      <c r="A27" s="27"/>
      <c r="B27" s="27"/>
      <c r="C27" s="27"/>
      <c r="D27" s="29"/>
      <c r="E27" s="3"/>
      <c r="F27" s="29"/>
      <c r="G27" s="29"/>
    </row>
    <row r="28" spans="1:7" ht="15.75" thickBot="1">
      <c r="A28" s="60"/>
      <c r="B28" s="60"/>
      <c r="C28" s="60" t="s">
        <v>155</v>
      </c>
      <c r="D28" s="61"/>
      <c r="E28" s="61"/>
      <c r="F28" s="61"/>
      <c r="G28" s="189">
        <f>SUM(G3,G10,G17)</f>
        <v>3622300</v>
      </c>
    </row>
    <row r="29" spans="1:7" ht="15.75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AN67"/>
  <sheetViews>
    <sheetView workbookViewId="0">
      <selection activeCell="K31" sqref="K31"/>
    </sheetView>
  </sheetViews>
  <sheetFormatPr defaultRowHeight="15"/>
  <cols>
    <col min="3" max="3" width="56" bestFit="1" customWidth="1"/>
    <col min="4" max="4" width="15.85546875" customWidth="1"/>
    <col min="5" max="5" width="13.7109375" customWidth="1"/>
    <col min="6" max="6" width="16.28515625" customWidth="1"/>
    <col min="7" max="7" width="12.85546875" customWidth="1"/>
    <col min="8" max="8" width="12.7109375" customWidth="1"/>
    <col min="9" max="9" width="14.28515625" customWidth="1"/>
    <col min="10" max="12" width="13.140625" bestFit="1" customWidth="1"/>
    <col min="13" max="13" width="14.5703125" bestFit="1" customWidth="1"/>
    <col min="14" max="36" width="13.140625" bestFit="1" customWidth="1"/>
    <col min="37" max="40" width="12" bestFit="1" customWidth="1"/>
  </cols>
  <sheetData>
    <row r="1" spans="1:21" ht="18.75">
      <c r="A1" s="22"/>
      <c r="B1" s="22"/>
      <c r="C1" s="22" t="s">
        <v>94</v>
      </c>
      <c r="D1" s="23"/>
      <c r="E1" s="23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>
      <c r="J2" s="55"/>
    </row>
    <row r="3" spans="1:21" ht="15.75" thickBot="1">
      <c r="A3" s="24"/>
      <c r="B3" s="24"/>
      <c r="C3" s="25" t="s">
        <v>95</v>
      </c>
      <c r="D3" s="26" t="s">
        <v>96</v>
      </c>
      <c r="E3" s="26" t="s">
        <v>97</v>
      </c>
      <c r="F3" s="24"/>
      <c r="G3" s="24"/>
      <c r="H3" s="24"/>
      <c r="I3" s="24"/>
      <c r="J3" s="55"/>
    </row>
    <row r="4" spans="1:21" ht="15.75" thickTop="1">
      <c r="A4" s="27"/>
      <c r="B4" s="27"/>
      <c r="C4" s="28" t="s">
        <v>98</v>
      </c>
      <c r="D4" s="29" t="s">
        <v>99</v>
      </c>
      <c r="E4" s="30">
        <v>10</v>
      </c>
      <c r="F4" s="27"/>
      <c r="G4" s="27"/>
      <c r="H4" s="27"/>
      <c r="I4" s="27"/>
      <c r="J4" s="55"/>
    </row>
    <row r="5" spans="1:21">
      <c r="A5" s="27"/>
      <c r="B5" s="27"/>
      <c r="C5" s="28" t="s">
        <v>137</v>
      </c>
      <c r="D5" s="29" t="s">
        <v>99</v>
      </c>
      <c r="E5" s="30">
        <v>5</v>
      </c>
      <c r="F5" s="27"/>
      <c r="G5" s="27"/>
      <c r="H5" s="27"/>
      <c r="I5" s="27"/>
      <c r="J5" s="55"/>
    </row>
    <row r="6" spans="1:21">
      <c r="A6" s="27"/>
      <c r="B6" s="27"/>
      <c r="C6" s="28" t="s">
        <v>138</v>
      </c>
      <c r="D6" s="29" t="s">
        <v>99</v>
      </c>
      <c r="E6" s="30">
        <v>2</v>
      </c>
      <c r="F6" s="27"/>
      <c r="G6" s="27"/>
      <c r="H6" s="27"/>
      <c r="I6" s="27"/>
      <c r="J6" s="55"/>
    </row>
    <row r="7" spans="1:21">
      <c r="A7" s="27"/>
      <c r="B7" s="27"/>
      <c r="C7" s="28" t="s">
        <v>100</v>
      </c>
      <c r="D7" s="29" t="s">
        <v>101</v>
      </c>
      <c r="E7" s="47">
        <v>200</v>
      </c>
      <c r="F7" s="27"/>
      <c r="G7" s="27"/>
      <c r="H7" s="27"/>
      <c r="I7" s="27"/>
      <c r="J7" s="55"/>
    </row>
    <row r="8" spans="1:21">
      <c r="A8" s="27"/>
      <c r="B8" s="27"/>
      <c r="C8" s="28"/>
      <c r="D8" s="29"/>
      <c r="E8" s="29"/>
      <c r="F8" s="27"/>
      <c r="G8" s="27"/>
      <c r="H8" s="27"/>
      <c r="I8" s="27"/>
      <c r="J8" s="55"/>
      <c r="M8" s="56"/>
    </row>
    <row r="9" spans="1:21" ht="15.75" thickBot="1">
      <c r="A9" s="25"/>
      <c r="B9" s="25"/>
      <c r="C9" s="31" t="s">
        <v>102</v>
      </c>
      <c r="D9" s="26"/>
      <c r="E9" s="26"/>
      <c r="F9" s="25"/>
      <c r="G9" s="25"/>
      <c r="H9" s="25"/>
      <c r="I9" s="25"/>
      <c r="J9" s="55"/>
    </row>
    <row r="10" spans="1:21" ht="15.75" thickTop="1">
      <c r="A10" s="32"/>
      <c r="B10" s="32"/>
      <c r="D10" s="3"/>
      <c r="E10" s="33" t="s">
        <v>103</v>
      </c>
      <c r="F10" s="33" t="s">
        <v>104</v>
      </c>
      <c r="G10" s="33" t="s">
        <v>105</v>
      </c>
      <c r="H10" s="33" t="s">
        <v>106</v>
      </c>
      <c r="I10" s="54" t="s">
        <v>107</v>
      </c>
      <c r="J10" s="55"/>
      <c r="L10" s="172" t="s">
        <v>141</v>
      </c>
      <c r="M10" s="200">
        <f>E28</f>
        <v>0.15</v>
      </c>
    </row>
    <row r="11" spans="1:21">
      <c r="A11" s="27"/>
      <c r="B11" s="27"/>
      <c r="C11" t="s">
        <v>108</v>
      </c>
      <c r="D11" s="3" t="s">
        <v>109</v>
      </c>
      <c r="E11" s="35">
        <v>0.4</v>
      </c>
      <c r="F11" s="35">
        <v>0.5</v>
      </c>
      <c r="G11" s="35">
        <v>0.5</v>
      </c>
      <c r="H11" s="35">
        <v>0.5</v>
      </c>
      <c r="I11" s="35">
        <v>0.5</v>
      </c>
      <c r="J11" s="55"/>
      <c r="L11" s="172" t="s">
        <v>267</v>
      </c>
      <c r="M11" s="200">
        <f>'re и wacc'!H24</f>
        <v>6.2449999999999999E-2</v>
      </c>
    </row>
    <row r="12" spans="1:21">
      <c r="A12" s="27"/>
      <c r="B12" s="27"/>
      <c r="C12" t="s">
        <v>110</v>
      </c>
      <c r="D12" s="3" t="s">
        <v>109</v>
      </c>
      <c r="E12" s="35">
        <v>0.4</v>
      </c>
      <c r="F12" s="35">
        <v>0.5</v>
      </c>
      <c r="G12" s="35">
        <v>0.5</v>
      </c>
      <c r="H12" s="35">
        <v>0.5</v>
      </c>
      <c r="I12" s="35">
        <v>0.5</v>
      </c>
      <c r="J12" s="55"/>
      <c r="L12" s="172" t="s">
        <v>237</v>
      </c>
      <c r="M12" s="200">
        <v>7.4999999999999997E-2</v>
      </c>
    </row>
    <row r="13" spans="1:21">
      <c r="A13" s="27"/>
      <c r="B13" s="27"/>
      <c r="C13" t="s">
        <v>111</v>
      </c>
      <c r="D13" s="3" t="s">
        <v>109</v>
      </c>
      <c r="E13" s="35">
        <v>0.4</v>
      </c>
      <c r="F13" s="35">
        <v>0.5</v>
      </c>
      <c r="G13" s="35">
        <v>0.5</v>
      </c>
      <c r="H13" s="35">
        <v>0.5</v>
      </c>
      <c r="I13" s="35">
        <v>0.5</v>
      </c>
      <c r="J13" s="55"/>
      <c r="L13" s="172" t="s">
        <v>279</v>
      </c>
      <c r="M13" s="200">
        <f>'re и wacc'!C22</f>
        <v>0.16245000000000001</v>
      </c>
    </row>
    <row r="14" spans="1:21">
      <c r="A14" s="37"/>
      <c r="B14" s="37"/>
      <c r="C14" s="38"/>
      <c r="D14" s="39"/>
      <c r="E14" s="40"/>
      <c r="F14" s="37"/>
      <c r="G14" s="37"/>
      <c r="H14" s="37"/>
      <c r="I14" s="37"/>
      <c r="J14" s="55"/>
      <c r="L14" s="172" t="s">
        <v>285</v>
      </c>
      <c r="M14" s="200">
        <f>'re и wacc'!C40</f>
        <v>0.13520211881953456</v>
      </c>
    </row>
    <row r="15" spans="1:21">
      <c r="A15" s="27"/>
      <c r="B15" s="27"/>
      <c r="C15" s="28" t="s">
        <v>112</v>
      </c>
      <c r="D15" s="29" t="s">
        <v>117</v>
      </c>
      <c r="E15" s="48">
        <v>100</v>
      </c>
      <c r="F15" s="27"/>
      <c r="G15" s="27"/>
      <c r="H15" s="27"/>
      <c r="I15" s="27"/>
      <c r="J15" s="55"/>
    </row>
    <row r="16" spans="1:21">
      <c r="A16" s="27"/>
      <c r="B16" s="27"/>
      <c r="C16" s="28" t="s">
        <v>114</v>
      </c>
      <c r="D16" s="29" t="s">
        <v>117</v>
      </c>
      <c r="E16" s="48">
        <v>110</v>
      </c>
      <c r="F16" s="27"/>
      <c r="G16" s="27"/>
      <c r="H16" s="27"/>
      <c r="I16" s="27"/>
      <c r="J16" s="55"/>
      <c r="L16" s="201" t="s">
        <v>293</v>
      </c>
      <c r="M16" s="200">
        <v>6.5000000000000002E-2</v>
      </c>
      <c r="N16" t="s">
        <v>294</v>
      </c>
    </row>
    <row r="17" spans="1:10">
      <c r="A17" s="27"/>
      <c r="B17" s="27"/>
      <c r="C17" s="28" t="s">
        <v>115</v>
      </c>
      <c r="D17" s="29" t="s">
        <v>117</v>
      </c>
      <c r="E17" s="48">
        <v>200</v>
      </c>
      <c r="F17" s="27"/>
      <c r="G17" s="27"/>
      <c r="H17" s="27"/>
      <c r="I17" s="27"/>
      <c r="J17" s="55"/>
    </row>
    <row r="18" spans="1:10">
      <c r="A18" s="27"/>
      <c r="B18" s="27"/>
      <c r="C18" s="28" t="s">
        <v>116</v>
      </c>
      <c r="D18" s="29" t="s">
        <v>117</v>
      </c>
      <c r="E18" s="49">
        <v>70</v>
      </c>
      <c r="F18" s="27"/>
      <c r="G18" s="27"/>
      <c r="H18" s="27"/>
      <c r="I18" s="27"/>
      <c r="J18" s="55"/>
    </row>
    <row r="19" spans="1:10">
      <c r="A19" s="27"/>
      <c r="B19" s="27"/>
      <c r="C19" s="28" t="s">
        <v>118</v>
      </c>
      <c r="D19" s="29" t="s">
        <v>119</v>
      </c>
      <c r="E19" s="50">
        <v>15000</v>
      </c>
      <c r="F19" s="27"/>
      <c r="G19" s="27"/>
      <c r="H19" s="27"/>
      <c r="I19" s="27"/>
      <c r="J19" s="55"/>
    </row>
    <row r="20" spans="1:10">
      <c r="J20" s="55"/>
    </row>
    <row r="21" spans="1:10" ht="15.75" thickBot="1">
      <c r="A21" s="25"/>
      <c r="B21" s="25"/>
      <c r="C21" s="31" t="s">
        <v>120</v>
      </c>
      <c r="D21" s="26"/>
      <c r="E21" s="26"/>
      <c r="F21" s="25"/>
      <c r="G21" s="25"/>
      <c r="H21" s="25"/>
      <c r="I21" s="25"/>
      <c r="J21" s="55"/>
    </row>
    <row r="22" spans="1:10" ht="15.75" thickTop="1">
      <c r="A22" s="32"/>
      <c r="B22" s="32"/>
      <c r="C22" s="41" t="s">
        <v>121</v>
      </c>
      <c r="D22" s="42" t="s">
        <v>122</v>
      </c>
      <c r="E22" s="51">
        <v>9000</v>
      </c>
      <c r="F22" s="32"/>
      <c r="G22" s="32"/>
      <c r="H22" s="32"/>
      <c r="I22" s="32"/>
      <c r="J22" s="55"/>
    </row>
    <row r="23" spans="1:10">
      <c r="J23" s="55"/>
    </row>
    <row r="24" spans="1:10">
      <c r="A24" s="27"/>
      <c r="B24" s="27"/>
      <c r="C24" s="28" t="s">
        <v>123</v>
      </c>
      <c r="D24" s="29" t="s">
        <v>124</v>
      </c>
      <c r="E24" s="43">
        <v>0.05</v>
      </c>
      <c r="J24" s="55"/>
    </row>
    <row r="25" spans="1:10">
      <c r="A25" s="27"/>
      <c r="B25" s="27"/>
      <c r="C25" s="28" t="s">
        <v>125</v>
      </c>
      <c r="D25" s="29" t="s">
        <v>126</v>
      </c>
      <c r="E25" s="43">
        <v>0.03</v>
      </c>
      <c r="F25" s="27"/>
      <c r="G25" s="27"/>
      <c r="H25" s="27"/>
      <c r="I25" s="27"/>
      <c r="J25" s="55"/>
    </row>
    <row r="26" spans="1:10">
      <c r="A26" s="27"/>
      <c r="B26" s="27"/>
      <c r="C26" s="28" t="s">
        <v>127</v>
      </c>
      <c r="D26" s="29" t="s">
        <v>109</v>
      </c>
      <c r="E26" s="43">
        <v>0.1</v>
      </c>
      <c r="F26" s="27"/>
      <c r="G26" s="27"/>
      <c r="H26" s="27"/>
      <c r="I26" s="27"/>
      <c r="J26" s="55"/>
    </row>
    <row r="27" spans="1:10">
      <c r="A27" s="27"/>
      <c r="B27" s="27"/>
      <c r="C27" s="28" t="s">
        <v>207</v>
      </c>
      <c r="D27" s="29" t="s">
        <v>113</v>
      </c>
      <c r="E27" s="48">
        <v>2500</v>
      </c>
      <c r="F27" s="27"/>
      <c r="G27" s="27"/>
      <c r="H27" s="27"/>
      <c r="I27" s="27"/>
      <c r="J27" s="55"/>
    </row>
    <row r="28" spans="1:10">
      <c r="A28" s="27"/>
      <c r="B28" s="27"/>
      <c r="C28" s="27" t="s">
        <v>139</v>
      </c>
      <c r="D28" s="29" t="s">
        <v>211</v>
      </c>
      <c r="E28" s="44">
        <v>0.15</v>
      </c>
      <c r="F28" s="27"/>
      <c r="G28" s="27"/>
      <c r="H28" s="27"/>
      <c r="I28" s="27"/>
      <c r="J28" s="55"/>
    </row>
    <row r="29" spans="1:10">
      <c r="A29" s="27"/>
      <c r="B29" s="27"/>
      <c r="C29" s="27" t="s">
        <v>129</v>
      </c>
      <c r="D29" s="29" t="s">
        <v>119</v>
      </c>
      <c r="E29" s="48">
        <f>'Операц.изд. в мес.'!D8</f>
        <v>193000</v>
      </c>
      <c r="F29" s="27"/>
      <c r="G29" s="27"/>
      <c r="H29" s="27"/>
      <c r="I29" s="27"/>
      <c r="J29" s="55"/>
    </row>
    <row r="30" spans="1:10">
      <c r="A30" s="27"/>
      <c r="B30" s="27"/>
      <c r="C30" s="27" t="s">
        <v>130</v>
      </c>
      <c r="D30" s="29" t="s">
        <v>128</v>
      </c>
      <c r="E30" s="43">
        <v>0.02</v>
      </c>
      <c r="F30" s="27"/>
      <c r="G30" s="27"/>
      <c r="H30" s="27"/>
      <c r="I30" s="27"/>
      <c r="J30" s="55"/>
    </row>
    <row r="31" spans="1:10">
      <c r="A31" s="27"/>
      <c r="B31" s="27"/>
      <c r="C31" s="41" t="s">
        <v>131</v>
      </c>
      <c r="D31" s="29" t="s">
        <v>109</v>
      </c>
      <c r="E31" s="43">
        <v>1.1000000000000001</v>
      </c>
      <c r="F31" s="27"/>
      <c r="G31" s="45"/>
      <c r="H31" s="27"/>
      <c r="I31" s="27"/>
      <c r="J31" s="55"/>
    </row>
    <row r="32" spans="1:10">
      <c r="A32" s="27"/>
      <c r="B32" s="27"/>
      <c r="C32" s="27" t="s">
        <v>140</v>
      </c>
      <c r="D32" s="42" t="s">
        <v>132</v>
      </c>
      <c r="E32" s="48">
        <f>'Операц.изд. в мес.'!B21</f>
        <v>50000</v>
      </c>
      <c r="F32" s="27"/>
      <c r="G32" s="27"/>
      <c r="H32" s="27"/>
      <c r="I32" s="27"/>
      <c r="J32" s="55"/>
    </row>
    <row r="33" spans="1:10">
      <c r="A33" s="37"/>
      <c r="B33" s="37"/>
      <c r="C33" s="37"/>
      <c r="D33" s="39"/>
      <c r="E33" s="39"/>
      <c r="F33" s="37"/>
      <c r="G33" s="37"/>
      <c r="H33" s="37"/>
      <c r="I33" s="37"/>
      <c r="J33" s="55"/>
    </row>
    <row r="34" spans="1:10">
      <c r="A34" s="27"/>
      <c r="B34" s="27"/>
      <c r="C34" s="27" t="s">
        <v>133</v>
      </c>
      <c r="D34" s="29" t="s">
        <v>109</v>
      </c>
      <c r="E34" s="43">
        <v>0.4</v>
      </c>
      <c r="F34" s="27"/>
      <c r="G34" s="27"/>
      <c r="H34" s="27"/>
      <c r="I34" s="27"/>
      <c r="J34" s="55"/>
    </row>
    <row r="35" spans="1:10">
      <c r="A35" s="27"/>
      <c r="B35" s="27"/>
      <c r="C35" s="27" t="s">
        <v>134</v>
      </c>
      <c r="D35" s="29" t="s">
        <v>109</v>
      </c>
      <c r="E35" s="43">
        <v>0.02</v>
      </c>
      <c r="F35" s="27"/>
      <c r="G35" s="27"/>
      <c r="H35" s="27"/>
      <c r="I35" s="27"/>
      <c r="J35" s="55"/>
    </row>
    <row r="36" spans="1:10">
      <c r="A36" s="37"/>
      <c r="B36" s="37"/>
      <c r="C36" s="37"/>
      <c r="D36" s="39"/>
      <c r="E36" s="40"/>
      <c r="F36" s="37"/>
      <c r="G36" s="37"/>
      <c r="H36" s="37"/>
      <c r="I36" s="37"/>
      <c r="J36" s="55"/>
    </row>
    <row r="37" spans="1:10">
      <c r="A37" s="27"/>
      <c r="B37" s="27"/>
      <c r="C37" s="27" t="s">
        <v>135</v>
      </c>
      <c r="D37" s="29" t="s">
        <v>119</v>
      </c>
      <c r="E37" s="48">
        <f>'Операц.изд. в мес.'!F11</f>
        <v>1500</v>
      </c>
      <c r="F37" s="27"/>
      <c r="G37" s="27"/>
      <c r="H37" s="27"/>
      <c r="I37" s="27"/>
      <c r="J37" s="55"/>
    </row>
    <row r="38" spans="1:10">
      <c r="A38" s="27"/>
      <c r="B38" s="27"/>
      <c r="C38" s="27"/>
      <c r="D38" s="29"/>
      <c r="F38" s="27"/>
      <c r="G38" s="27"/>
      <c r="H38" s="27"/>
      <c r="I38" s="27"/>
      <c r="J38" s="55"/>
    </row>
    <row r="39" spans="1:10">
      <c r="A39" s="27"/>
      <c r="B39" s="27"/>
      <c r="C39" s="27" t="s">
        <v>257</v>
      </c>
      <c r="D39" s="29"/>
      <c r="E39" s="43">
        <v>0.02</v>
      </c>
      <c r="F39" s="27"/>
      <c r="G39" s="27"/>
      <c r="H39" s="27"/>
      <c r="I39" s="27"/>
      <c r="J39" s="55"/>
    </row>
    <row r="40" spans="1:10">
      <c r="A40" s="27"/>
      <c r="B40" s="27"/>
      <c r="C40" s="27"/>
      <c r="D40" s="29"/>
      <c r="F40" s="27"/>
      <c r="G40" s="27"/>
      <c r="H40" s="27"/>
      <c r="I40" s="27"/>
      <c r="J40" s="55"/>
    </row>
    <row r="41" spans="1:10">
      <c r="A41" s="52"/>
      <c r="B41" s="52"/>
      <c r="C41" s="52"/>
      <c r="D41" s="52"/>
      <c r="E41" s="52"/>
      <c r="F41" s="52"/>
      <c r="G41" s="52"/>
      <c r="H41" s="52"/>
      <c r="I41" s="52"/>
      <c r="J41" s="55"/>
    </row>
    <row r="42" spans="1:10">
      <c r="D42" s="46"/>
      <c r="E42" s="33" t="s">
        <v>103</v>
      </c>
      <c r="F42" s="33" t="s">
        <v>104</v>
      </c>
      <c r="G42" s="33" t="s">
        <v>105</v>
      </c>
      <c r="H42" s="33" t="s">
        <v>106</v>
      </c>
      <c r="I42" s="33" t="s">
        <v>107</v>
      </c>
      <c r="J42" s="55"/>
    </row>
    <row r="43" spans="1:10">
      <c r="C43" t="s">
        <v>136</v>
      </c>
      <c r="D43" s="46"/>
      <c r="E43" s="35">
        <v>0</v>
      </c>
      <c r="F43" s="35">
        <v>0.04</v>
      </c>
      <c r="G43" s="35">
        <v>0.04</v>
      </c>
      <c r="H43" s="35">
        <v>0.04</v>
      </c>
      <c r="I43" s="35">
        <v>0.04</v>
      </c>
      <c r="J43" s="55"/>
    </row>
    <row r="44" spans="1:10">
      <c r="D44" s="34"/>
      <c r="E44" s="34"/>
      <c r="F44" s="34"/>
      <c r="G44" s="46"/>
      <c r="H44" s="46"/>
      <c r="I44" s="46"/>
      <c r="J44" s="55"/>
    </row>
    <row r="45" spans="1:10">
      <c r="A45" s="52"/>
      <c r="B45" s="52"/>
      <c r="C45" s="53"/>
      <c r="D45" s="36"/>
      <c r="E45" s="36"/>
      <c r="F45" s="53"/>
      <c r="G45" s="53"/>
      <c r="H45" s="53"/>
      <c r="I45" s="53"/>
      <c r="J45" s="55"/>
    </row>
    <row r="49" spans="3:40">
      <c r="D49" s="5"/>
      <c r="E49" s="5"/>
      <c r="F49" s="5"/>
      <c r="G49" s="5"/>
    </row>
    <row r="50" spans="3:40">
      <c r="C50" t="s">
        <v>247</v>
      </c>
      <c r="D50" s="146">
        <v>1000000</v>
      </c>
      <c r="E50" s="5"/>
      <c r="F50" s="5"/>
      <c r="G50" s="5"/>
    </row>
    <row r="51" spans="3:40">
      <c r="D51" s="5"/>
      <c r="E51" s="5"/>
      <c r="F51" s="5"/>
      <c r="G51" s="5"/>
    </row>
    <row r="52" spans="3:40" ht="18">
      <c r="C52" s="176" t="s">
        <v>242</v>
      </c>
    </row>
    <row r="53" spans="3:40">
      <c r="C53" t="s">
        <v>162</v>
      </c>
      <c r="D53" s="172">
        <v>0</v>
      </c>
      <c r="E53" s="172">
        <v>1</v>
      </c>
      <c r="F53" s="172">
        <v>2</v>
      </c>
      <c r="G53" s="172">
        <v>3</v>
      </c>
      <c r="H53" s="172">
        <v>4</v>
      </c>
      <c r="I53" s="172">
        <v>5</v>
      </c>
      <c r="J53" s="172">
        <v>6</v>
      </c>
      <c r="K53" s="172">
        <v>7</v>
      </c>
      <c r="L53" s="172">
        <v>8</v>
      </c>
      <c r="M53" s="172">
        <v>9</v>
      </c>
      <c r="N53" s="172">
        <v>10</v>
      </c>
      <c r="O53" s="172">
        <v>11</v>
      </c>
      <c r="P53" s="172">
        <v>12</v>
      </c>
      <c r="Q53" s="172">
        <v>13</v>
      </c>
      <c r="R53" s="172">
        <v>14</v>
      </c>
      <c r="S53" s="172">
        <v>15</v>
      </c>
      <c r="T53" s="172">
        <v>16</v>
      </c>
      <c r="U53" s="172">
        <v>17</v>
      </c>
      <c r="V53" s="172">
        <v>18</v>
      </c>
      <c r="W53" s="172">
        <v>19</v>
      </c>
      <c r="X53" s="172">
        <v>20</v>
      </c>
      <c r="Y53" s="172">
        <v>21</v>
      </c>
      <c r="Z53" s="172">
        <v>22</v>
      </c>
      <c r="AA53" s="172">
        <v>23</v>
      </c>
      <c r="AB53" s="172">
        <v>24</v>
      </c>
      <c r="AC53" s="172">
        <v>25</v>
      </c>
      <c r="AD53" s="172">
        <v>26</v>
      </c>
      <c r="AE53" s="172">
        <v>27</v>
      </c>
      <c r="AF53" s="172">
        <v>28</v>
      </c>
      <c r="AG53" s="172">
        <v>29</v>
      </c>
      <c r="AH53" s="172">
        <v>30</v>
      </c>
      <c r="AI53" s="172">
        <v>31</v>
      </c>
      <c r="AJ53" s="172">
        <v>32</v>
      </c>
      <c r="AK53" s="172">
        <v>33</v>
      </c>
      <c r="AL53" s="172">
        <v>34</v>
      </c>
      <c r="AM53" s="172">
        <v>35</v>
      </c>
      <c r="AN53" s="172">
        <v>36</v>
      </c>
    </row>
    <row r="54" spans="3:40">
      <c r="C54" t="s">
        <v>238</v>
      </c>
      <c r="D54" s="172">
        <f>D55+D56</f>
        <v>0</v>
      </c>
      <c r="E54" s="174">
        <f t="shared" ref="E54" si="0">E55+E56</f>
        <v>34027.777777777781</v>
      </c>
      <c r="F54" s="174">
        <f t="shared" ref="F54" si="1">F55+F56</f>
        <v>33854.166666666664</v>
      </c>
      <c r="G54" s="174">
        <f t="shared" ref="G54" si="2">G55+G56</f>
        <v>33680.555555555555</v>
      </c>
      <c r="H54" s="174">
        <f t="shared" ref="H54" si="3">H55+H56</f>
        <v>33506.944444444445</v>
      </c>
      <c r="I54" s="174">
        <f t="shared" ref="I54" si="4">I55+I56</f>
        <v>33333.333333333336</v>
      </c>
      <c r="J54" s="174">
        <f t="shared" ref="J54" si="5">J55+J56</f>
        <v>33159.722222222219</v>
      </c>
      <c r="K54" s="174">
        <f t="shared" ref="K54" si="6">K55+K56</f>
        <v>32986.111111111109</v>
      </c>
      <c r="L54" s="174">
        <f t="shared" ref="L54" si="7">L55+L56</f>
        <v>32812.5</v>
      </c>
      <c r="M54" s="174">
        <f t="shared" ref="M54" si="8">M55+M56</f>
        <v>32638.888888888891</v>
      </c>
      <c r="N54" s="174">
        <f t="shared" ref="N54" si="9">N55+N56</f>
        <v>32465.277777777777</v>
      </c>
      <c r="O54" s="174">
        <f t="shared" ref="O54" si="10">O55+O56</f>
        <v>32291.666666666668</v>
      </c>
      <c r="P54" s="174">
        <f t="shared" ref="P54" si="11">P55+P56</f>
        <v>32118.055555555555</v>
      </c>
      <c r="Q54" s="174">
        <f t="shared" ref="Q54" si="12">Q55+Q56</f>
        <v>31944.444444444445</v>
      </c>
      <c r="R54" s="174">
        <f t="shared" ref="R54" si="13">R55+R56</f>
        <v>31770.833333333336</v>
      </c>
      <c r="S54" s="174">
        <f t="shared" ref="S54" si="14">S55+S56</f>
        <v>31597.222222222223</v>
      </c>
      <c r="T54" s="174">
        <f t="shared" ref="T54" si="15">T55+T56</f>
        <v>31423.611111111113</v>
      </c>
      <c r="U54" s="174">
        <f t="shared" ref="U54" si="16">U55+U56</f>
        <v>31250</v>
      </c>
      <c r="V54" s="174">
        <f t="shared" ref="V54" si="17">V55+V56</f>
        <v>31076.388888888891</v>
      </c>
      <c r="W54" s="174">
        <f t="shared" ref="W54" si="18">W55+W56</f>
        <v>30902.777777777781</v>
      </c>
      <c r="X54" s="174">
        <f t="shared" ref="X54" si="19">X55+X56</f>
        <v>30729.166666666668</v>
      </c>
      <c r="Y54" s="174">
        <f t="shared" ref="Y54" si="20">Y55+Y56</f>
        <v>30555.555555555558</v>
      </c>
      <c r="Z54" s="174">
        <f t="shared" ref="Z54" si="21">Z55+Z56</f>
        <v>30381.944444444449</v>
      </c>
      <c r="AA54" s="174">
        <f t="shared" ref="AA54" si="22">AA55+AA56</f>
        <v>30208.333333333336</v>
      </c>
      <c r="AB54" s="174">
        <f t="shared" ref="AB54" si="23">AB55+AB56</f>
        <v>30034.722222222226</v>
      </c>
      <c r="AC54" s="174">
        <f t="shared" ref="AC54" si="24">AC55+AC56</f>
        <v>29861.111111111113</v>
      </c>
      <c r="AD54" s="174">
        <f t="shared" ref="AD54" si="25">AD55+AD56</f>
        <v>29687.500000000004</v>
      </c>
      <c r="AE54" s="174">
        <f t="shared" ref="AE54" si="26">AE55+AE56</f>
        <v>29513.888888888894</v>
      </c>
      <c r="AF54" s="174">
        <f t="shared" ref="AF54" si="27">AF55+AF56</f>
        <v>29340.277777777781</v>
      </c>
      <c r="AG54" s="174">
        <f t="shared" ref="AG54" si="28">AG55+AG56</f>
        <v>29166.666666666672</v>
      </c>
      <c r="AH54" s="174">
        <f t="shared" ref="AH54" si="29">AH55+AH56</f>
        <v>28993.055555555558</v>
      </c>
      <c r="AI54" s="174">
        <f t="shared" ref="AI54" si="30">AI55+AI56</f>
        <v>28819.444444444449</v>
      </c>
      <c r="AJ54" s="174">
        <f t="shared" ref="AJ54" si="31">AJ55+AJ56</f>
        <v>28645.833333333336</v>
      </c>
      <c r="AK54" s="174">
        <f t="shared" ref="AK54" si="32">AK55+AK56</f>
        <v>28472.222222222226</v>
      </c>
      <c r="AL54" s="174">
        <f t="shared" ref="AL54" si="33">AL55+AL56</f>
        <v>28298.611111111113</v>
      </c>
      <c r="AM54" s="174">
        <f t="shared" ref="AM54" si="34">AM55+AM56</f>
        <v>28125.000000000004</v>
      </c>
      <c r="AN54" s="174">
        <f t="shared" ref="AN54" si="35">AN55+AN56</f>
        <v>27951.388888888894</v>
      </c>
    </row>
    <row r="55" spans="3:40">
      <c r="C55" t="s">
        <v>243</v>
      </c>
      <c r="D55" s="172">
        <v>0</v>
      </c>
      <c r="E55" s="174">
        <f t="shared" ref="E55:AN55" si="36">D57*$M$12/12</f>
        <v>6250</v>
      </c>
      <c r="F55" s="174">
        <f t="shared" si="36"/>
        <v>6076.3888888888896</v>
      </c>
      <c r="G55" s="174">
        <f t="shared" si="36"/>
        <v>5902.7777777777774</v>
      </c>
      <c r="H55" s="174">
        <f t="shared" si="36"/>
        <v>5729.166666666667</v>
      </c>
      <c r="I55" s="174">
        <f t="shared" si="36"/>
        <v>5555.5555555555557</v>
      </c>
      <c r="J55" s="174">
        <f t="shared" si="36"/>
        <v>5381.9444444444453</v>
      </c>
      <c r="K55" s="174">
        <f t="shared" si="36"/>
        <v>5208.3333333333339</v>
      </c>
      <c r="L55" s="174">
        <f t="shared" si="36"/>
        <v>5034.7222222222235</v>
      </c>
      <c r="M55" s="174">
        <f t="shared" si="36"/>
        <v>4861.1111111111122</v>
      </c>
      <c r="N55" s="174">
        <f t="shared" si="36"/>
        <v>4687.5000000000009</v>
      </c>
      <c r="O55" s="174">
        <f t="shared" si="36"/>
        <v>4513.8888888888905</v>
      </c>
      <c r="P55" s="174">
        <f t="shared" si="36"/>
        <v>4340.2777777777792</v>
      </c>
      <c r="Q55" s="174">
        <f t="shared" si="36"/>
        <v>4166.6666666666688</v>
      </c>
      <c r="R55" s="174">
        <f t="shared" si="36"/>
        <v>3993.0555555555579</v>
      </c>
      <c r="S55" s="174">
        <f t="shared" si="36"/>
        <v>3819.4444444444466</v>
      </c>
      <c r="T55" s="174">
        <f t="shared" si="36"/>
        <v>3645.8333333333358</v>
      </c>
      <c r="U55" s="174">
        <f t="shared" si="36"/>
        <v>3472.2222222222244</v>
      </c>
      <c r="V55" s="174">
        <f t="shared" si="36"/>
        <v>3298.6111111111136</v>
      </c>
      <c r="W55" s="174">
        <f t="shared" si="36"/>
        <v>3125.0000000000032</v>
      </c>
      <c r="X55" s="174">
        <f t="shared" si="36"/>
        <v>2951.3888888888919</v>
      </c>
      <c r="Y55" s="174">
        <f t="shared" si="36"/>
        <v>2777.777777777781</v>
      </c>
      <c r="Z55" s="174">
        <f t="shared" si="36"/>
        <v>2604.1666666666702</v>
      </c>
      <c r="AA55" s="174">
        <f t="shared" si="36"/>
        <v>2430.5555555555588</v>
      </c>
      <c r="AB55" s="174">
        <f t="shared" si="36"/>
        <v>2256.944444444448</v>
      </c>
      <c r="AC55" s="174">
        <f t="shared" si="36"/>
        <v>2083.3333333333371</v>
      </c>
      <c r="AD55" s="174">
        <f t="shared" si="36"/>
        <v>1909.7222222222263</v>
      </c>
      <c r="AE55" s="174">
        <f t="shared" si="36"/>
        <v>1736.1111111111152</v>
      </c>
      <c r="AF55" s="174">
        <f t="shared" si="36"/>
        <v>1562.5000000000043</v>
      </c>
      <c r="AG55" s="174">
        <f t="shared" si="36"/>
        <v>1388.888888888893</v>
      </c>
      <c r="AH55" s="174">
        <f t="shared" si="36"/>
        <v>1215.2777777777819</v>
      </c>
      <c r="AI55" s="174">
        <f t="shared" si="36"/>
        <v>1041.6666666666708</v>
      </c>
      <c r="AJ55" s="174">
        <f t="shared" si="36"/>
        <v>868.05555555555964</v>
      </c>
      <c r="AK55" s="174">
        <f t="shared" si="36"/>
        <v>694.44444444444844</v>
      </c>
      <c r="AL55" s="174">
        <f t="shared" si="36"/>
        <v>520.83333333333735</v>
      </c>
      <c r="AM55" s="174">
        <f t="shared" si="36"/>
        <v>347.22222222222626</v>
      </c>
      <c r="AN55" s="174">
        <f t="shared" si="36"/>
        <v>173.61111111111515</v>
      </c>
    </row>
    <row r="56" spans="3:40">
      <c r="C56" t="s">
        <v>239</v>
      </c>
      <c r="D56" s="172">
        <v>0</v>
      </c>
      <c r="E56" s="174">
        <f t="shared" ref="E56:AN56" si="37">$D$50/36</f>
        <v>27777.777777777777</v>
      </c>
      <c r="F56" s="174">
        <f t="shared" si="37"/>
        <v>27777.777777777777</v>
      </c>
      <c r="G56" s="174">
        <f t="shared" si="37"/>
        <v>27777.777777777777</v>
      </c>
      <c r="H56" s="174">
        <f t="shared" si="37"/>
        <v>27777.777777777777</v>
      </c>
      <c r="I56" s="174">
        <f t="shared" si="37"/>
        <v>27777.777777777777</v>
      </c>
      <c r="J56" s="174">
        <f t="shared" si="37"/>
        <v>27777.777777777777</v>
      </c>
      <c r="K56" s="174">
        <f t="shared" si="37"/>
        <v>27777.777777777777</v>
      </c>
      <c r="L56" s="174">
        <f t="shared" si="37"/>
        <v>27777.777777777777</v>
      </c>
      <c r="M56" s="174">
        <f t="shared" si="37"/>
        <v>27777.777777777777</v>
      </c>
      <c r="N56" s="174">
        <f t="shared" si="37"/>
        <v>27777.777777777777</v>
      </c>
      <c r="O56" s="174">
        <f t="shared" si="37"/>
        <v>27777.777777777777</v>
      </c>
      <c r="P56" s="174">
        <f t="shared" si="37"/>
        <v>27777.777777777777</v>
      </c>
      <c r="Q56" s="174">
        <f t="shared" si="37"/>
        <v>27777.777777777777</v>
      </c>
      <c r="R56" s="174">
        <f t="shared" si="37"/>
        <v>27777.777777777777</v>
      </c>
      <c r="S56" s="174">
        <f t="shared" si="37"/>
        <v>27777.777777777777</v>
      </c>
      <c r="T56" s="174">
        <f t="shared" si="37"/>
        <v>27777.777777777777</v>
      </c>
      <c r="U56" s="174">
        <f t="shared" si="37"/>
        <v>27777.777777777777</v>
      </c>
      <c r="V56" s="174">
        <f t="shared" si="37"/>
        <v>27777.777777777777</v>
      </c>
      <c r="W56" s="174">
        <f t="shared" si="37"/>
        <v>27777.777777777777</v>
      </c>
      <c r="X56" s="174">
        <f t="shared" si="37"/>
        <v>27777.777777777777</v>
      </c>
      <c r="Y56" s="174">
        <f t="shared" si="37"/>
        <v>27777.777777777777</v>
      </c>
      <c r="Z56" s="174">
        <f t="shared" si="37"/>
        <v>27777.777777777777</v>
      </c>
      <c r="AA56" s="174">
        <f t="shared" si="37"/>
        <v>27777.777777777777</v>
      </c>
      <c r="AB56" s="174">
        <f t="shared" si="37"/>
        <v>27777.777777777777</v>
      </c>
      <c r="AC56" s="174">
        <f t="shared" si="37"/>
        <v>27777.777777777777</v>
      </c>
      <c r="AD56" s="174">
        <f t="shared" si="37"/>
        <v>27777.777777777777</v>
      </c>
      <c r="AE56" s="174">
        <f t="shared" si="37"/>
        <v>27777.777777777777</v>
      </c>
      <c r="AF56" s="174">
        <f t="shared" si="37"/>
        <v>27777.777777777777</v>
      </c>
      <c r="AG56" s="174">
        <f t="shared" si="37"/>
        <v>27777.777777777777</v>
      </c>
      <c r="AH56" s="174">
        <f t="shared" si="37"/>
        <v>27777.777777777777</v>
      </c>
      <c r="AI56" s="174">
        <f t="shared" si="37"/>
        <v>27777.777777777777</v>
      </c>
      <c r="AJ56" s="174">
        <f t="shared" si="37"/>
        <v>27777.777777777777</v>
      </c>
      <c r="AK56" s="174">
        <f t="shared" si="37"/>
        <v>27777.777777777777</v>
      </c>
      <c r="AL56" s="174">
        <f t="shared" si="37"/>
        <v>27777.777777777777</v>
      </c>
      <c r="AM56" s="174">
        <f t="shared" si="37"/>
        <v>27777.777777777777</v>
      </c>
      <c r="AN56" s="174">
        <f t="shared" si="37"/>
        <v>27777.777777777777</v>
      </c>
    </row>
    <row r="57" spans="3:40">
      <c r="C57" t="s">
        <v>241</v>
      </c>
      <c r="D57" s="174">
        <f>D50</f>
        <v>1000000</v>
      </c>
      <c r="E57" s="174">
        <f>D57-E56</f>
        <v>972222.22222222225</v>
      </c>
      <c r="F57" s="174">
        <f t="shared" ref="F57:AN57" si="38">E57-F56</f>
        <v>944444.4444444445</v>
      </c>
      <c r="G57" s="174">
        <f t="shared" si="38"/>
        <v>916666.66666666674</v>
      </c>
      <c r="H57" s="174">
        <f t="shared" si="38"/>
        <v>888888.88888888899</v>
      </c>
      <c r="I57" s="174">
        <f t="shared" si="38"/>
        <v>861111.11111111124</v>
      </c>
      <c r="J57" s="174">
        <f t="shared" si="38"/>
        <v>833333.33333333349</v>
      </c>
      <c r="K57" s="174">
        <f t="shared" si="38"/>
        <v>805555.55555555574</v>
      </c>
      <c r="L57" s="174">
        <f t="shared" si="38"/>
        <v>777777.77777777798</v>
      </c>
      <c r="M57" s="174">
        <f t="shared" si="38"/>
        <v>750000.00000000023</v>
      </c>
      <c r="N57" s="174">
        <f t="shared" si="38"/>
        <v>722222.22222222248</v>
      </c>
      <c r="O57" s="174">
        <f t="shared" si="38"/>
        <v>694444.44444444473</v>
      </c>
      <c r="P57" s="174">
        <f t="shared" si="38"/>
        <v>666666.66666666698</v>
      </c>
      <c r="Q57" s="174">
        <f t="shared" si="38"/>
        <v>638888.88888888923</v>
      </c>
      <c r="R57" s="174">
        <f t="shared" si="38"/>
        <v>611111.11111111147</v>
      </c>
      <c r="S57" s="174">
        <f t="shared" si="38"/>
        <v>583333.33333333372</v>
      </c>
      <c r="T57" s="174">
        <f t="shared" si="38"/>
        <v>555555.55555555597</v>
      </c>
      <c r="U57" s="174">
        <f t="shared" si="38"/>
        <v>527777.77777777822</v>
      </c>
      <c r="V57" s="174">
        <f t="shared" si="38"/>
        <v>500000.00000000047</v>
      </c>
      <c r="W57" s="174">
        <f t="shared" si="38"/>
        <v>472222.22222222271</v>
      </c>
      <c r="X57" s="174">
        <f t="shared" si="38"/>
        <v>444444.44444444496</v>
      </c>
      <c r="Y57" s="174">
        <f t="shared" si="38"/>
        <v>416666.66666666721</v>
      </c>
      <c r="Z57" s="174">
        <f t="shared" si="38"/>
        <v>388888.88888888946</v>
      </c>
      <c r="AA57" s="174">
        <f t="shared" si="38"/>
        <v>361111.11111111171</v>
      </c>
      <c r="AB57" s="174">
        <f t="shared" si="38"/>
        <v>333333.33333333395</v>
      </c>
      <c r="AC57" s="174">
        <f t="shared" si="38"/>
        <v>305555.5555555562</v>
      </c>
      <c r="AD57" s="174">
        <f t="shared" si="38"/>
        <v>277777.77777777845</v>
      </c>
      <c r="AE57" s="174">
        <f t="shared" si="38"/>
        <v>250000.00000000067</v>
      </c>
      <c r="AF57" s="174">
        <f t="shared" si="38"/>
        <v>222222.22222222289</v>
      </c>
      <c r="AG57" s="174">
        <f t="shared" si="38"/>
        <v>194444.44444444511</v>
      </c>
      <c r="AH57" s="174">
        <f t="shared" si="38"/>
        <v>166666.66666666733</v>
      </c>
      <c r="AI57" s="174">
        <f t="shared" si="38"/>
        <v>138888.88888888955</v>
      </c>
      <c r="AJ57" s="174">
        <f t="shared" si="38"/>
        <v>111111.11111111176</v>
      </c>
      <c r="AK57" s="174">
        <f t="shared" si="38"/>
        <v>83333.333333333983</v>
      </c>
      <c r="AL57" s="174">
        <f t="shared" si="38"/>
        <v>55555.555555556202</v>
      </c>
      <c r="AM57" s="174">
        <f t="shared" si="38"/>
        <v>27777.777777778425</v>
      </c>
      <c r="AN57" s="174">
        <f t="shared" si="38"/>
        <v>6.4756022766232491E-10</v>
      </c>
    </row>
    <row r="66" spans="6:6">
      <c r="F66" s="67"/>
    </row>
    <row r="67" spans="6:6">
      <c r="F67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1:BU125"/>
  <sheetViews>
    <sheetView zoomScale="80" zoomScaleNormal="80" workbookViewId="0">
      <pane xSplit="3" ySplit="1" topLeftCell="D38" activePane="bottomRight" state="frozen"/>
      <selection pane="topRight" activeCell="D1" sqref="D1"/>
      <selection pane="bottomLeft" activeCell="A2" sqref="A2"/>
      <selection pane="bottomRight" activeCell="F74" sqref="F74"/>
    </sheetView>
  </sheetViews>
  <sheetFormatPr defaultRowHeight="15"/>
  <cols>
    <col min="1" max="1" width="5.85546875" customWidth="1"/>
    <col min="2" max="2" width="20.7109375" customWidth="1"/>
    <col min="3" max="3" width="52.140625" customWidth="1"/>
    <col min="4" max="4" width="25.7109375" customWidth="1"/>
    <col min="5" max="5" width="18.28515625" customWidth="1"/>
    <col min="6" max="6" width="15.7109375" bestFit="1" customWidth="1"/>
    <col min="7" max="8" width="15.85546875" bestFit="1" customWidth="1"/>
    <col min="9" max="42" width="16" bestFit="1" customWidth="1"/>
    <col min="43" max="65" width="16.7109375" bestFit="1" customWidth="1"/>
    <col min="66" max="66" width="8" customWidth="1"/>
    <col min="67" max="67" width="15.7109375" customWidth="1"/>
    <col min="68" max="68" width="17.7109375" customWidth="1"/>
    <col min="69" max="69" width="17.140625" customWidth="1"/>
    <col min="70" max="70" width="17.28515625" customWidth="1"/>
    <col min="71" max="71" width="16.140625" customWidth="1"/>
    <col min="72" max="72" width="15.42578125" customWidth="1"/>
    <col min="73" max="73" width="17.85546875" customWidth="1"/>
  </cols>
  <sheetData>
    <row r="1" spans="1:73" ht="18.75">
      <c r="A1" s="68"/>
      <c r="B1" s="68"/>
      <c r="C1" s="22" t="s">
        <v>156</v>
      </c>
      <c r="D1" s="69"/>
      <c r="E1" s="69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</row>
    <row r="3" spans="1:73">
      <c r="A3" s="3"/>
      <c r="B3" s="3"/>
      <c r="C3" s="3"/>
      <c r="D3" s="3"/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1</v>
      </c>
      <c r="BI3" s="3">
        <v>1</v>
      </c>
      <c r="BJ3" s="3">
        <v>1</v>
      </c>
      <c r="BK3" s="3">
        <v>1</v>
      </c>
      <c r="BL3" s="3">
        <v>1</v>
      </c>
      <c r="BM3" s="3">
        <v>1</v>
      </c>
    </row>
    <row r="4" spans="1:73">
      <c r="A4" s="3"/>
      <c r="B4" s="3"/>
      <c r="C4" s="77" t="s">
        <v>157</v>
      </c>
      <c r="D4" s="3" t="s">
        <v>109</v>
      </c>
      <c r="E4" s="3"/>
      <c r="F4" s="92">
        <f>'Вход и предположения'!$E$43</f>
        <v>0</v>
      </c>
      <c r="G4" s="92">
        <f>'Вход и предположения'!$E$43</f>
        <v>0</v>
      </c>
      <c r="H4" s="92">
        <f>'Вход и предположения'!$E$43</f>
        <v>0</v>
      </c>
      <c r="I4" s="92">
        <f>'Вход и предположения'!$E$43</f>
        <v>0</v>
      </c>
      <c r="J4" s="92">
        <f>'Вход и предположения'!$E$43</f>
        <v>0</v>
      </c>
      <c r="K4" s="92">
        <f>'Вход и предположения'!$E$43</f>
        <v>0</v>
      </c>
      <c r="L4" s="92">
        <f>'Вход и предположения'!$E$43</f>
        <v>0</v>
      </c>
      <c r="M4" s="92">
        <f>'Вход и предположения'!$E$43</f>
        <v>0</v>
      </c>
      <c r="N4" s="92">
        <f>'Вход и предположения'!$E$43</f>
        <v>0</v>
      </c>
      <c r="O4" s="92">
        <f>'Вход и предположения'!$E$43</f>
        <v>0</v>
      </c>
      <c r="P4" s="92">
        <f>'Вход и предположения'!$E$43</f>
        <v>0</v>
      </c>
      <c r="Q4" s="92">
        <f>'Вход и предположения'!$E$43</f>
        <v>0</v>
      </c>
      <c r="R4" s="92">
        <f>'Вход и предположения'!$F$43</f>
        <v>0.04</v>
      </c>
      <c r="S4" s="92">
        <f>'Вход и предположения'!$F$43</f>
        <v>0.04</v>
      </c>
      <c r="T4" s="92">
        <f>'Вход и предположения'!$F$43</f>
        <v>0.04</v>
      </c>
      <c r="U4" s="92">
        <f>'Вход и предположения'!$F$43</f>
        <v>0.04</v>
      </c>
      <c r="V4" s="92">
        <f>'Вход и предположения'!$F$43</f>
        <v>0.04</v>
      </c>
      <c r="W4" s="92">
        <f>'Вход и предположения'!$F$43</f>
        <v>0.04</v>
      </c>
      <c r="X4" s="92">
        <f>'Вход и предположения'!$F$43</f>
        <v>0.04</v>
      </c>
      <c r="Y4" s="92">
        <f>'Вход и предположения'!$F$43</f>
        <v>0.04</v>
      </c>
      <c r="Z4" s="92">
        <f>'Вход и предположения'!$F$43</f>
        <v>0.04</v>
      </c>
      <c r="AA4" s="92">
        <f>'Вход и предположения'!$F$43</f>
        <v>0.04</v>
      </c>
      <c r="AB4" s="92">
        <f>'Вход и предположения'!$F$43</f>
        <v>0.04</v>
      </c>
      <c r="AC4" s="92">
        <f>'Вход и предположения'!$F$43</f>
        <v>0.04</v>
      </c>
      <c r="AD4" s="92">
        <f>'Вход и предположения'!$G$43</f>
        <v>0.04</v>
      </c>
      <c r="AE4" s="92">
        <f>'Вход и предположения'!$G$43</f>
        <v>0.04</v>
      </c>
      <c r="AF4" s="92">
        <f>'Вход и предположения'!$G$43</f>
        <v>0.04</v>
      </c>
      <c r="AG4" s="92">
        <f>'Вход и предположения'!$G$43</f>
        <v>0.04</v>
      </c>
      <c r="AH4" s="92">
        <f>'Вход и предположения'!$G$43</f>
        <v>0.04</v>
      </c>
      <c r="AI4" s="92">
        <f>'Вход и предположения'!$G$43</f>
        <v>0.04</v>
      </c>
      <c r="AJ4" s="92">
        <f>'Вход и предположения'!$G$43</f>
        <v>0.04</v>
      </c>
      <c r="AK4" s="92">
        <f>'Вход и предположения'!$G$43</f>
        <v>0.04</v>
      </c>
      <c r="AL4" s="92">
        <f>'Вход и предположения'!$G$43</f>
        <v>0.04</v>
      </c>
      <c r="AM4" s="92">
        <f>'Вход и предположения'!$G$43</f>
        <v>0.04</v>
      </c>
      <c r="AN4" s="92">
        <f>'Вход и предположения'!$G$43</f>
        <v>0.04</v>
      </c>
      <c r="AO4" s="92">
        <f>'Вход и предположения'!$G$43</f>
        <v>0.04</v>
      </c>
      <c r="AP4" s="92">
        <f>'Вход и предположения'!$H$43</f>
        <v>0.04</v>
      </c>
      <c r="AQ4" s="92">
        <f>'Вход и предположения'!$H$43</f>
        <v>0.04</v>
      </c>
      <c r="AR4" s="92">
        <f>'Вход и предположения'!$H$43</f>
        <v>0.04</v>
      </c>
      <c r="AS4" s="92">
        <f>'Вход и предположения'!$H$43</f>
        <v>0.04</v>
      </c>
      <c r="AT4" s="92">
        <f>'Вход и предположения'!$H$43</f>
        <v>0.04</v>
      </c>
      <c r="AU4" s="92">
        <f>'Вход и предположения'!$H$43</f>
        <v>0.04</v>
      </c>
      <c r="AV4" s="92">
        <f>'Вход и предположения'!$H$43</f>
        <v>0.04</v>
      </c>
      <c r="AW4" s="92">
        <f>'Вход и предположения'!$H$43</f>
        <v>0.04</v>
      </c>
      <c r="AX4" s="92">
        <f>'Вход и предположения'!$H$43</f>
        <v>0.04</v>
      </c>
      <c r="AY4" s="92">
        <f>'Вход и предположения'!$H$43</f>
        <v>0.04</v>
      </c>
      <c r="AZ4" s="92">
        <f>'Вход и предположения'!$H$43</f>
        <v>0.04</v>
      </c>
      <c r="BA4" s="92">
        <f>'Вход и предположения'!$H$43</f>
        <v>0.04</v>
      </c>
      <c r="BB4" s="92">
        <f>'Вход и предположения'!$I$43</f>
        <v>0.04</v>
      </c>
      <c r="BC4" s="92">
        <f>'Вход и предположения'!$I$43</f>
        <v>0.04</v>
      </c>
      <c r="BD4" s="92">
        <f>'Вход и предположения'!$I$43</f>
        <v>0.04</v>
      </c>
      <c r="BE4" s="92">
        <f>'Вход и предположения'!$I$43</f>
        <v>0.04</v>
      </c>
      <c r="BF4" s="92">
        <f>'Вход и предположения'!$I$43</f>
        <v>0.04</v>
      </c>
      <c r="BG4" s="92">
        <f>'Вход и предположения'!$I$43</f>
        <v>0.04</v>
      </c>
      <c r="BH4" s="92">
        <f>'Вход и предположения'!$I$43</f>
        <v>0.04</v>
      </c>
      <c r="BI4" s="92">
        <f>'Вход и предположения'!$I$43</f>
        <v>0.04</v>
      </c>
      <c r="BJ4" s="92">
        <f>'Вход и предположения'!$I$43</f>
        <v>0.04</v>
      </c>
      <c r="BK4" s="92">
        <f>'Вход и предположения'!$I$43</f>
        <v>0.04</v>
      </c>
      <c r="BL4" s="92">
        <f>'Вход и предположения'!$I$43</f>
        <v>0.04</v>
      </c>
      <c r="BM4" s="92">
        <f>'Вход и предположения'!$I$43</f>
        <v>0.04</v>
      </c>
    </row>
    <row r="5" spans="1:73">
      <c r="A5" s="3"/>
      <c r="B5" s="3"/>
      <c r="C5" s="77" t="s">
        <v>158</v>
      </c>
      <c r="D5" s="3" t="s">
        <v>109</v>
      </c>
      <c r="E5" s="3"/>
      <c r="F5" s="71">
        <f>F4/12</f>
        <v>0</v>
      </c>
      <c r="G5" s="71">
        <f t="shared" ref="G5:BM5" si="0">G4/12</f>
        <v>0</v>
      </c>
      <c r="H5" s="71">
        <f t="shared" si="0"/>
        <v>0</v>
      </c>
      <c r="I5" s="71">
        <f t="shared" si="0"/>
        <v>0</v>
      </c>
      <c r="J5" s="71">
        <f t="shared" si="0"/>
        <v>0</v>
      </c>
      <c r="K5" s="71">
        <f t="shared" si="0"/>
        <v>0</v>
      </c>
      <c r="L5" s="71">
        <f t="shared" si="0"/>
        <v>0</v>
      </c>
      <c r="M5" s="71">
        <f t="shared" si="0"/>
        <v>0</v>
      </c>
      <c r="N5" s="71">
        <f t="shared" si="0"/>
        <v>0</v>
      </c>
      <c r="O5" s="71">
        <f t="shared" si="0"/>
        <v>0</v>
      </c>
      <c r="P5" s="71">
        <f t="shared" si="0"/>
        <v>0</v>
      </c>
      <c r="Q5" s="71">
        <f t="shared" si="0"/>
        <v>0</v>
      </c>
      <c r="R5" s="71">
        <f t="shared" si="0"/>
        <v>3.3333333333333335E-3</v>
      </c>
      <c r="S5" s="71">
        <f t="shared" si="0"/>
        <v>3.3333333333333335E-3</v>
      </c>
      <c r="T5" s="71">
        <f t="shared" si="0"/>
        <v>3.3333333333333335E-3</v>
      </c>
      <c r="U5" s="71">
        <f t="shared" si="0"/>
        <v>3.3333333333333335E-3</v>
      </c>
      <c r="V5" s="71">
        <f t="shared" si="0"/>
        <v>3.3333333333333335E-3</v>
      </c>
      <c r="W5" s="71">
        <f t="shared" si="0"/>
        <v>3.3333333333333335E-3</v>
      </c>
      <c r="X5" s="71">
        <f t="shared" si="0"/>
        <v>3.3333333333333335E-3</v>
      </c>
      <c r="Y5" s="71">
        <f t="shared" si="0"/>
        <v>3.3333333333333335E-3</v>
      </c>
      <c r="Z5" s="71">
        <f t="shared" si="0"/>
        <v>3.3333333333333335E-3</v>
      </c>
      <c r="AA5" s="71">
        <f t="shared" si="0"/>
        <v>3.3333333333333335E-3</v>
      </c>
      <c r="AB5" s="71">
        <f t="shared" si="0"/>
        <v>3.3333333333333335E-3</v>
      </c>
      <c r="AC5" s="71">
        <f t="shared" si="0"/>
        <v>3.3333333333333335E-3</v>
      </c>
      <c r="AD5" s="71">
        <f t="shared" si="0"/>
        <v>3.3333333333333335E-3</v>
      </c>
      <c r="AE5" s="71">
        <f t="shared" si="0"/>
        <v>3.3333333333333335E-3</v>
      </c>
      <c r="AF5" s="71">
        <f t="shared" si="0"/>
        <v>3.3333333333333335E-3</v>
      </c>
      <c r="AG5" s="71">
        <f t="shared" si="0"/>
        <v>3.3333333333333335E-3</v>
      </c>
      <c r="AH5" s="71">
        <f t="shared" si="0"/>
        <v>3.3333333333333335E-3</v>
      </c>
      <c r="AI5" s="71">
        <f t="shared" si="0"/>
        <v>3.3333333333333335E-3</v>
      </c>
      <c r="AJ5" s="71">
        <f t="shared" si="0"/>
        <v>3.3333333333333335E-3</v>
      </c>
      <c r="AK5" s="71">
        <f t="shared" si="0"/>
        <v>3.3333333333333335E-3</v>
      </c>
      <c r="AL5" s="71">
        <f t="shared" si="0"/>
        <v>3.3333333333333335E-3</v>
      </c>
      <c r="AM5" s="71">
        <f t="shared" si="0"/>
        <v>3.3333333333333335E-3</v>
      </c>
      <c r="AN5" s="71">
        <f t="shared" si="0"/>
        <v>3.3333333333333335E-3</v>
      </c>
      <c r="AO5" s="71">
        <f t="shared" si="0"/>
        <v>3.3333333333333335E-3</v>
      </c>
      <c r="AP5" s="71">
        <f t="shared" si="0"/>
        <v>3.3333333333333335E-3</v>
      </c>
      <c r="AQ5" s="71">
        <f t="shared" si="0"/>
        <v>3.3333333333333335E-3</v>
      </c>
      <c r="AR5" s="71">
        <f t="shared" si="0"/>
        <v>3.3333333333333335E-3</v>
      </c>
      <c r="AS5" s="71">
        <f t="shared" si="0"/>
        <v>3.3333333333333335E-3</v>
      </c>
      <c r="AT5" s="71">
        <f t="shared" si="0"/>
        <v>3.3333333333333335E-3</v>
      </c>
      <c r="AU5" s="71">
        <f t="shared" si="0"/>
        <v>3.3333333333333335E-3</v>
      </c>
      <c r="AV5" s="71">
        <f t="shared" si="0"/>
        <v>3.3333333333333335E-3</v>
      </c>
      <c r="AW5" s="71">
        <f t="shared" si="0"/>
        <v>3.3333333333333335E-3</v>
      </c>
      <c r="AX5" s="71">
        <f t="shared" si="0"/>
        <v>3.3333333333333335E-3</v>
      </c>
      <c r="AY5" s="71">
        <f t="shared" si="0"/>
        <v>3.3333333333333335E-3</v>
      </c>
      <c r="AZ5" s="71">
        <f t="shared" si="0"/>
        <v>3.3333333333333335E-3</v>
      </c>
      <c r="BA5" s="71">
        <f t="shared" si="0"/>
        <v>3.3333333333333335E-3</v>
      </c>
      <c r="BB5" s="71">
        <f t="shared" si="0"/>
        <v>3.3333333333333335E-3</v>
      </c>
      <c r="BC5" s="71">
        <f t="shared" si="0"/>
        <v>3.3333333333333335E-3</v>
      </c>
      <c r="BD5" s="71">
        <f t="shared" si="0"/>
        <v>3.3333333333333335E-3</v>
      </c>
      <c r="BE5" s="71">
        <f t="shared" si="0"/>
        <v>3.3333333333333335E-3</v>
      </c>
      <c r="BF5" s="71">
        <f t="shared" si="0"/>
        <v>3.3333333333333335E-3</v>
      </c>
      <c r="BG5" s="71">
        <f t="shared" si="0"/>
        <v>3.3333333333333335E-3</v>
      </c>
      <c r="BH5" s="71">
        <f t="shared" si="0"/>
        <v>3.3333333333333335E-3</v>
      </c>
      <c r="BI5" s="71">
        <f t="shared" si="0"/>
        <v>3.3333333333333335E-3</v>
      </c>
      <c r="BJ5" s="71">
        <f t="shared" si="0"/>
        <v>3.3333333333333335E-3</v>
      </c>
      <c r="BK5" s="71">
        <f t="shared" si="0"/>
        <v>3.3333333333333335E-3</v>
      </c>
      <c r="BL5" s="71">
        <f t="shared" si="0"/>
        <v>3.3333333333333335E-3</v>
      </c>
      <c r="BM5" s="71">
        <f t="shared" si="0"/>
        <v>3.3333333333333335E-3</v>
      </c>
    </row>
    <row r="6" spans="1:73">
      <c r="A6" s="3"/>
      <c r="B6" s="3"/>
      <c r="C6" s="77" t="s">
        <v>159</v>
      </c>
      <c r="D6" s="3" t="s">
        <v>109</v>
      </c>
      <c r="E6" s="72">
        <v>1</v>
      </c>
      <c r="F6" s="71">
        <f>E6*(1+F5)</f>
        <v>1</v>
      </c>
      <c r="G6" s="71">
        <f t="shared" ref="G6:BM6" si="1">F6*(1+G5)</f>
        <v>1</v>
      </c>
      <c r="H6" s="71">
        <f t="shared" si="1"/>
        <v>1</v>
      </c>
      <c r="I6" s="71">
        <f t="shared" si="1"/>
        <v>1</v>
      </c>
      <c r="J6" s="71">
        <f t="shared" si="1"/>
        <v>1</v>
      </c>
      <c r="K6" s="71">
        <f t="shared" si="1"/>
        <v>1</v>
      </c>
      <c r="L6" s="71">
        <f t="shared" si="1"/>
        <v>1</v>
      </c>
      <c r="M6" s="71">
        <f t="shared" si="1"/>
        <v>1</v>
      </c>
      <c r="N6" s="71">
        <f t="shared" si="1"/>
        <v>1</v>
      </c>
      <c r="O6" s="71">
        <f t="shared" si="1"/>
        <v>1</v>
      </c>
      <c r="P6" s="71">
        <f t="shared" si="1"/>
        <v>1</v>
      </c>
      <c r="Q6" s="71">
        <f t="shared" si="1"/>
        <v>1</v>
      </c>
      <c r="R6" s="71">
        <f t="shared" si="1"/>
        <v>1.0033333333333334</v>
      </c>
      <c r="S6" s="71">
        <f t="shared" si="1"/>
        <v>1.006677777777778</v>
      </c>
      <c r="T6" s="71">
        <f t="shared" si="1"/>
        <v>1.0100333703703708</v>
      </c>
      <c r="U6" s="71">
        <f t="shared" si="1"/>
        <v>1.0134001482716055</v>
      </c>
      <c r="V6" s="71">
        <f t="shared" si="1"/>
        <v>1.0167781487658443</v>
      </c>
      <c r="W6" s="71">
        <f t="shared" si="1"/>
        <v>1.0201674092617306</v>
      </c>
      <c r="X6" s="71">
        <f t="shared" si="1"/>
        <v>1.023567967292603</v>
      </c>
      <c r="Y6" s="71">
        <f t="shared" si="1"/>
        <v>1.0269798605169118</v>
      </c>
      <c r="Z6" s="71">
        <f t="shared" si="1"/>
        <v>1.0304031267186349</v>
      </c>
      <c r="AA6" s="71">
        <f t="shared" si="1"/>
        <v>1.033837803807697</v>
      </c>
      <c r="AB6" s="71">
        <f t="shared" si="1"/>
        <v>1.0372839298203893</v>
      </c>
      <c r="AC6" s="71">
        <f t="shared" si="1"/>
        <v>1.0407415429197906</v>
      </c>
      <c r="AD6" s="71">
        <f t="shared" si="1"/>
        <v>1.04421068139619</v>
      </c>
      <c r="AE6" s="71">
        <f t="shared" si="1"/>
        <v>1.0476913836675108</v>
      </c>
      <c r="AF6" s="71">
        <f t="shared" si="1"/>
        <v>1.0511836882797359</v>
      </c>
      <c r="AG6" s="71">
        <f t="shared" si="1"/>
        <v>1.054687633907335</v>
      </c>
      <c r="AH6" s="71">
        <f t="shared" si="1"/>
        <v>1.058203259353693</v>
      </c>
      <c r="AI6" s="71">
        <f t="shared" si="1"/>
        <v>1.0617306035515386</v>
      </c>
      <c r="AJ6" s="71">
        <f t="shared" si="1"/>
        <v>1.0652697055633771</v>
      </c>
      <c r="AK6" s="71">
        <f t="shared" si="1"/>
        <v>1.0688206045819217</v>
      </c>
      <c r="AL6" s="71">
        <f t="shared" si="1"/>
        <v>1.0723833399305283</v>
      </c>
      <c r="AM6" s="71">
        <f t="shared" si="1"/>
        <v>1.0759579510636301</v>
      </c>
      <c r="AN6" s="71">
        <f t="shared" si="1"/>
        <v>1.0795444775671756</v>
      </c>
      <c r="AO6" s="71">
        <f t="shared" si="1"/>
        <v>1.0831429591590662</v>
      </c>
      <c r="AP6" s="71">
        <f t="shared" si="1"/>
        <v>1.0867534356895965</v>
      </c>
      <c r="AQ6" s="71">
        <f t="shared" si="1"/>
        <v>1.0903759471418952</v>
      </c>
      <c r="AR6" s="71">
        <f t="shared" si="1"/>
        <v>1.0940105336323682</v>
      </c>
      <c r="AS6" s="71">
        <f t="shared" si="1"/>
        <v>1.0976572354111429</v>
      </c>
      <c r="AT6" s="71">
        <f t="shared" si="1"/>
        <v>1.1013160928625134</v>
      </c>
      <c r="AU6" s="71">
        <f t="shared" si="1"/>
        <v>1.1049871465053887</v>
      </c>
      <c r="AV6" s="71">
        <f t="shared" si="1"/>
        <v>1.1086704369937401</v>
      </c>
      <c r="AW6" s="71">
        <f t="shared" si="1"/>
        <v>1.1123660051170527</v>
      </c>
      <c r="AX6" s="71">
        <f t="shared" si="1"/>
        <v>1.1160738918007764</v>
      </c>
      <c r="AY6" s="71">
        <f t="shared" si="1"/>
        <v>1.1197941381067791</v>
      </c>
      <c r="AZ6" s="71">
        <f t="shared" si="1"/>
        <v>1.1235267852338018</v>
      </c>
      <c r="BA6" s="71">
        <f t="shared" si="1"/>
        <v>1.1272718745179144</v>
      </c>
      <c r="BB6" s="71">
        <f t="shared" si="1"/>
        <v>1.1310294474329743</v>
      </c>
      <c r="BC6" s="71">
        <f t="shared" si="1"/>
        <v>1.1347995455910842</v>
      </c>
      <c r="BD6" s="71">
        <f t="shared" si="1"/>
        <v>1.1385822107430545</v>
      </c>
      <c r="BE6" s="71">
        <f t="shared" si="1"/>
        <v>1.1423774847788648</v>
      </c>
      <c r="BF6" s="71">
        <f t="shared" si="1"/>
        <v>1.1461854097281279</v>
      </c>
      <c r="BG6" s="71">
        <f t="shared" si="1"/>
        <v>1.150006027760555</v>
      </c>
      <c r="BH6" s="71">
        <f t="shared" si="1"/>
        <v>1.1538393811864236</v>
      </c>
      <c r="BI6" s="71">
        <f t="shared" si="1"/>
        <v>1.1576855124570451</v>
      </c>
      <c r="BJ6" s="71">
        <f t="shared" si="1"/>
        <v>1.1615444641652353</v>
      </c>
      <c r="BK6" s="71">
        <f t="shared" si="1"/>
        <v>1.165416279045786</v>
      </c>
      <c r="BL6" s="71">
        <f t="shared" si="1"/>
        <v>1.1693009999759387</v>
      </c>
      <c r="BM6" s="71">
        <f t="shared" si="1"/>
        <v>1.1731986699758585</v>
      </c>
    </row>
    <row r="7" spans="1:73">
      <c r="C7" s="73" t="s">
        <v>160</v>
      </c>
      <c r="D7" s="74" t="s">
        <v>161</v>
      </c>
      <c r="F7" s="3">
        <f>24*30</f>
        <v>720</v>
      </c>
      <c r="G7" s="3">
        <f t="shared" ref="G7:BM7" si="2">24*30</f>
        <v>720</v>
      </c>
      <c r="H7" s="3">
        <f t="shared" si="2"/>
        <v>720</v>
      </c>
      <c r="I7" s="3">
        <f t="shared" si="2"/>
        <v>720</v>
      </c>
      <c r="J7" s="3">
        <f t="shared" si="2"/>
        <v>720</v>
      </c>
      <c r="K7" s="3">
        <f t="shared" si="2"/>
        <v>720</v>
      </c>
      <c r="L7" s="3">
        <f t="shared" si="2"/>
        <v>720</v>
      </c>
      <c r="M7" s="3">
        <f t="shared" si="2"/>
        <v>720</v>
      </c>
      <c r="N7" s="3">
        <f t="shared" si="2"/>
        <v>720</v>
      </c>
      <c r="O7" s="3">
        <f t="shared" si="2"/>
        <v>720</v>
      </c>
      <c r="P7" s="3">
        <f t="shared" si="2"/>
        <v>720</v>
      </c>
      <c r="Q7" s="85">
        <f t="shared" si="2"/>
        <v>720</v>
      </c>
      <c r="R7" s="3">
        <f t="shared" si="2"/>
        <v>720</v>
      </c>
      <c r="S7" s="3">
        <f t="shared" si="2"/>
        <v>720</v>
      </c>
      <c r="T7" s="3">
        <f t="shared" si="2"/>
        <v>720</v>
      </c>
      <c r="U7" s="3">
        <f t="shared" si="2"/>
        <v>720</v>
      </c>
      <c r="V7" s="3">
        <f t="shared" si="2"/>
        <v>720</v>
      </c>
      <c r="W7" s="3">
        <f t="shared" si="2"/>
        <v>720</v>
      </c>
      <c r="X7" s="3">
        <f t="shared" si="2"/>
        <v>720</v>
      </c>
      <c r="Y7" s="3">
        <f t="shared" si="2"/>
        <v>720</v>
      </c>
      <c r="Z7" s="3">
        <f t="shared" si="2"/>
        <v>720</v>
      </c>
      <c r="AA7" s="3">
        <f t="shared" si="2"/>
        <v>720</v>
      </c>
      <c r="AB7" s="3">
        <f t="shared" si="2"/>
        <v>720</v>
      </c>
      <c r="AC7" s="85">
        <f t="shared" si="2"/>
        <v>720</v>
      </c>
      <c r="AD7" s="3">
        <f t="shared" si="2"/>
        <v>720</v>
      </c>
      <c r="AE7" s="3">
        <f t="shared" si="2"/>
        <v>720</v>
      </c>
      <c r="AF7" s="3">
        <f t="shared" si="2"/>
        <v>720</v>
      </c>
      <c r="AG7" s="3">
        <f t="shared" si="2"/>
        <v>720</v>
      </c>
      <c r="AH7" s="3">
        <f t="shared" si="2"/>
        <v>720</v>
      </c>
      <c r="AI7" s="3">
        <f t="shared" si="2"/>
        <v>720</v>
      </c>
      <c r="AJ7" s="3">
        <f t="shared" si="2"/>
        <v>720</v>
      </c>
      <c r="AK7" s="3">
        <f t="shared" si="2"/>
        <v>720</v>
      </c>
      <c r="AL7" s="3">
        <f t="shared" si="2"/>
        <v>720</v>
      </c>
      <c r="AM7" s="3">
        <f t="shared" si="2"/>
        <v>720</v>
      </c>
      <c r="AN7" s="3">
        <f t="shared" si="2"/>
        <v>720</v>
      </c>
      <c r="AO7" s="85">
        <f t="shared" si="2"/>
        <v>720</v>
      </c>
      <c r="AP7" s="3">
        <f t="shared" si="2"/>
        <v>720</v>
      </c>
      <c r="AQ7" s="3">
        <f t="shared" si="2"/>
        <v>720</v>
      </c>
      <c r="AR7" s="3">
        <f t="shared" si="2"/>
        <v>720</v>
      </c>
      <c r="AS7" s="3">
        <f t="shared" si="2"/>
        <v>720</v>
      </c>
      <c r="AT7" s="3">
        <f t="shared" si="2"/>
        <v>720</v>
      </c>
      <c r="AU7" s="3">
        <f t="shared" si="2"/>
        <v>720</v>
      </c>
      <c r="AV7" s="3">
        <f t="shared" si="2"/>
        <v>720</v>
      </c>
      <c r="AW7" s="3">
        <f t="shared" si="2"/>
        <v>720</v>
      </c>
      <c r="AX7" s="3">
        <f t="shared" si="2"/>
        <v>720</v>
      </c>
      <c r="AY7" s="3">
        <f t="shared" si="2"/>
        <v>720</v>
      </c>
      <c r="AZ7" s="3">
        <f t="shared" si="2"/>
        <v>720</v>
      </c>
      <c r="BA7" s="85">
        <f t="shared" si="2"/>
        <v>720</v>
      </c>
      <c r="BB7" s="3">
        <f t="shared" si="2"/>
        <v>720</v>
      </c>
      <c r="BC7" s="3">
        <f t="shared" si="2"/>
        <v>720</v>
      </c>
      <c r="BD7" s="3">
        <f t="shared" si="2"/>
        <v>720</v>
      </c>
      <c r="BE7" s="3">
        <f t="shared" si="2"/>
        <v>720</v>
      </c>
      <c r="BF7" s="3">
        <f t="shared" si="2"/>
        <v>720</v>
      </c>
      <c r="BG7" s="3">
        <f t="shared" si="2"/>
        <v>720</v>
      </c>
      <c r="BH7" s="3">
        <f t="shared" si="2"/>
        <v>720</v>
      </c>
      <c r="BI7" s="3">
        <f t="shared" si="2"/>
        <v>720</v>
      </c>
      <c r="BJ7" s="3">
        <f t="shared" si="2"/>
        <v>720</v>
      </c>
      <c r="BK7" s="3">
        <f t="shared" si="2"/>
        <v>720</v>
      </c>
      <c r="BL7" s="3">
        <f t="shared" si="2"/>
        <v>720</v>
      </c>
      <c r="BM7" s="3">
        <f t="shared" si="2"/>
        <v>720</v>
      </c>
    </row>
    <row r="8" spans="1:73">
      <c r="C8" s="75" t="s">
        <v>162</v>
      </c>
      <c r="D8" s="76"/>
      <c r="E8" s="3">
        <v>0</v>
      </c>
      <c r="F8" s="78">
        <v>1</v>
      </c>
      <c r="G8" s="78">
        <v>2</v>
      </c>
      <c r="H8" s="78">
        <v>3</v>
      </c>
      <c r="I8" s="78">
        <v>4</v>
      </c>
      <c r="J8" s="78">
        <v>5</v>
      </c>
      <c r="K8" s="78">
        <v>6</v>
      </c>
      <c r="L8" s="78">
        <v>7</v>
      </c>
      <c r="M8" s="78">
        <v>8</v>
      </c>
      <c r="N8" s="78">
        <v>9</v>
      </c>
      <c r="O8" s="78">
        <v>10</v>
      </c>
      <c r="P8" s="78">
        <v>11</v>
      </c>
      <c r="Q8" s="86">
        <v>12</v>
      </c>
      <c r="R8" s="78">
        <v>13</v>
      </c>
      <c r="S8" s="78">
        <v>14</v>
      </c>
      <c r="T8" s="78">
        <v>15</v>
      </c>
      <c r="U8" s="78">
        <v>16</v>
      </c>
      <c r="V8" s="78">
        <v>17</v>
      </c>
      <c r="W8" s="78">
        <v>18</v>
      </c>
      <c r="X8" s="78">
        <v>19</v>
      </c>
      <c r="Y8" s="78">
        <v>20</v>
      </c>
      <c r="Z8" s="78">
        <v>21</v>
      </c>
      <c r="AA8" s="78">
        <v>22</v>
      </c>
      <c r="AB8" s="78">
        <v>23</v>
      </c>
      <c r="AC8" s="86">
        <v>24</v>
      </c>
      <c r="AD8" s="78">
        <v>25</v>
      </c>
      <c r="AE8" s="78">
        <v>26</v>
      </c>
      <c r="AF8" s="78">
        <v>27</v>
      </c>
      <c r="AG8" s="78">
        <v>28</v>
      </c>
      <c r="AH8" s="78">
        <v>29</v>
      </c>
      <c r="AI8" s="78">
        <v>30</v>
      </c>
      <c r="AJ8" s="78">
        <v>31</v>
      </c>
      <c r="AK8" s="78">
        <v>32</v>
      </c>
      <c r="AL8" s="78">
        <v>33</v>
      </c>
      <c r="AM8" s="78">
        <v>34</v>
      </c>
      <c r="AN8" s="78">
        <v>35</v>
      </c>
      <c r="AO8" s="86">
        <v>36</v>
      </c>
      <c r="AP8" s="78">
        <v>37</v>
      </c>
      <c r="AQ8" s="78">
        <v>38</v>
      </c>
      <c r="AR8" s="78">
        <v>39</v>
      </c>
      <c r="AS8" s="78">
        <v>40</v>
      </c>
      <c r="AT8" s="78">
        <v>41</v>
      </c>
      <c r="AU8" s="78">
        <v>42</v>
      </c>
      <c r="AV8" s="78">
        <v>43</v>
      </c>
      <c r="AW8" s="78">
        <v>44</v>
      </c>
      <c r="AX8" s="78">
        <v>45</v>
      </c>
      <c r="AY8" s="78">
        <v>46</v>
      </c>
      <c r="AZ8" s="78">
        <v>47</v>
      </c>
      <c r="BA8" s="86">
        <v>48</v>
      </c>
      <c r="BB8" s="78">
        <v>49</v>
      </c>
      <c r="BC8" s="78">
        <v>50</v>
      </c>
      <c r="BD8" s="78">
        <v>51</v>
      </c>
      <c r="BE8" s="78">
        <v>52</v>
      </c>
      <c r="BF8" s="78">
        <v>53</v>
      </c>
      <c r="BG8" s="78">
        <v>54</v>
      </c>
      <c r="BH8" s="78">
        <v>55</v>
      </c>
      <c r="BI8" s="78">
        <v>56</v>
      </c>
      <c r="BJ8" s="78">
        <v>57</v>
      </c>
      <c r="BK8" s="78">
        <v>58</v>
      </c>
      <c r="BL8" s="78">
        <v>59</v>
      </c>
      <c r="BM8" s="78">
        <v>60</v>
      </c>
    </row>
    <row r="9" spans="1:73" ht="15.75" thickBot="1">
      <c r="A9" s="79"/>
      <c r="B9" s="79"/>
      <c r="C9" s="80" t="s">
        <v>102</v>
      </c>
      <c r="D9" s="81" t="s">
        <v>96</v>
      </c>
      <c r="E9" s="81"/>
      <c r="F9" s="82"/>
      <c r="G9" s="83"/>
      <c r="H9" s="83"/>
      <c r="I9" s="83"/>
      <c r="J9" s="83"/>
      <c r="K9" s="83"/>
      <c r="L9" s="83"/>
      <c r="M9" s="83"/>
      <c r="N9" s="83"/>
      <c r="O9" s="83"/>
      <c r="P9" s="83"/>
      <c r="Q9" s="84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4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4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4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79"/>
      <c r="BP9" s="81" t="s">
        <v>103</v>
      </c>
      <c r="BQ9" s="81" t="s">
        <v>104</v>
      </c>
      <c r="BR9" s="81" t="s">
        <v>105</v>
      </c>
      <c r="BS9" s="81" t="s">
        <v>106</v>
      </c>
      <c r="BT9" s="81" t="s">
        <v>107</v>
      </c>
      <c r="BU9" s="81" t="s">
        <v>163</v>
      </c>
    </row>
    <row r="10" spans="1:73" ht="15.75" thickTop="1">
      <c r="C10" s="87" t="s">
        <v>164</v>
      </c>
      <c r="D10" s="89"/>
      <c r="E10" s="89"/>
      <c r="F10" s="94">
        <f>F11*F14*F15</f>
        <v>144000</v>
      </c>
      <c r="G10" s="94">
        <f t="shared" ref="G10:BM10" si="3">G11*G14*G15</f>
        <v>216000</v>
      </c>
      <c r="H10" s="94">
        <f t="shared" si="3"/>
        <v>251999.99999999997</v>
      </c>
      <c r="I10" s="94">
        <f t="shared" si="3"/>
        <v>288000</v>
      </c>
      <c r="J10" s="94">
        <f t="shared" si="3"/>
        <v>288000</v>
      </c>
      <c r="K10" s="94">
        <f t="shared" si="3"/>
        <v>288000</v>
      </c>
      <c r="L10" s="94">
        <f t="shared" si="3"/>
        <v>288000</v>
      </c>
      <c r="M10" s="94">
        <f t="shared" si="3"/>
        <v>288000</v>
      </c>
      <c r="N10" s="94">
        <f t="shared" si="3"/>
        <v>288000</v>
      </c>
      <c r="O10" s="94">
        <f t="shared" si="3"/>
        <v>288000</v>
      </c>
      <c r="P10" s="94">
        <f t="shared" si="3"/>
        <v>288000</v>
      </c>
      <c r="Q10" s="94">
        <f t="shared" si="3"/>
        <v>288000</v>
      </c>
      <c r="R10" s="94">
        <f t="shared" si="3"/>
        <v>361200.00000000006</v>
      </c>
      <c r="S10" s="94">
        <f t="shared" si="3"/>
        <v>362404.00000000012</v>
      </c>
      <c r="T10" s="94">
        <f t="shared" si="3"/>
        <v>363612.01333333354</v>
      </c>
      <c r="U10" s="94">
        <f t="shared" si="3"/>
        <v>364824.05337777798</v>
      </c>
      <c r="V10" s="94">
        <f t="shared" si="3"/>
        <v>366040.13355570391</v>
      </c>
      <c r="W10" s="94">
        <f t="shared" si="3"/>
        <v>367260.26733422297</v>
      </c>
      <c r="X10" s="94">
        <f t="shared" si="3"/>
        <v>368484.46822533704</v>
      </c>
      <c r="Y10" s="94">
        <f t="shared" si="3"/>
        <v>369712.74978608818</v>
      </c>
      <c r="Z10" s="94">
        <f t="shared" si="3"/>
        <v>370945.12561870855</v>
      </c>
      <c r="AA10" s="94">
        <f t="shared" si="3"/>
        <v>372181.60937077086</v>
      </c>
      <c r="AB10" s="94">
        <f t="shared" si="3"/>
        <v>373422.21473534009</v>
      </c>
      <c r="AC10" s="94">
        <f t="shared" si="3"/>
        <v>374666.95545112464</v>
      </c>
      <c r="AD10" s="94">
        <f t="shared" si="3"/>
        <v>375915.84530262841</v>
      </c>
      <c r="AE10" s="94">
        <f t="shared" si="3"/>
        <v>377168.89812030387</v>
      </c>
      <c r="AF10" s="94">
        <f t="shared" si="3"/>
        <v>378426.12778070493</v>
      </c>
      <c r="AG10" s="94">
        <f t="shared" si="3"/>
        <v>379687.54820664064</v>
      </c>
      <c r="AH10" s="94">
        <f t="shared" si="3"/>
        <v>380953.17336732952</v>
      </c>
      <c r="AI10" s="94">
        <f t="shared" si="3"/>
        <v>382223.01727855392</v>
      </c>
      <c r="AJ10" s="94">
        <f t="shared" si="3"/>
        <v>383497.09400281578</v>
      </c>
      <c r="AK10" s="94">
        <f t="shared" si="3"/>
        <v>384775.41764949186</v>
      </c>
      <c r="AL10" s="94">
        <f t="shared" si="3"/>
        <v>386058.00237499014</v>
      </c>
      <c r="AM10" s="94">
        <f t="shared" si="3"/>
        <v>387344.86238290684</v>
      </c>
      <c r="AN10" s="94">
        <f t="shared" si="3"/>
        <v>388636.01192418329</v>
      </c>
      <c r="AO10" s="94">
        <f t="shared" si="3"/>
        <v>389931.46529726387</v>
      </c>
      <c r="AP10" s="94">
        <f t="shared" si="3"/>
        <v>391231.23684825475</v>
      </c>
      <c r="AQ10" s="94">
        <f t="shared" si="3"/>
        <v>392535.34097108227</v>
      </c>
      <c r="AR10" s="94">
        <f t="shared" si="3"/>
        <v>393843.79210765252</v>
      </c>
      <c r="AS10" s="94">
        <f t="shared" si="3"/>
        <v>395156.60474801145</v>
      </c>
      <c r="AT10" s="94">
        <f t="shared" si="3"/>
        <v>396473.79343050485</v>
      </c>
      <c r="AU10" s="94">
        <f t="shared" si="3"/>
        <v>397795.37274193991</v>
      </c>
      <c r="AV10" s="94">
        <f t="shared" si="3"/>
        <v>399121.35731774644</v>
      </c>
      <c r="AW10" s="94">
        <f t="shared" si="3"/>
        <v>400451.76184213901</v>
      </c>
      <c r="AX10" s="94">
        <f t="shared" si="3"/>
        <v>401786.6010482795</v>
      </c>
      <c r="AY10" s="94">
        <f t="shared" si="3"/>
        <v>403125.88971844054</v>
      </c>
      <c r="AZ10" s="94">
        <f t="shared" si="3"/>
        <v>404469.64268416865</v>
      </c>
      <c r="BA10" s="94">
        <f t="shared" si="3"/>
        <v>405817.8748264492</v>
      </c>
      <c r="BB10" s="94">
        <f t="shared" si="3"/>
        <v>407170.6010758708</v>
      </c>
      <c r="BC10" s="94">
        <f t="shared" si="3"/>
        <v>408527.83641279029</v>
      </c>
      <c r="BD10" s="94">
        <f t="shared" si="3"/>
        <v>409889.59586749959</v>
      </c>
      <c r="BE10" s="94">
        <f t="shared" si="3"/>
        <v>411255.8945203913</v>
      </c>
      <c r="BF10" s="94">
        <f t="shared" si="3"/>
        <v>412626.74750212597</v>
      </c>
      <c r="BG10" s="94">
        <f t="shared" si="3"/>
        <v>414002.16999379982</v>
      </c>
      <c r="BH10" s="94">
        <f t="shared" si="3"/>
        <v>415382.17722711252</v>
      </c>
      <c r="BI10" s="94">
        <f t="shared" si="3"/>
        <v>416766.78448453627</v>
      </c>
      <c r="BJ10" s="94">
        <f t="shared" si="3"/>
        <v>418156.00709948468</v>
      </c>
      <c r="BK10" s="94">
        <f t="shared" si="3"/>
        <v>419549.86045648297</v>
      </c>
      <c r="BL10" s="94">
        <f t="shared" si="3"/>
        <v>420948.35999133799</v>
      </c>
      <c r="BM10" s="94">
        <f t="shared" si="3"/>
        <v>422351.52119130909</v>
      </c>
      <c r="BO10" s="94">
        <f>SUM(F10:BM10)</f>
        <v>21971807.878583625</v>
      </c>
      <c r="BP10" s="94">
        <f>SUM(F10:Q10)</f>
        <v>3204000</v>
      </c>
      <c r="BQ10" s="94">
        <f>SUM(R10:AC10)</f>
        <v>4414753.5907884082</v>
      </c>
      <c r="BR10" s="94">
        <f>SUM(AD10:AO10)</f>
        <v>4594617.4636878138</v>
      </c>
      <c r="BS10" s="94">
        <f>SUM(AP10:BA10)</f>
        <v>4781809.2682846691</v>
      </c>
      <c r="BT10" s="94">
        <f>SUM(BB10:BM10)</f>
        <v>4976627.5558227412</v>
      </c>
      <c r="BU10" s="94">
        <f>SUM(BP10:BT10)</f>
        <v>21971807.878583632</v>
      </c>
    </row>
    <row r="11" spans="1:73">
      <c r="C11" s="88" t="s">
        <v>165</v>
      </c>
      <c r="D11" s="90" t="s">
        <v>99</v>
      </c>
      <c r="E11" s="90"/>
      <c r="F11" s="3">
        <f>'Вход и предположения'!$E$4</f>
        <v>10</v>
      </c>
      <c r="G11" s="3">
        <f>'Вход и предположения'!$E$4</f>
        <v>10</v>
      </c>
      <c r="H11" s="3">
        <f>'Вход и предположения'!$E$4</f>
        <v>10</v>
      </c>
      <c r="I11" s="3">
        <f>'Вход и предположения'!$E$4</f>
        <v>10</v>
      </c>
      <c r="J11" s="3">
        <f>'Вход и предположения'!$E$4</f>
        <v>10</v>
      </c>
      <c r="K11" s="3">
        <f>'Вход и предположения'!$E$4</f>
        <v>10</v>
      </c>
      <c r="L11" s="3">
        <f>'Вход и предположения'!$E$4</f>
        <v>10</v>
      </c>
      <c r="M11" s="3">
        <f>'Вход и предположения'!$E$4</f>
        <v>10</v>
      </c>
      <c r="N11" s="3">
        <f>'Вход и предположения'!$E$4</f>
        <v>10</v>
      </c>
      <c r="O11" s="3">
        <f>'Вход и предположения'!$E$4</f>
        <v>10</v>
      </c>
      <c r="P11" s="3">
        <f>'Вход и предположения'!$E$4</f>
        <v>10</v>
      </c>
      <c r="Q11" s="3">
        <f>'Вход и предположения'!$E$4</f>
        <v>10</v>
      </c>
      <c r="R11" s="3">
        <f>'Вход и предположения'!$E$4</f>
        <v>10</v>
      </c>
      <c r="S11" s="3">
        <f>'Вход и предположения'!$E$4</f>
        <v>10</v>
      </c>
      <c r="T11" s="3">
        <f>'Вход и предположения'!$E$4</f>
        <v>10</v>
      </c>
      <c r="U11" s="3">
        <f>'Вход и предположения'!$E$4</f>
        <v>10</v>
      </c>
      <c r="V11" s="3">
        <f>'Вход и предположения'!$E$4</f>
        <v>10</v>
      </c>
      <c r="W11" s="3">
        <f>'Вход и предположения'!$E$4</f>
        <v>10</v>
      </c>
      <c r="X11" s="3">
        <f>'Вход и предположения'!$E$4</f>
        <v>10</v>
      </c>
      <c r="Y11" s="3">
        <f>'Вход и предположения'!$E$4</f>
        <v>10</v>
      </c>
      <c r="Z11" s="3">
        <f>'Вход и предположения'!$E$4</f>
        <v>10</v>
      </c>
      <c r="AA11" s="3">
        <f>'Вход и предположения'!$E$4</f>
        <v>10</v>
      </c>
      <c r="AB11" s="3">
        <f>'Вход и предположения'!$E$4</f>
        <v>10</v>
      </c>
      <c r="AC11" s="3">
        <f>'Вход и предположения'!$E$4</f>
        <v>10</v>
      </c>
      <c r="AD11" s="3">
        <f>'Вход и предположения'!$E$4</f>
        <v>10</v>
      </c>
      <c r="AE11" s="3">
        <f>'Вход и предположения'!$E$4</f>
        <v>10</v>
      </c>
      <c r="AF11" s="3">
        <f>'Вход и предположения'!$E$4</f>
        <v>10</v>
      </c>
      <c r="AG11" s="3">
        <f>'Вход и предположения'!$E$4</f>
        <v>10</v>
      </c>
      <c r="AH11" s="3">
        <f>'Вход и предположения'!$E$4</f>
        <v>10</v>
      </c>
      <c r="AI11" s="3">
        <f>'Вход и предположения'!$E$4</f>
        <v>10</v>
      </c>
      <c r="AJ11" s="3">
        <f>'Вход и предположения'!$E$4</f>
        <v>10</v>
      </c>
      <c r="AK11" s="3">
        <f>'Вход и предположения'!$E$4</f>
        <v>10</v>
      </c>
      <c r="AL11" s="3">
        <f>'Вход и предположения'!$E$4</f>
        <v>10</v>
      </c>
      <c r="AM11" s="3">
        <f>'Вход и предположения'!$E$4</f>
        <v>10</v>
      </c>
      <c r="AN11" s="3">
        <f>'Вход и предположения'!$E$4</f>
        <v>10</v>
      </c>
      <c r="AO11" s="3">
        <f>'Вход и предположения'!$E$4</f>
        <v>10</v>
      </c>
      <c r="AP11" s="3">
        <f>'Вход и предположения'!$E$4</f>
        <v>10</v>
      </c>
      <c r="AQ11" s="3">
        <f>'Вход и предположения'!$E$4</f>
        <v>10</v>
      </c>
      <c r="AR11" s="3">
        <f>'Вход и предположения'!$E$4</f>
        <v>10</v>
      </c>
      <c r="AS11" s="3">
        <f>'Вход и предположения'!$E$4</f>
        <v>10</v>
      </c>
      <c r="AT11" s="3">
        <f>'Вход и предположения'!$E$4</f>
        <v>10</v>
      </c>
      <c r="AU11" s="3">
        <f>'Вход и предположения'!$E$4</f>
        <v>10</v>
      </c>
      <c r="AV11" s="3">
        <f>'Вход и предположения'!$E$4</f>
        <v>10</v>
      </c>
      <c r="AW11" s="3">
        <f>'Вход и предположения'!$E$4</f>
        <v>10</v>
      </c>
      <c r="AX11" s="3">
        <f>'Вход и предположения'!$E$4</f>
        <v>10</v>
      </c>
      <c r="AY11" s="3">
        <f>'Вход и предположения'!$E$4</f>
        <v>10</v>
      </c>
      <c r="AZ11" s="3">
        <f>'Вход и предположения'!$E$4</f>
        <v>10</v>
      </c>
      <c r="BA11" s="3">
        <f>'Вход и предположения'!$E$4</f>
        <v>10</v>
      </c>
      <c r="BB11" s="3">
        <f>'Вход и предположения'!$E$4</f>
        <v>10</v>
      </c>
      <c r="BC11" s="3">
        <f>'Вход и предположения'!$E$4</f>
        <v>10</v>
      </c>
      <c r="BD11" s="3">
        <f>'Вход и предположения'!$E$4</f>
        <v>10</v>
      </c>
      <c r="BE11" s="3">
        <f>'Вход и предположения'!$E$4</f>
        <v>10</v>
      </c>
      <c r="BF11" s="3">
        <f>'Вход и предположения'!$E$4</f>
        <v>10</v>
      </c>
      <c r="BG11" s="3">
        <f>'Вход и предположения'!$E$4</f>
        <v>10</v>
      </c>
      <c r="BH11" s="3">
        <f>'Вход и предположения'!$E$4</f>
        <v>10</v>
      </c>
      <c r="BI11" s="3">
        <f>'Вход и предположения'!$E$4</f>
        <v>10</v>
      </c>
      <c r="BJ11" s="3">
        <f>'Вход и предположения'!$E$4</f>
        <v>10</v>
      </c>
      <c r="BK11" s="3">
        <f>'Вход и предположения'!$E$4</f>
        <v>10</v>
      </c>
      <c r="BL11" s="3">
        <f>'Вход и предположения'!$E$4</f>
        <v>10</v>
      </c>
      <c r="BM11" s="3">
        <f>'Вход и предположения'!$E$4</f>
        <v>10</v>
      </c>
    </row>
    <row r="12" spans="1:73">
      <c r="C12" s="88" t="s">
        <v>108</v>
      </c>
      <c r="D12" s="90" t="s">
        <v>109</v>
      </c>
      <c r="E12" s="90"/>
      <c r="F12" s="91">
        <v>0.2</v>
      </c>
      <c r="G12" s="91">
        <v>0.3</v>
      </c>
      <c r="H12" s="91">
        <v>0.35</v>
      </c>
      <c r="I12" s="91">
        <f>'Вход и предположения'!$E$11</f>
        <v>0.4</v>
      </c>
      <c r="J12" s="91">
        <f>'Вход и предположения'!$E$11</f>
        <v>0.4</v>
      </c>
      <c r="K12" s="91">
        <f>'Вход и предположения'!$E$11</f>
        <v>0.4</v>
      </c>
      <c r="L12" s="91">
        <f>'Вход и предположения'!$E$11</f>
        <v>0.4</v>
      </c>
      <c r="M12" s="91">
        <f>'Вход и предположения'!$E$11</f>
        <v>0.4</v>
      </c>
      <c r="N12" s="91">
        <f>'Вход и предположения'!$E$11</f>
        <v>0.4</v>
      </c>
      <c r="O12" s="91">
        <f>'Вход и предположения'!$E$11</f>
        <v>0.4</v>
      </c>
      <c r="P12" s="91">
        <f>'Вход и предположения'!$E$11</f>
        <v>0.4</v>
      </c>
      <c r="Q12" s="91">
        <f>'Вход и предположения'!$E$11</f>
        <v>0.4</v>
      </c>
      <c r="R12" s="91">
        <f>'Вход и предположения'!$F$11</f>
        <v>0.5</v>
      </c>
      <c r="S12" s="91">
        <f>'Вход и предположения'!$F$11</f>
        <v>0.5</v>
      </c>
      <c r="T12" s="91">
        <f>'Вход и предположения'!$F$11</f>
        <v>0.5</v>
      </c>
      <c r="U12" s="91">
        <f>'Вход и предположения'!$F$11</f>
        <v>0.5</v>
      </c>
      <c r="V12" s="91">
        <f>'Вход и предположения'!$F$11</f>
        <v>0.5</v>
      </c>
      <c r="W12" s="91">
        <f>'Вход и предположения'!$F$11</f>
        <v>0.5</v>
      </c>
      <c r="X12" s="91">
        <f>'Вход и предположения'!$F$11</f>
        <v>0.5</v>
      </c>
      <c r="Y12" s="91">
        <f>'Вход и предположения'!$F$11</f>
        <v>0.5</v>
      </c>
      <c r="Z12" s="91">
        <f>'Вход и предположения'!$F$11</f>
        <v>0.5</v>
      </c>
      <c r="AA12" s="91">
        <f>'Вход и предположения'!$F$11</f>
        <v>0.5</v>
      </c>
      <c r="AB12" s="91">
        <f>'Вход и предположения'!$F$11</f>
        <v>0.5</v>
      </c>
      <c r="AC12" s="91">
        <f>'Вход и предположения'!$F$11</f>
        <v>0.5</v>
      </c>
      <c r="AD12" s="91">
        <f>'Вход и предположения'!$G$11</f>
        <v>0.5</v>
      </c>
      <c r="AE12" s="91">
        <f>'Вход и предположения'!$G$11</f>
        <v>0.5</v>
      </c>
      <c r="AF12" s="91">
        <f>'Вход и предположения'!$G$11</f>
        <v>0.5</v>
      </c>
      <c r="AG12" s="91">
        <f>'Вход и предположения'!$G$11</f>
        <v>0.5</v>
      </c>
      <c r="AH12" s="91">
        <f>'Вход и предположения'!$G$11</f>
        <v>0.5</v>
      </c>
      <c r="AI12" s="91">
        <f>'Вход и предположения'!$G$11</f>
        <v>0.5</v>
      </c>
      <c r="AJ12" s="91">
        <f>'Вход и предположения'!$G$11</f>
        <v>0.5</v>
      </c>
      <c r="AK12" s="91">
        <f>'Вход и предположения'!$G$11</f>
        <v>0.5</v>
      </c>
      <c r="AL12" s="91">
        <f>'Вход и предположения'!$G$11</f>
        <v>0.5</v>
      </c>
      <c r="AM12" s="91">
        <f>'Вход и предположения'!$G$11</f>
        <v>0.5</v>
      </c>
      <c r="AN12" s="91">
        <f>'Вход и предположения'!$G$11</f>
        <v>0.5</v>
      </c>
      <c r="AO12" s="91">
        <f>'Вход и предположения'!$G$11</f>
        <v>0.5</v>
      </c>
      <c r="AP12" s="91">
        <f>'Вход и предположения'!$H$11</f>
        <v>0.5</v>
      </c>
      <c r="AQ12" s="91">
        <f>'Вход и предположения'!$H$11</f>
        <v>0.5</v>
      </c>
      <c r="AR12" s="91">
        <f>'Вход и предположения'!$H$11</f>
        <v>0.5</v>
      </c>
      <c r="AS12" s="91">
        <f>'Вход и предположения'!$H$11</f>
        <v>0.5</v>
      </c>
      <c r="AT12" s="91">
        <f>'Вход и предположения'!$H$11</f>
        <v>0.5</v>
      </c>
      <c r="AU12" s="91">
        <f>'Вход и предположения'!$H$11</f>
        <v>0.5</v>
      </c>
      <c r="AV12" s="91">
        <f>'Вход и предположения'!$H$11</f>
        <v>0.5</v>
      </c>
      <c r="AW12" s="91">
        <f>'Вход и предположения'!$H$11</f>
        <v>0.5</v>
      </c>
      <c r="AX12" s="91">
        <f>'Вход и предположения'!$H$11</f>
        <v>0.5</v>
      </c>
      <c r="AY12" s="91">
        <f>'Вход и предположения'!$H$11</f>
        <v>0.5</v>
      </c>
      <c r="AZ12" s="91">
        <f>'Вход и предположения'!$H$11</f>
        <v>0.5</v>
      </c>
      <c r="BA12" s="91">
        <f>'Вход и предположения'!$H$11</f>
        <v>0.5</v>
      </c>
      <c r="BB12" s="91">
        <f>'Вход и предположения'!$I$11</f>
        <v>0.5</v>
      </c>
      <c r="BC12" s="91">
        <f>'Вход и предположения'!$I$11</f>
        <v>0.5</v>
      </c>
      <c r="BD12" s="91">
        <f>'Вход и предположения'!$I$11</f>
        <v>0.5</v>
      </c>
      <c r="BE12" s="91">
        <f>'Вход и предположения'!$I$11</f>
        <v>0.5</v>
      </c>
      <c r="BF12" s="91">
        <f>'Вход и предположения'!$I$11</f>
        <v>0.5</v>
      </c>
      <c r="BG12" s="91">
        <f>'Вход и предположения'!$I$11</f>
        <v>0.5</v>
      </c>
      <c r="BH12" s="91">
        <f>'Вход и предположения'!$I$11</f>
        <v>0.5</v>
      </c>
      <c r="BI12" s="91">
        <f>'Вход и предположения'!$I$11</f>
        <v>0.5</v>
      </c>
      <c r="BJ12" s="91">
        <f>'Вход и предположения'!$I$11</f>
        <v>0.5</v>
      </c>
      <c r="BK12" s="91">
        <f>'Вход и предположения'!$I$11</f>
        <v>0.5</v>
      </c>
      <c r="BL12" s="91">
        <f>'Вход и предположения'!$I$11</f>
        <v>0.5</v>
      </c>
      <c r="BM12" s="91">
        <f>'Вход и предположения'!$I$11</f>
        <v>0.5</v>
      </c>
    </row>
    <row r="13" spans="1:73">
      <c r="C13" s="88" t="s">
        <v>112</v>
      </c>
      <c r="D13" s="90" t="s">
        <v>169</v>
      </c>
      <c r="E13" s="90"/>
      <c r="F13" s="93">
        <f>'Вход и предположения'!$E$15</f>
        <v>100</v>
      </c>
      <c r="G13" s="93">
        <f>'Вход и предположения'!$E$15</f>
        <v>100</v>
      </c>
      <c r="H13" s="93">
        <f>'Вход и предположения'!$E$15</f>
        <v>100</v>
      </c>
      <c r="I13" s="93">
        <f>'Вход и предположения'!$E$15</f>
        <v>100</v>
      </c>
      <c r="J13" s="93">
        <f>'Вход и предположения'!$E$15</f>
        <v>100</v>
      </c>
      <c r="K13" s="93">
        <f>'Вход и предположения'!$E$15</f>
        <v>100</v>
      </c>
      <c r="L13" s="93">
        <f>'Вход и предположения'!$E$15</f>
        <v>100</v>
      </c>
      <c r="M13" s="93">
        <f>'Вход и предположения'!$E$15</f>
        <v>100</v>
      </c>
      <c r="N13" s="93">
        <f>'Вход и предположения'!$E$15</f>
        <v>100</v>
      </c>
      <c r="O13" s="93">
        <f>'Вход и предположения'!$E$15</f>
        <v>100</v>
      </c>
      <c r="P13" s="93">
        <f>'Вход и предположения'!$E$15</f>
        <v>100</v>
      </c>
      <c r="Q13" s="93">
        <f>'Вход и предположения'!$E$15</f>
        <v>100</v>
      </c>
      <c r="R13" s="93">
        <f>'Вход и предположения'!$E$15</f>
        <v>100</v>
      </c>
      <c r="S13" s="93">
        <f>'Вход и предположения'!$E$15</f>
        <v>100</v>
      </c>
      <c r="T13" s="93">
        <f>'Вход и предположения'!$E$15</f>
        <v>100</v>
      </c>
      <c r="U13" s="93">
        <f>'Вход и предположения'!$E$15</f>
        <v>100</v>
      </c>
      <c r="V13" s="93">
        <f>'Вход и предположения'!$E$15</f>
        <v>100</v>
      </c>
      <c r="W13" s="93">
        <f>'Вход и предположения'!$E$15</f>
        <v>100</v>
      </c>
      <c r="X13" s="93">
        <f>'Вход и предположения'!$E$15</f>
        <v>100</v>
      </c>
      <c r="Y13" s="93">
        <f>'Вход и предположения'!$E$15</f>
        <v>100</v>
      </c>
      <c r="Z13" s="93">
        <f>'Вход и предположения'!$E$15</f>
        <v>100</v>
      </c>
      <c r="AA13" s="93">
        <f>'Вход и предположения'!$E$15</f>
        <v>100</v>
      </c>
      <c r="AB13" s="93">
        <f>'Вход и предположения'!$E$15</f>
        <v>100</v>
      </c>
      <c r="AC13" s="93">
        <f>'Вход и предположения'!$E$15</f>
        <v>100</v>
      </c>
      <c r="AD13" s="93">
        <f>'Вход и предположения'!$E$15</f>
        <v>100</v>
      </c>
      <c r="AE13" s="93">
        <f>'Вход и предположения'!$E$15</f>
        <v>100</v>
      </c>
      <c r="AF13" s="93">
        <f>'Вход и предположения'!$E$15</f>
        <v>100</v>
      </c>
      <c r="AG13" s="93">
        <f>'Вход и предположения'!$E$15</f>
        <v>100</v>
      </c>
      <c r="AH13" s="93">
        <f>'Вход и предположения'!$E$15</f>
        <v>100</v>
      </c>
      <c r="AI13" s="93">
        <f>'Вход и предположения'!$E$15</f>
        <v>100</v>
      </c>
      <c r="AJ13" s="93">
        <f>'Вход и предположения'!$E$15</f>
        <v>100</v>
      </c>
      <c r="AK13" s="93">
        <f>'Вход и предположения'!$E$15</f>
        <v>100</v>
      </c>
      <c r="AL13" s="93">
        <f>'Вход и предположения'!$E$15</f>
        <v>100</v>
      </c>
      <c r="AM13" s="93">
        <f>'Вход и предположения'!$E$15</f>
        <v>100</v>
      </c>
      <c r="AN13" s="93">
        <f>'Вход и предположения'!$E$15</f>
        <v>100</v>
      </c>
      <c r="AO13" s="93">
        <f>'Вход и предположения'!$E$15</f>
        <v>100</v>
      </c>
      <c r="AP13" s="93">
        <f>'Вход и предположения'!$E$15</f>
        <v>100</v>
      </c>
      <c r="AQ13" s="93">
        <f>'Вход и предположения'!$E$15</f>
        <v>100</v>
      </c>
      <c r="AR13" s="93">
        <f>'Вход и предположения'!$E$15</f>
        <v>100</v>
      </c>
      <c r="AS13" s="93">
        <f>'Вход и предположения'!$E$15</f>
        <v>100</v>
      </c>
      <c r="AT13" s="93">
        <f>'Вход и предположения'!$E$15</f>
        <v>100</v>
      </c>
      <c r="AU13" s="93">
        <f>'Вход и предположения'!$E$15</f>
        <v>100</v>
      </c>
      <c r="AV13" s="93">
        <f>'Вход и предположения'!$E$15</f>
        <v>100</v>
      </c>
      <c r="AW13" s="93">
        <f>'Вход и предположения'!$E$15</f>
        <v>100</v>
      </c>
      <c r="AX13" s="93">
        <f>'Вход и предположения'!$E$15</f>
        <v>100</v>
      </c>
      <c r="AY13" s="93">
        <f>'Вход и предположения'!$E$15</f>
        <v>100</v>
      </c>
      <c r="AZ13" s="93">
        <f>'Вход и предположения'!$E$15</f>
        <v>100</v>
      </c>
      <c r="BA13" s="93">
        <f>'Вход и предположения'!$E$15</f>
        <v>100</v>
      </c>
      <c r="BB13" s="93">
        <f>'Вход и предположения'!$E$15</f>
        <v>100</v>
      </c>
      <c r="BC13" s="93">
        <f>'Вход и предположения'!$E$15</f>
        <v>100</v>
      </c>
      <c r="BD13" s="93">
        <f>'Вход и предположения'!$E$15</f>
        <v>100</v>
      </c>
      <c r="BE13" s="93">
        <f>'Вход и предположения'!$E$15</f>
        <v>100</v>
      </c>
      <c r="BF13" s="93">
        <f>'Вход и предположения'!$E$15</f>
        <v>100</v>
      </c>
      <c r="BG13" s="93">
        <f>'Вход и предположения'!$E$15</f>
        <v>100</v>
      </c>
      <c r="BH13" s="93">
        <f>'Вход и предположения'!$E$15</f>
        <v>100</v>
      </c>
      <c r="BI13" s="93">
        <f>'Вход и предположения'!$E$15</f>
        <v>100</v>
      </c>
      <c r="BJ13" s="93">
        <f>'Вход и предположения'!$E$15</f>
        <v>100</v>
      </c>
      <c r="BK13" s="93">
        <f>'Вход и предположения'!$E$15</f>
        <v>100</v>
      </c>
      <c r="BL13" s="93">
        <f>'Вход и предположения'!$E$15</f>
        <v>100</v>
      </c>
      <c r="BM13" s="93">
        <f>'Вход и предположения'!$E$15</f>
        <v>100</v>
      </c>
    </row>
    <row r="14" spans="1:73">
      <c r="C14" s="88" t="s">
        <v>166</v>
      </c>
      <c r="D14" s="90" t="s">
        <v>169</v>
      </c>
      <c r="E14" s="90"/>
      <c r="F14" s="5">
        <f>F13*F6</f>
        <v>100</v>
      </c>
      <c r="G14" s="5">
        <f t="shared" ref="G14:BM14" si="4">G13*G6</f>
        <v>100</v>
      </c>
      <c r="H14" s="5">
        <f t="shared" si="4"/>
        <v>100</v>
      </c>
      <c r="I14" s="5">
        <f t="shared" si="4"/>
        <v>100</v>
      </c>
      <c r="J14" s="5">
        <f t="shared" si="4"/>
        <v>100</v>
      </c>
      <c r="K14" s="5">
        <f t="shared" si="4"/>
        <v>100</v>
      </c>
      <c r="L14" s="5">
        <f t="shared" si="4"/>
        <v>100</v>
      </c>
      <c r="M14" s="5">
        <f t="shared" si="4"/>
        <v>100</v>
      </c>
      <c r="N14" s="5">
        <f t="shared" si="4"/>
        <v>100</v>
      </c>
      <c r="O14" s="5">
        <f t="shared" si="4"/>
        <v>100</v>
      </c>
      <c r="P14" s="5">
        <f t="shared" si="4"/>
        <v>100</v>
      </c>
      <c r="Q14" s="5">
        <f t="shared" si="4"/>
        <v>100</v>
      </c>
      <c r="R14" s="5">
        <f t="shared" si="4"/>
        <v>100.33333333333334</v>
      </c>
      <c r="S14" s="5">
        <f t="shared" si="4"/>
        <v>100.6677777777778</v>
      </c>
      <c r="T14" s="5">
        <f t="shared" si="4"/>
        <v>101.00333703703708</v>
      </c>
      <c r="U14" s="5">
        <f t="shared" si="4"/>
        <v>101.34001482716056</v>
      </c>
      <c r="V14" s="5">
        <f t="shared" si="4"/>
        <v>101.67781487658442</v>
      </c>
      <c r="W14" s="5">
        <f t="shared" si="4"/>
        <v>102.01674092617306</v>
      </c>
      <c r="X14" s="5">
        <f t="shared" si="4"/>
        <v>102.3567967292603</v>
      </c>
      <c r="Y14" s="5">
        <f t="shared" si="4"/>
        <v>102.69798605169117</v>
      </c>
      <c r="Z14" s="5">
        <f t="shared" si="4"/>
        <v>103.04031267186349</v>
      </c>
      <c r="AA14" s="5">
        <f t="shared" si="4"/>
        <v>103.38378038076969</v>
      </c>
      <c r="AB14" s="5">
        <f t="shared" si="4"/>
        <v>103.72839298203893</v>
      </c>
      <c r="AC14" s="5">
        <f t="shared" si="4"/>
        <v>104.07415429197906</v>
      </c>
      <c r="AD14" s="5">
        <f t="shared" si="4"/>
        <v>104.421068139619</v>
      </c>
      <c r="AE14" s="5">
        <f t="shared" si="4"/>
        <v>104.76913836675108</v>
      </c>
      <c r="AF14" s="5">
        <f t="shared" si="4"/>
        <v>105.11836882797358</v>
      </c>
      <c r="AG14" s="5">
        <f t="shared" si="4"/>
        <v>105.4687633907335</v>
      </c>
      <c r="AH14" s="5">
        <f t="shared" si="4"/>
        <v>105.8203259353693</v>
      </c>
      <c r="AI14" s="5">
        <f t="shared" si="4"/>
        <v>106.17306035515386</v>
      </c>
      <c r="AJ14" s="5">
        <f t="shared" si="4"/>
        <v>106.5269705563377</v>
      </c>
      <c r="AK14" s="5">
        <f t="shared" si="4"/>
        <v>106.88206045819217</v>
      </c>
      <c r="AL14" s="5">
        <f t="shared" si="4"/>
        <v>107.23833399305282</v>
      </c>
      <c r="AM14" s="5">
        <f t="shared" si="4"/>
        <v>107.59579510636301</v>
      </c>
      <c r="AN14" s="5">
        <f t="shared" si="4"/>
        <v>107.95444775671757</v>
      </c>
      <c r="AO14" s="5">
        <f t="shared" si="4"/>
        <v>108.31429591590663</v>
      </c>
      <c r="AP14" s="5">
        <f t="shared" si="4"/>
        <v>108.67534356895965</v>
      </c>
      <c r="AQ14" s="5">
        <f t="shared" si="4"/>
        <v>109.03759471418952</v>
      </c>
      <c r="AR14" s="5">
        <f t="shared" si="4"/>
        <v>109.40105336323683</v>
      </c>
      <c r="AS14" s="5">
        <f t="shared" si="4"/>
        <v>109.76572354111428</v>
      </c>
      <c r="AT14" s="5">
        <f t="shared" si="4"/>
        <v>110.13160928625135</v>
      </c>
      <c r="AU14" s="5">
        <f t="shared" si="4"/>
        <v>110.49871465053886</v>
      </c>
      <c r="AV14" s="5">
        <f t="shared" si="4"/>
        <v>110.86704369937401</v>
      </c>
      <c r="AW14" s="5">
        <f t="shared" si="4"/>
        <v>111.23660051170528</v>
      </c>
      <c r="AX14" s="5">
        <f t="shared" si="4"/>
        <v>111.60738918007765</v>
      </c>
      <c r="AY14" s="5">
        <f t="shared" si="4"/>
        <v>111.97941381067791</v>
      </c>
      <c r="AZ14" s="5">
        <f t="shared" si="4"/>
        <v>112.35267852338018</v>
      </c>
      <c r="BA14" s="5">
        <f t="shared" si="4"/>
        <v>112.72718745179145</v>
      </c>
      <c r="BB14" s="5">
        <f t="shared" si="4"/>
        <v>113.10294474329743</v>
      </c>
      <c r="BC14" s="5">
        <f t="shared" si="4"/>
        <v>113.47995455910842</v>
      </c>
      <c r="BD14" s="5">
        <f t="shared" si="4"/>
        <v>113.85822107430545</v>
      </c>
      <c r="BE14" s="5">
        <f t="shared" si="4"/>
        <v>114.23774847788648</v>
      </c>
      <c r="BF14" s="5">
        <f t="shared" si="4"/>
        <v>114.61854097281278</v>
      </c>
      <c r="BG14" s="5">
        <f t="shared" si="4"/>
        <v>115.0006027760555</v>
      </c>
      <c r="BH14" s="5">
        <f t="shared" si="4"/>
        <v>115.38393811864236</v>
      </c>
      <c r="BI14" s="5">
        <f t="shared" si="4"/>
        <v>115.76855124570451</v>
      </c>
      <c r="BJ14" s="5">
        <f t="shared" si="4"/>
        <v>116.15444641652353</v>
      </c>
      <c r="BK14" s="5">
        <f t="shared" si="4"/>
        <v>116.5416279045786</v>
      </c>
      <c r="BL14" s="5">
        <f t="shared" si="4"/>
        <v>116.93009999759387</v>
      </c>
      <c r="BM14" s="5">
        <f t="shared" si="4"/>
        <v>117.31986699758585</v>
      </c>
    </row>
    <row r="15" spans="1:73">
      <c r="C15" s="73" t="s">
        <v>167</v>
      </c>
      <c r="D15" s="74" t="s">
        <v>168</v>
      </c>
      <c r="E15" s="74"/>
      <c r="F15" s="3">
        <f>F7*F12</f>
        <v>144</v>
      </c>
      <c r="G15" s="3">
        <f t="shared" ref="G15:BM15" si="5">G7*G12</f>
        <v>216</v>
      </c>
      <c r="H15" s="3">
        <f t="shared" si="5"/>
        <v>251.99999999999997</v>
      </c>
      <c r="I15" s="3">
        <f t="shared" si="5"/>
        <v>288</v>
      </c>
      <c r="J15" s="3">
        <f t="shared" si="5"/>
        <v>288</v>
      </c>
      <c r="K15" s="3">
        <f t="shared" si="5"/>
        <v>288</v>
      </c>
      <c r="L15" s="3">
        <f t="shared" si="5"/>
        <v>288</v>
      </c>
      <c r="M15" s="3">
        <f t="shared" si="5"/>
        <v>288</v>
      </c>
      <c r="N15" s="3">
        <f t="shared" si="5"/>
        <v>288</v>
      </c>
      <c r="O15" s="3">
        <f t="shared" si="5"/>
        <v>288</v>
      </c>
      <c r="P15" s="3">
        <f t="shared" si="5"/>
        <v>288</v>
      </c>
      <c r="Q15" s="3">
        <f t="shared" si="5"/>
        <v>288</v>
      </c>
      <c r="R15" s="3">
        <f t="shared" si="5"/>
        <v>360</v>
      </c>
      <c r="S15" s="3">
        <f t="shared" si="5"/>
        <v>360</v>
      </c>
      <c r="T15" s="3">
        <f t="shared" si="5"/>
        <v>360</v>
      </c>
      <c r="U15" s="3">
        <f t="shared" si="5"/>
        <v>360</v>
      </c>
      <c r="V15" s="3">
        <f t="shared" si="5"/>
        <v>360</v>
      </c>
      <c r="W15" s="3">
        <f t="shared" si="5"/>
        <v>360</v>
      </c>
      <c r="X15" s="3">
        <f t="shared" si="5"/>
        <v>360</v>
      </c>
      <c r="Y15" s="3">
        <f t="shared" si="5"/>
        <v>360</v>
      </c>
      <c r="Z15" s="3">
        <f t="shared" si="5"/>
        <v>360</v>
      </c>
      <c r="AA15" s="3">
        <f t="shared" si="5"/>
        <v>360</v>
      </c>
      <c r="AB15" s="3">
        <f t="shared" si="5"/>
        <v>360</v>
      </c>
      <c r="AC15" s="3">
        <f t="shared" si="5"/>
        <v>360</v>
      </c>
      <c r="AD15" s="3">
        <f t="shared" si="5"/>
        <v>360</v>
      </c>
      <c r="AE15" s="3">
        <f t="shared" si="5"/>
        <v>360</v>
      </c>
      <c r="AF15" s="3">
        <f t="shared" si="5"/>
        <v>360</v>
      </c>
      <c r="AG15" s="3">
        <f t="shared" si="5"/>
        <v>360</v>
      </c>
      <c r="AH15" s="3">
        <f t="shared" si="5"/>
        <v>360</v>
      </c>
      <c r="AI15" s="3">
        <f t="shared" si="5"/>
        <v>360</v>
      </c>
      <c r="AJ15" s="3">
        <f t="shared" si="5"/>
        <v>360</v>
      </c>
      <c r="AK15" s="3">
        <f t="shared" si="5"/>
        <v>360</v>
      </c>
      <c r="AL15" s="3">
        <f t="shared" si="5"/>
        <v>360</v>
      </c>
      <c r="AM15" s="3">
        <f t="shared" si="5"/>
        <v>360</v>
      </c>
      <c r="AN15" s="3">
        <f t="shared" si="5"/>
        <v>360</v>
      </c>
      <c r="AO15" s="3">
        <f t="shared" si="5"/>
        <v>360</v>
      </c>
      <c r="AP15" s="3">
        <f t="shared" si="5"/>
        <v>360</v>
      </c>
      <c r="AQ15" s="3">
        <f t="shared" si="5"/>
        <v>360</v>
      </c>
      <c r="AR15" s="3">
        <f t="shared" si="5"/>
        <v>360</v>
      </c>
      <c r="AS15" s="3">
        <f t="shared" si="5"/>
        <v>360</v>
      </c>
      <c r="AT15" s="3">
        <f t="shared" si="5"/>
        <v>360</v>
      </c>
      <c r="AU15" s="3">
        <f t="shared" si="5"/>
        <v>360</v>
      </c>
      <c r="AV15" s="3">
        <f t="shared" si="5"/>
        <v>360</v>
      </c>
      <c r="AW15" s="3">
        <f t="shared" si="5"/>
        <v>360</v>
      </c>
      <c r="AX15" s="3">
        <f t="shared" si="5"/>
        <v>360</v>
      </c>
      <c r="AY15" s="3">
        <f t="shared" si="5"/>
        <v>360</v>
      </c>
      <c r="AZ15" s="3">
        <f t="shared" si="5"/>
        <v>360</v>
      </c>
      <c r="BA15" s="3">
        <f t="shared" si="5"/>
        <v>360</v>
      </c>
      <c r="BB15" s="3">
        <f t="shared" si="5"/>
        <v>360</v>
      </c>
      <c r="BC15" s="3">
        <f t="shared" si="5"/>
        <v>360</v>
      </c>
      <c r="BD15" s="3">
        <f t="shared" si="5"/>
        <v>360</v>
      </c>
      <c r="BE15" s="3">
        <f t="shared" si="5"/>
        <v>360</v>
      </c>
      <c r="BF15" s="3">
        <f t="shared" si="5"/>
        <v>360</v>
      </c>
      <c r="BG15" s="3">
        <f t="shared" si="5"/>
        <v>360</v>
      </c>
      <c r="BH15" s="3">
        <f t="shared" si="5"/>
        <v>360</v>
      </c>
      <c r="BI15" s="3">
        <f t="shared" si="5"/>
        <v>360</v>
      </c>
      <c r="BJ15" s="3">
        <f t="shared" si="5"/>
        <v>360</v>
      </c>
      <c r="BK15" s="3">
        <f t="shared" si="5"/>
        <v>360</v>
      </c>
      <c r="BL15" s="3">
        <f t="shared" si="5"/>
        <v>360</v>
      </c>
      <c r="BM15" s="3">
        <f t="shared" si="5"/>
        <v>360</v>
      </c>
    </row>
    <row r="16" spans="1:73">
      <c r="D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95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95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95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95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</row>
    <row r="17" spans="1:73">
      <c r="A17" s="96"/>
      <c r="B17" s="96"/>
      <c r="C17" s="87" t="s">
        <v>170</v>
      </c>
      <c r="D17" s="89"/>
      <c r="E17" s="89"/>
      <c r="F17" s="107">
        <f>F18*F21*F22</f>
        <v>79200</v>
      </c>
      <c r="G17" s="107">
        <f t="shared" ref="G17:BM17" si="6">G18*G21*G22</f>
        <v>118800</v>
      </c>
      <c r="H17" s="107">
        <f t="shared" si="6"/>
        <v>138599.99999999997</v>
      </c>
      <c r="I17" s="107">
        <f t="shared" si="6"/>
        <v>158400</v>
      </c>
      <c r="J17" s="107">
        <f t="shared" si="6"/>
        <v>158400</v>
      </c>
      <c r="K17" s="107">
        <f t="shared" si="6"/>
        <v>158400</v>
      </c>
      <c r="L17" s="107">
        <f t="shared" si="6"/>
        <v>158400</v>
      </c>
      <c r="M17" s="107">
        <f t="shared" si="6"/>
        <v>158400</v>
      </c>
      <c r="N17" s="107">
        <f t="shared" si="6"/>
        <v>158400</v>
      </c>
      <c r="O17" s="107">
        <f t="shared" si="6"/>
        <v>158400</v>
      </c>
      <c r="P17" s="107">
        <f t="shared" si="6"/>
        <v>158400</v>
      </c>
      <c r="Q17" s="107">
        <f t="shared" si="6"/>
        <v>158400</v>
      </c>
      <c r="R17" s="107">
        <f t="shared" si="6"/>
        <v>198660</v>
      </c>
      <c r="S17" s="107">
        <f t="shared" si="6"/>
        <v>199322.2</v>
      </c>
      <c r="T17" s="107">
        <f t="shared" si="6"/>
        <v>199986.60733333344</v>
      </c>
      <c r="U17" s="107">
        <f t="shared" si="6"/>
        <v>200653.22935777789</v>
      </c>
      <c r="V17" s="107">
        <f t="shared" si="6"/>
        <v>201322.07345563718</v>
      </c>
      <c r="W17" s="107">
        <f t="shared" si="6"/>
        <v>201993.14703382266</v>
      </c>
      <c r="X17" s="107">
        <f t="shared" si="6"/>
        <v>202666.45752393542</v>
      </c>
      <c r="Y17" s="107">
        <f t="shared" si="6"/>
        <v>203342.01238234853</v>
      </c>
      <c r="Z17" s="107">
        <f t="shared" si="6"/>
        <v>204019.81909028967</v>
      </c>
      <c r="AA17" s="107">
        <f t="shared" si="6"/>
        <v>204699.88515392397</v>
      </c>
      <c r="AB17" s="107">
        <f t="shared" si="6"/>
        <v>205382.21810443711</v>
      </c>
      <c r="AC17" s="107">
        <f t="shared" si="6"/>
        <v>206066.82549811856</v>
      </c>
      <c r="AD17" s="107">
        <f t="shared" si="6"/>
        <v>206753.71491644561</v>
      </c>
      <c r="AE17" s="107">
        <f t="shared" si="6"/>
        <v>207442.89396616715</v>
      </c>
      <c r="AF17" s="107">
        <f t="shared" si="6"/>
        <v>208134.37027938766</v>
      </c>
      <c r="AG17" s="107">
        <f t="shared" si="6"/>
        <v>208828.15151365232</v>
      </c>
      <c r="AH17" s="107">
        <f t="shared" si="6"/>
        <v>209524.24535203123</v>
      </c>
      <c r="AI17" s="107">
        <f t="shared" si="6"/>
        <v>210222.65950320466</v>
      </c>
      <c r="AJ17" s="107">
        <f t="shared" si="6"/>
        <v>210923.40170154869</v>
      </c>
      <c r="AK17" s="107">
        <f t="shared" si="6"/>
        <v>211626.47970722051</v>
      </c>
      <c r="AL17" s="107">
        <f t="shared" si="6"/>
        <v>212331.9013062446</v>
      </c>
      <c r="AM17" s="107">
        <f t="shared" si="6"/>
        <v>213039.67431059878</v>
      </c>
      <c r="AN17" s="107">
        <f t="shared" si="6"/>
        <v>213749.80655830077</v>
      </c>
      <c r="AO17" s="107">
        <f t="shared" si="6"/>
        <v>214462.3059134951</v>
      </c>
      <c r="AP17" s="107">
        <f t="shared" si="6"/>
        <v>215177.18026654009</v>
      </c>
      <c r="AQ17" s="107">
        <f t="shared" si="6"/>
        <v>215894.43753409525</v>
      </c>
      <c r="AR17" s="107">
        <f t="shared" si="6"/>
        <v>216614.08565920894</v>
      </c>
      <c r="AS17" s="107">
        <f t="shared" si="6"/>
        <v>217336.1326114063</v>
      </c>
      <c r="AT17" s="107">
        <f t="shared" si="6"/>
        <v>218060.58638677764</v>
      </c>
      <c r="AU17" s="107">
        <f t="shared" si="6"/>
        <v>218787.45500806696</v>
      </c>
      <c r="AV17" s="107">
        <f t="shared" si="6"/>
        <v>219516.74652476053</v>
      </c>
      <c r="AW17" s="107">
        <f t="shared" si="6"/>
        <v>220248.46901317645</v>
      </c>
      <c r="AX17" s="107">
        <f t="shared" si="6"/>
        <v>220982.63057655375</v>
      </c>
      <c r="AY17" s="107">
        <f t="shared" si="6"/>
        <v>221719.23934514227</v>
      </c>
      <c r="AZ17" s="107">
        <f t="shared" si="6"/>
        <v>222458.30347629273</v>
      </c>
      <c r="BA17" s="107">
        <f t="shared" si="6"/>
        <v>223199.83115454708</v>
      </c>
      <c r="BB17" s="107">
        <f t="shared" si="6"/>
        <v>223943.83059172891</v>
      </c>
      <c r="BC17" s="107">
        <f t="shared" si="6"/>
        <v>224690.31002703469</v>
      </c>
      <c r="BD17" s="107">
        <f t="shared" si="6"/>
        <v>225439.27772712483</v>
      </c>
      <c r="BE17" s="107">
        <f t="shared" si="6"/>
        <v>226190.74198621523</v>
      </c>
      <c r="BF17" s="107">
        <f t="shared" si="6"/>
        <v>226944.71112616934</v>
      </c>
      <c r="BG17" s="107">
        <f t="shared" si="6"/>
        <v>227701.1934965899</v>
      </c>
      <c r="BH17" s="107">
        <f t="shared" si="6"/>
        <v>228460.1974749119</v>
      </c>
      <c r="BI17" s="107">
        <f t="shared" si="6"/>
        <v>229221.73146649494</v>
      </c>
      <c r="BJ17" s="107">
        <f t="shared" si="6"/>
        <v>229985.80390471659</v>
      </c>
      <c r="BK17" s="107">
        <f t="shared" si="6"/>
        <v>230752.42325106566</v>
      </c>
      <c r="BL17" s="107">
        <f t="shared" si="6"/>
        <v>231521.59799523585</v>
      </c>
      <c r="BM17" s="107">
        <f t="shared" si="6"/>
        <v>232293.33665521996</v>
      </c>
      <c r="BO17" s="94">
        <f t="shared" ref="BO17:BO68" si="7">SUM(F17:BM17)</f>
        <v>12084494.333221002</v>
      </c>
      <c r="BP17" s="94">
        <f t="shared" ref="BP17:BP71" si="8">SUM(F17:Q17)</f>
        <v>1762200</v>
      </c>
      <c r="BQ17" s="94">
        <f t="shared" ref="BQ17:BQ71" si="9">SUM(R17:AC17)</f>
        <v>2428114.4749336243</v>
      </c>
      <c r="BR17" s="94">
        <f t="shared" ref="BR17:BR71" si="10">SUM(AD17:AO17)</f>
        <v>2527039.6050282968</v>
      </c>
      <c r="BS17" s="94">
        <f t="shared" ref="BS17:BS71" si="11">SUM(AP17:BA17)</f>
        <v>2629995.0975565678</v>
      </c>
      <c r="BT17" s="94">
        <f t="shared" ref="BT17:BT71" si="12">SUM(BB17:BM17)</f>
        <v>2737145.1557025081</v>
      </c>
      <c r="BU17" s="94">
        <f t="shared" ref="BU17:BU71" si="13">SUM(BP17:BT17)</f>
        <v>12084494.333220996</v>
      </c>
    </row>
    <row r="18" spans="1:73">
      <c r="A18" s="97"/>
      <c r="B18" s="97"/>
      <c r="C18" s="88" t="s">
        <v>165</v>
      </c>
      <c r="D18" s="90" t="s">
        <v>99</v>
      </c>
      <c r="E18" s="90"/>
      <c r="F18" s="100">
        <f>'Вход и предположения'!$E$5</f>
        <v>5</v>
      </c>
      <c r="G18" s="100">
        <f>'Вход и предположения'!$E$5</f>
        <v>5</v>
      </c>
      <c r="H18" s="100">
        <f>'Вход и предположения'!$E$5</f>
        <v>5</v>
      </c>
      <c r="I18" s="100">
        <f>'Вход и предположения'!$E$5</f>
        <v>5</v>
      </c>
      <c r="J18" s="100">
        <f>'Вход и предположения'!$E$5</f>
        <v>5</v>
      </c>
      <c r="K18" s="100">
        <f>'Вход и предположения'!$E$5</f>
        <v>5</v>
      </c>
      <c r="L18" s="100">
        <f>'Вход и предположения'!$E$5</f>
        <v>5</v>
      </c>
      <c r="M18" s="100">
        <f>'Вход и предположения'!$E$5</f>
        <v>5</v>
      </c>
      <c r="N18" s="100">
        <f>'Вход и предположения'!$E$5</f>
        <v>5</v>
      </c>
      <c r="O18" s="100">
        <f>'Вход и предположения'!$E$5</f>
        <v>5</v>
      </c>
      <c r="P18" s="100">
        <f>'Вход и предположения'!$E$5</f>
        <v>5</v>
      </c>
      <c r="Q18" s="100">
        <f>'Вход и предположения'!$E$5</f>
        <v>5</v>
      </c>
      <c r="R18" s="100">
        <f>'Вход и предположения'!$E$5</f>
        <v>5</v>
      </c>
      <c r="S18" s="100">
        <f>'Вход и предположения'!$E$5</f>
        <v>5</v>
      </c>
      <c r="T18" s="100">
        <f>'Вход и предположения'!$E$5</f>
        <v>5</v>
      </c>
      <c r="U18" s="100">
        <f>'Вход и предположения'!$E$5</f>
        <v>5</v>
      </c>
      <c r="V18" s="100">
        <f>'Вход и предположения'!$E$5</f>
        <v>5</v>
      </c>
      <c r="W18" s="100">
        <f>'Вход и предположения'!$E$5</f>
        <v>5</v>
      </c>
      <c r="X18" s="100">
        <f>'Вход и предположения'!$E$5</f>
        <v>5</v>
      </c>
      <c r="Y18" s="100">
        <f>'Вход и предположения'!$E$5</f>
        <v>5</v>
      </c>
      <c r="Z18" s="100">
        <f>'Вход и предположения'!$E$5</f>
        <v>5</v>
      </c>
      <c r="AA18" s="100">
        <f>'Вход и предположения'!$E$5</f>
        <v>5</v>
      </c>
      <c r="AB18" s="100">
        <f>'Вход и предположения'!$E$5</f>
        <v>5</v>
      </c>
      <c r="AC18" s="100">
        <f>'Вход и предположения'!$E$5</f>
        <v>5</v>
      </c>
      <c r="AD18" s="100">
        <f>'Вход и предположения'!$E$5</f>
        <v>5</v>
      </c>
      <c r="AE18" s="100">
        <f>'Вход и предположения'!$E$5</f>
        <v>5</v>
      </c>
      <c r="AF18" s="100">
        <f>'Вход и предположения'!$E$5</f>
        <v>5</v>
      </c>
      <c r="AG18" s="100">
        <f>'Вход и предположения'!$E$5</f>
        <v>5</v>
      </c>
      <c r="AH18" s="100">
        <f>'Вход и предположения'!$E$5</f>
        <v>5</v>
      </c>
      <c r="AI18" s="100">
        <f>'Вход и предположения'!$E$5</f>
        <v>5</v>
      </c>
      <c r="AJ18" s="100">
        <f>'Вход и предположения'!$E$5</f>
        <v>5</v>
      </c>
      <c r="AK18" s="100">
        <f>'Вход и предположения'!$E$5</f>
        <v>5</v>
      </c>
      <c r="AL18" s="100">
        <f>'Вход и предположения'!$E$5</f>
        <v>5</v>
      </c>
      <c r="AM18" s="100">
        <f>'Вход и предположения'!$E$5</f>
        <v>5</v>
      </c>
      <c r="AN18" s="100">
        <f>'Вход и предположения'!$E$5</f>
        <v>5</v>
      </c>
      <c r="AO18" s="100">
        <f>'Вход и предположения'!$E$5</f>
        <v>5</v>
      </c>
      <c r="AP18" s="100">
        <f>'Вход и предположения'!$E$5</f>
        <v>5</v>
      </c>
      <c r="AQ18" s="100">
        <f>'Вход и предположения'!$E$5</f>
        <v>5</v>
      </c>
      <c r="AR18" s="100">
        <f>'Вход и предположения'!$E$5</f>
        <v>5</v>
      </c>
      <c r="AS18" s="100">
        <f>'Вход и предположения'!$E$5</f>
        <v>5</v>
      </c>
      <c r="AT18" s="100">
        <f>'Вход и предположения'!$E$5</f>
        <v>5</v>
      </c>
      <c r="AU18" s="100">
        <f>'Вход и предположения'!$E$5</f>
        <v>5</v>
      </c>
      <c r="AV18" s="100">
        <f>'Вход и предположения'!$E$5</f>
        <v>5</v>
      </c>
      <c r="AW18" s="100">
        <f>'Вход и предположения'!$E$5</f>
        <v>5</v>
      </c>
      <c r="AX18" s="100">
        <f>'Вход и предположения'!$E$5</f>
        <v>5</v>
      </c>
      <c r="AY18" s="100">
        <f>'Вход и предположения'!$E$5</f>
        <v>5</v>
      </c>
      <c r="AZ18" s="100">
        <f>'Вход и предположения'!$E$5</f>
        <v>5</v>
      </c>
      <c r="BA18" s="100">
        <f>'Вход и предположения'!$E$5</f>
        <v>5</v>
      </c>
      <c r="BB18" s="100">
        <f>'Вход и предположения'!$E$5</f>
        <v>5</v>
      </c>
      <c r="BC18" s="100">
        <f>'Вход и предположения'!$E$5</f>
        <v>5</v>
      </c>
      <c r="BD18" s="100">
        <f>'Вход и предположения'!$E$5</f>
        <v>5</v>
      </c>
      <c r="BE18" s="100">
        <f>'Вход и предположения'!$E$5</f>
        <v>5</v>
      </c>
      <c r="BF18" s="100">
        <f>'Вход и предположения'!$E$5</f>
        <v>5</v>
      </c>
      <c r="BG18" s="100">
        <f>'Вход и предположения'!$E$5</f>
        <v>5</v>
      </c>
      <c r="BH18" s="100">
        <f>'Вход и предположения'!$E$5</f>
        <v>5</v>
      </c>
      <c r="BI18" s="100">
        <f>'Вход и предположения'!$E$5</f>
        <v>5</v>
      </c>
      <c r="BJ18" s="100">
        <f>'Вход и предположения'!$E$5</f>
        <v>5</v>
      </c>
      <c r="BK18" s="100">
        <f>'Вход и предположения'!$E$5</f>
        <v>5</v>
      </c>
      <c r="BL18" s="100">
        <f>'Вход и предположения'!$E$5</f>
        <v>5</v>
      </c>
      <c r="BM18" s="100">
        <f>'Вход и предположения'!$E$5</f>
        <v>5</v>
      </c>
    </row>
    <row r="19" spans="1:73">
      <c r="A19" s="97"/>
      <c r="B19" s="97"/>
      <c r="C19" s="88" t="s">
        <v>108</v>
      </c>
      <c r="D19" s="90" t="s">
        <v>109</v>
      </c>
      <c r="E19" s="90"/>
      <c r="F19" s="101">
        <v>0.2</v>
      </c>
      <c r="G19" s="101">
        <v>0.3</v>
      </c>
      <c r="H19" s="101">
        <v>0.35</v>
      </c>
      <c r="I19" s="101">
        <f>'Вход и предположения'!$E$12</f>
        <v>0.4</v>
      </c>
      <c r="J19" s="101">
        <f>'Вход и предположения'!$E$12</f>
        <v>0.4</v>
      </c>
      <c r="K19" s="101">
        <f>'Вход и предположения'!$E$12</f>
        <v>0.4</v>
      </c>
      <c r="L19" s="101">
        <f>'Вход и предположения'!$E$12</f>
        <v>0.4</v>
      </c>
      <c r="M19" s="101">
        <f>'Вход и предположения'!$E$12</f>
        <v>0.4</v>
      </c>
      <c r="N19" s="101">
        <f>'Вход и предположения'!$E$12</f>
        <v>0.4</v>
      </c>
      <c r="O19" s="101">
        <f>'Вход и предположения'!$E$12</f>
        <v>0.4</v>
      </c>
      <c r="P19" s="101">
        <f>'Вход и предположения'!$E$12</f>
        <v>0.4</v>
      </c>
      <c r="Q19" s="101">
        <f>'Вход и предположения'!$E$12</f>
        <v>0.4</v>
      </c>
      <c r="R19" s="101">
        <f>'Вход и предположения'!$F$12</f>
        <v>0.5</v>
      </c>
      <c r="S19" s="101">
        <f>'Вход и предположения'!$F$12</f>
        <v>0.5</v>
      </c>
      <c r="T19" s="101">
        <f>'Вход и предположения'!$F$12</f>
        <v>0.5</v>
      </c>
      <c r="U19" s="101">
        <f>'Вход и предположения'!$F$12</f>
        <v>0.5</v>
      </c>
      <c r="V19" s="101">
        <f>'Вход и предположения'!$F$12</f>
        <v>0.5</v>
      </c>
      <c r="W19" s="101">
        <f>'Вход и предположения'!$F$12</f>
        <v>0.5</v>
      </c>
      <c r="X19" s="101">
        <f>'Вход и предположения'!$F$12</f>
        <v>0.5</v>
      </c>
      <c r="Y19" s="101">
        <f>'Вход и предположения'!$F$12</f>
        <v>0.5</v>
      </c>
      <c r="Z19" s="101">
        <f>'Вход и предположения'!$F$12</f>
        <v>0.5</v>
      </c>
      <c r="AA19" s="101">
        <f>'Вход и предположения'!$F$12</f>
        <v>0.5</v>
      </c>
      <c r="AB19" s="101">
        <f>'Вход и предположения'!$F$12</f>
        <v>0.5</v>
      </c>
      <c r="AC19" s="101">
        <f>'Вход и предположения'!$F$12</f>
        <v>0.5</v>
      </c>
      <c r="AD19" s="101">
        <f>'Вход и предположения'!$G$12</f>
        <v>0.5</v>
      </c>
      <c r="AE19" s="101">
        <f>'Вход и предположения'!$G$12</f>
        <v>0.5</v>
      </c>
      <c r="AF19" s="101">
        <f>'Вход и предположения'!$G$12</f>
        <v>0.5</v>
      </c>
      <c r="AG19" s="101">
        <f>'Вход и предположения'!$G$12</f>
        <v>0.5</v>
      </c>
      <c r="AH19" s="101">
        <f>'Вход и предположения'!$G$12</f>
        <v>0.5</v>
      </c>
      <c r="AI19" s="101">
        <f>'Вход и предположения'!$G$12</f>
        <v>0.5</v>
      </c>
      <c r="AJ19" s="101">
        <f>'Вход и предположения'!$G$12</f>
        <v>0.5</v>
      </c>
      <c r="AK19" s="101">
        <f>'Вход и предположения'!$G$12</f>
        <v>0.5</v>
      </c>
      <c r="AL19" s="101">
        <f>'Вход и предположения'!$G$12</f>
        <v>0.5</v>
      </c>
      <c r="AM19" s="101">
        <f>'Вход и предположения'!$G$12</f>
        <v>0.5</v>
      </c>
      <c r="AN19" s="101">
        <f>'Вход и предположения'!$G$12</f>
        <v>0.5</v>
      </c>
      <c r="AO19" s="101">
        <f>'Вход и предположения'!$G$12</f>
        <v>0.5</v>
      </c>
      <c r="AP19" s="101">
        <f>'Вход и предположения'!$H$12</f>
        <v>0.5</v>
      </c>
      <c r="AQ19" s="101">
        <f>'Вход и предположения'!$H$12</f>
        <v>0.5</v>
      </c>
      <c r="AR19" s="101">
        <f>'Вход и предположения'!$H$12</f>
        <v>0.5</v>
      </c>
      <c r="AS19" s="101">
        <f>'Вход и предположения'!$H$12</f>
        <v>0.5</v>
      </c>
      <c r="AT19" s="101">
        <f>'Вход и предположения'!$H$12</f>
        <v>0.5</v>
      </c>
      <c r="AU19" s="101">
        <f>'Вход и предположения'!$H$12</f>
        <v>0.5</v>
      </c>
      <c r="AV19" s="101">
        <f>'Вход и предположения'!$H$12</f>
        <v>0.5</v>
      </c>
      <c r="AW19" s="101">
        <f>'Вход и предположения'!$H$12</f>
        <v>0.5</v>
      </c>
      <c r="AX19" s="101">
        <f>'Вход и предположения'!$H$12</f>
        <v>0.5</v>
      </c>
      <c r="AY19" s="101">
        <f>'Вход и предположения'!$H$12</f>
        <v>0.5</v>
      </c>
      <c r="AZ19" s="101">
        <f>'Вход и предположения'!$H$12</f>
        <v>0.5</v>
      </c>
      <c r="BA19" s="101">
        <f>'Вход и предположения'!$H$12</f>
        <v>0.5</v>
      </c>
      <c r="BB19" s="101">
        <f>'Вход и предположения'!$I$12</f>
        <v>0.5</v>
      </c>
      <c r="BC19" s="101">
        <f>'Вход и предположения'!$I$12</f>
        <v>0.5</v>
      </c>
      <c r="BD19" s="101">
        <f>'Вход и предположения'!$I$12</f>
        <v>0.5</v>
      </c>
      <c r="BE19" s="101">
        <f>'Вход и предположения'!$I$12</f>
        <v>0.5</v>
      </c>
      <c r="BF19" s="101">
        <f>'Вход и предположения'!$I$12</f>
        <v>0.5</v>
      </c>
      <c r="BG19" s="101">
        <f>'Вход и предположения'!$I$12</f>
        <v>0.5</v>
      </c>
      <c r="BH19" s="101">
        <f>'Вход и предположения'!$I$12</f>
        <v>0.5</v>
      </c>
      <c r="BI19" s="101">
        <f>'Вход и предположения'!$I$12</f>
        <v>0.5</v>
      </c>
      <c r="BJ19" s="101">
        <f>'Вход и предположения'!$I$12</f>
        <v>0.5</v>
      </c>
      <c r="BK19" s="101">
        <f>'Вход и предположения'!$I$12</f>
        <v>0.5</v>
      </c>
      <c r="BL19" s="101">
        <f>'Вход и предположения'!$I$12</f>
        <v>0.5</v>
      </c>
      <c r="BM19" s="101">
        <f>'Вход и предположения'!$I$12</f>
        <v>0.5</v>
      </c>
    </row>
    <row r="20" spans="1:73">
      <c r="A20" s="97"/>
      <c r="B20" s="97"/>
      <c r="C20" s="88" t="s">
        <v>112</v>
      </c>
      <c r="D20" s="98" t="s">
        <v>169</v>
      </c>
      <c r="E20" s="90"/>
      <c r="F20" s="106">
        <f>'Вход и предположения'!$E$16</f>
        <v>110</v>
      </c>
      <c r="G20" s="106">
        <f>'Вход и предположения'!$E$16</f>
        <v>110</v>
      </c>
      <c r="H20" s="106">
        <f>'Вход и предположения'!$E$16</f>
        <v>110</v>
      </c>
      <c r="I20" s="106">
        <f>'Вход и предположения'!$E$16</f>
        <v>110</v>
      </c>
      <c r="J20" s="106">
        <f>'Вход и предположения'!$E$16</f>
        <v>110</v>
      </c>
      <c r="K20" s="106">
        <f>'Вход и предположения'!$E$16</f>
        <v>110</v>
      </c>
      <c r="L20" s="106">
        <f>'Вход и предположения'!$E$16</f>
        <v>110</v>
      </c>
      <c r="M20" s="106">
        <f>'Вход и предположения'!$E$16</f>
        <v>110</v>
      </c>
      <c r="N20" s="106">
        <f>'Вход и предположения'!$E$16</f>
        <v>110</v>
      </c>
      <c r="O20" s="106">
        <f>'Вход и предположения'!$E$16</f>
        <v>110</v>
      </c>
      <c r="P20" s="106">
        <f>'Вход и предположения'!$E$16</f>
        <v>110</v>
      </c>
      <c r="Q20" s="106">
        <f>'Вход и предположения'!$E$16</f>
        <v>110</v>
      </c>
      <c r="R20" s="106">
        <f>'Вход и предположения'!$E$16</f>
        <v>110</v>
      </c>
      <c r="S20" s="106">
        <f>'Вход и предположения'!$E$16</f>
        <v>110</v>
      </c>
      <c r="T20" s="106">
        <f>'Вход и предположения'!$E$16</f>
        <v>110</v>
      </c>
      <c r="U20" s="106">
        <f>'Вход и предположения'!$E$16</f>
        <v>110</v>
      </c>
      <c r="V20" s="106">
        <f>'Вход и предположения'!$E$16</f>
        <v>110</v>
      </c>
      <c r="W20" s="106">
        <f>'Вход и предположения'!$E$16</f>
        <v>110</v>
      </c>
      <c r="X20" s="106">
        <f>'Вход и предположения'!$E$16</f>
        <v>110</v>
      </c>
      <c r="Y20" s="106">
        <f>'Вход и предположения'!$E$16</f>
        <v>110</v>
      </c>
      <c r="Z20" s="106">
        <f>'Вход и предположения'!$E$16</f>
        <v>110</v>
      </c>
      <c r="AA20" s="106">
        <f>'Вход и предположения'!$E$16</f>
        <v>110</v>
      </c>
      <c r="AB20" s="106">
        <f>'Вход и предположения'!$E$16</f>
        <v>110</v>
      </c>
      <c r="AC20" s="106">
        <f>'Вход и предположения'!$E$16</f>
        <v>110</v>
      </c>
      <c r="AD20" s="106">
        <f>'Вход и предположения'!$E$16</f>
        <v>110</v>
      </c>
      <c r="AE20" s="106">
        <f>'Вход и предположения'!$E$16</f>
        <v>110</v>
      </c>
      <c r="AF20" s="106">
        <f>'Вход и предположения'!$E$16</f>
        <v>110</v>
      </c>
      <c r="AG20" s="106">
        <f>'Вход и предположения'!$E$16</f>
        <v>110</v>
      </c>
      <c r="AH20" s="106">
        <f>'Вход и предположения'!$E$16</f>
        <v>110</v>
      </c>
      <c r="AI20" s="106">
        <f>'Вход и предположения'!$E$16</f>
        <v>110</v>
      </c>
      <c r="AJ20" s="106">
        <f>'Вход и предположения'!$E$16</f>
        <v>110</v>
      </c>
      <c r="AK20" s="106">
        <f>'Вход и предположения'!$E$16</f>
        <v>110</v>
      </c>
      <c r="AL20" s="106">
        <f>'Вход и предположения'!$E$16</f>
        <v>110</v>
      </c>
      <c r="AM20" s="106">
        <f>'Вход и предположения'!$E$16</f>
        <v>110</v>
      </c>
      <c r="AN20" s="106">
        <f>'Вход и предположения'!$E$16</f>
        <v>110</v>
      </c>
      <c r="AO20" s="106">
        <f>'Вход и предположения'!$E$16</f>
        <v>110</v>
      </c>
      <c r="AP20" s="106">
        <f>'Вход и предположения'!$E$16</f>
        <v>110</v>
      </c>
      <c r="AQ20" s="106">
        <f>'Вход и предположения'!$E$16</f>
        <v>110</v>
      </c>
      <c r="AR20" s="106">
        <f>'Вход и предположения'!$E$16</f>
        <v>110</v>
      </c>
      <c r="AS20" s="106">
        <f>'Вход и предположения'!$E$16</f>
        <v>110</v>
      </c>
      <c r="AT20" s="106">
        <f>'Вход и предположения'!$E$16</f>
        <v>110</v>
      </c>
      <c r="AU20" s="106">
        <f>'Вход и предположения'!$E$16</f>
        <v>110</v>
      </c>
      <c r="AV20" s="106">
        <f>'Вход и предположения'!$E$16</f>
        <v>110</v>
      </c>
      <c r="AW20" s="106">
        <f>'Вход и предположения'!$E$16</f>
        <v>110</v>
      </c>
      <c r="AX20" s="106">
        <f>'Вход и предположения'!$E$16</f>
        <v>110</v>
      </c>
      <c r="AY20" s="106">
        <f>'Вход и предположения'!$E$16</f>
        <v>110</v>
      </c>
      <c r="AZ20" s="106">
        <f>'Вход и предположения'!$E$16</f>
        <v>110</v>
      </c>
      <c r="BA20" s="106">
        <f>'Вход и предположения'!$E$16</f>
        <v>110</v>
      </c>
      <c r="BB20" s="106">
        <f>'Вход и предположения'!$E$16</f>
        <v>110</v>
      </c>
      <c r="BC20" s="106">
        <f>'Вход и предположения'!$E$16</f>
        <v>110</v>
      </c>
      <c r="BD20" s="106">
        <f>'Вход и предположения'!$E$16</f>
        <v>110</v>
      </c>
      <c r="BE20" s="106">
        <f>'Вход и предположения'!$E$16</f>
        <v>110</v>
      </c>
      <c r="BF20" s="106">
        <f>'Вход и предположения'!$E$16</f>
        <v>110</v>
      </c>
      <c r="BG20" s="106">
        <f>'Вход и предположения'!$E$16</f>
        <v>110</v>
      </c>
      <c r="BH20" s="106">
        <f>'Вход и предположения'!$E$16</f>
        <v>110</v>
      </c>
      <c r="BI20" s="106">
        <f>'Вход и предположения'!$E$16</f>
        <v>110</v>
      </c>
      <c r="BJ20" s="106">
        <f>'Вход и предположения'!$E$16</f>
        <v>110</v>
      </c>
      <c r="BK20" s="106">
        <f>'Вход и предположения'!$E$16</f>
        <v>110</v>
      </c>
      <c r="BL20" s="106">
        <f>'Вход и предположения'!$E$16</f>
        <v>110</v>
      </c>
      <c r="BM20" s="106">
        <f>'Вход и предположения'!$E$16</f>
        <v>110</v>
      </c>
    </row>
    <row r="21" spans="1:73">
      <c r="A21" s="97"/>
      <c r="B21" s="97"/>
      <c r="C21" s="88" t="s">
        <v>166</v>
      </c>
      <c r="D21" s="90" t="s">
        <v>169</v>
      </c>
      <c r="E21" s="90"/>
      <c r="F21" s="105">
        <f>F20*F6</f>
        <v>110</v>
      </c>
      <c r="G21" s="105">
        <f t="shared" ref="G21:BM21" si="14">G20*G6</f>
        <v>110</v>
      </c>
      <c r="H21" s="105">
        <f t="shared" si="14"/>
        <v>110</v>
      </c>
      <c r="I21" s="105">
        <f t="shared" si="14"/>
        <v>110</v>
      </c>
      <c r="J21" s="105">
        <f t="shared" si="14"/>
        <v>110</v>
      </c>
      <c r="K21" s="105">
        <f t="shared" si="14"/>
        <v>110</v>
      </c>
      <c r="L21" s="105">
        <f t="shared" si="14"/>
        <v>110</v>
      </c>
      <c r="M21" s="105">
        <f t="shared" si="14"/>
        <v>110</v>
      </c>
      <c r="N21" s="105">
        <f t="shared" si="14"/>
        <v>110</v>
      </c>
      <c r="O21" s="105">
        <f t="shared" si="14"/>
        <v>110</v>
      </c>
      <c r="P21" s="105">
        <f t="shared" si="14"/>
        <v>110</v>
      </c>
      <c r="Q21" s="105">
        <f t="shared" si="14"/>
        <v>110</v>
      </c>
      <c r="R21" s="105">
        <f t="shared" si="14"/>
        <v>110.36666666666667</v>
      </c>
      <c r="S21" s="105">
        <f t="shared" si="14"/>
        <v>110.73455555555557</v>
      </c>
      <c r="T21" s="105">
        <f t="shared" si="14"/>
        <v>111.10367074074078</v>
      </c>
      <c r="U21" s="105">
        <f t="shared" si="14"/>
        <v>111.4740163098766</v>
      </c>
      <c r="V21" s="105">
        <f t="shared" si="14"/>
        <v>111.84559636424287</v>
      </c>
      <c r="W21" s="105">
        <f t="shared" si="14"/>
        <v>112.21841501879037</v>
      </c>
      <c r="X21" s="105">
        <f t="shared" si="14"/>
        <v>112.59247640218634</v>
      </c>
      <c r="Y21" s="105">
        <f t="shared" si="14"/>
        <v>112.9677846568603</v>
      </c>
      <c r="Z21" s="105">
        <f t="shared" si="14"/>
        <v>113.34434393904984</v>
      </c>
      <c r="AA21" s="105">
        <f t="shared" si="14"/>
        <v>113.72215841884666</v>
      </c>
      <c r="AB21" s="105">
        <f t="shared" si="14"/>
        <v>114.10123228024283</v>
      </c>
      <c r="AC21" s="105">
        <f t="shared" si="14"/>
        <v>114.48156972117697</v>
      </c>
      <c r="AD21" s="105">
        <f t="shared" si="14"/>
        <v>114.8631749535809</v>
      </c>
      <c r="AE21" s="105">
        <f t="shared" si="14"/>
        <v>115.24605220342619</v>
      </c>
      <c r="AF21" s="105">
        <f t="shared" si="14"/>
        <v>115.63020571077094</v>
      </c>
      <c r="AG21" s="105">
        <f t="shared" si="14"/>
        <v>116.01563972980685</v>
      </c>
      <c r="AH21" s="105">
        <f t="shared" si="14"/>
        <v>116.40235852890623</v>
      </c>
      <c r="AI21" s="105">
        <f t="shared" si="14"/>
        <v>116.79036639066925</v>
      </c>
      <c r="AJ21" s="105">
        <f t="shared" si="14"/>
        <v>117.17966761197148</v>
      </c>
      <c r="AK21" s="105">
        <f t="shared" si="14"/>
        <v>117.57026650401139</v>
      </c>
      <c r="AL21" s="105">
        <f t="shared" si="14"/>
        <v>117.96216739235811</v>
      </c>
      <c r="AM21" s="105">
        <f t="shared" si="14"/>
        <v>118.35537461699931</v>
      </c>
      <c r="AN21" s="105">
        <f t="shared" si="14"/>
        <v>118.74989253238932</v>
      </c>
      <c r="AO21" s="105">
        <f t="shared" si="14"/>
        <v>119.14572550749729</v>
      </c>
      <c r="AP21" s="105">
        <f t="shared" si="14"/>
        <v>119.54287792585561</v>
      </c>
      <c r="AQ21" s="105">
        <f t="shared" si="14"/>
        <v>119.94135418560847</v>
      </c>
      <c r="AR21" s="105">
        <f t="shared" si="14"/>
        <v>120.34115869956051</v>
      </c>
      <c r="AS21" s="105">
        <f t="shared" si="14"/>
        <v>120.74229589522572</v>
      </c>
      <c r="AT21" s="105">
        <f t="shared" si="14"/>
        <v>121.14477021487647</v>
      </c>
      <c r="AU21" s="105">
        <f t="shared" si="14"/>
        <v>121.54858611559276</v>
      </c>
      <c r="AV21" s="105">
        <f t="shared" si="14"/>
        <v>121.95374806931142</v>
      </c>
      <c r="AW21" s="105">
        <f t="shared" si="14"/>
        <v>122.36026056287581</v>
      </c>
      <c r="AX21" s="105">
        <f t="shared" si="14"/>
        <v>122.76812809808541</v>
      </c>
      <c r="AY21" s="105">
        <f t="shared" si="14"/>
        <v>123.1773551917457</v>
      </c>
      <c r="AZ21" s="105">
        <f t="shared" si="14"/>
        <v>123.58794637571819</v>
      </c>
      <c r="BA21" s="105">
        <f t="shared" si="14"/>
        <v>123.99990619697058</v>
      </c>
      <c r="BB21" s="105">
        <f t="shared" si="14"/>
        <v>124.41323921762717</v>
      </c>
      <c r="BC21" s="105">
        <f t="shared" si="14"/>
        <v>124.82795001501927</v>
      </c>
      <c r="BD21" s="105">
        <f t="shared" si="14"/>
        <v>125.244043181736</v>
      </c>
      <c r="BE21" s="105">
        <f t="shared" si="14"/>
        <v>125.66152332567513</v>
      </c>
      <c r="BF21" s="105">
        <f t="shared" si="14"/>
        <v>126.08039507009407</v>
      </c>
      <c r="BG21" s="105">
        <f t="shared" si="14"/>
        <v>126.50066305366106</v>
      </c>
      <c r="BH21" s="105">
        <f t="shared" si="14"/>
        <v>126.9223319305066</v>
      </c>
      <c r="BI21" s="105">
        <f t="shared" si="14"/>
        <v>127.34540637027496</v>
      </c>
      <c r="BJ21" s="105">
        <f t="shared" si="14"/>
        <v>127.76989105817589</v>
      </c>
      <c r="BK21" s="105">
        <f t="shared" si="14"/>
        <v>128.19579069503646</v>
      </c>
      <c r="BL21" s="105">
        <f t="shared" si="14"/>
        <v>128.62310999735325</v>
      </c>
      <c r="BM21" s="105">
        <f t="shared" si="14"/>
        <v>129.05185369734443</v>
      </c>
    </row>
    <row r="22" spans="1:73">
      <c r="A22" s="99"/>
      <c r="B22" s="99"/>
      <c r="C22" s="73" t="s">
        <v>167</v>
      </c>
      <c r="D22" s="74" t="s">
        <v>168</v>
      </c>
      <c r="E22" s="74"/>
      <c r="F22" s="102">
        <f>F7*F19</f>
        <v>144</v>
      </c>
      <c r="G22" s="102">
        <f t="shared" ref="G22:BM22" si="15">G7*G19</f>
        <v>216</v>
      </c>
      <c r="H22" s="102">
        <f t="shared" si="15"/>
        <v>251.99999999999997</v>
      </c>
      <c r="I22" s="102">
        <f t="shared" si="15"/>
        <v>288</v>
      </c>
      <c r="J22" s="102">
        <f t="shared" si="15"/>
        <v>288</v>
      </c>
      <c r="K22" s="102">
        <f t="shared" si="15"/>
        <v>288</v>
      </c>
      <c r="L22" s="102">
        <f t="shared" si="15"/>
        <v>288</v>
      </c>
      <c r="M22" s="102">
        <f t="shared" si="15"/>
        <v>288</v>
      </c>
      <c r="N22" s="102">
        <f t="shared" si="15"/>
        <v>288</v>
      </c>
      <c r="O22" s="102">
        <f t="shared" si="15"/>
        <v>288</v>
      </c>
      <c r="P22" s="102">
        <f t="shared" si="15"/>
        <v>288</v>
      </c>
      <c r="Q22" s="102">
        <f t="shared" si="15"/>
        <v>288</v>
      </c>
      <c r="R22" s="102">
        <f t="shared" si="15"/>
        <v>360</v>
      </c>
      <c r="S22" s="102">
        <f t="shared" si="15"/>
        <v>360</v>
      </c>
      <c r="T22" s="102">
        <f t="shared" si="15"/>
        <v>360</v>
      </c>
      <c r="U22" s="102">
        <f t="shared" si="15"/>
        <v>360</v>
      </c>
      <c r="V22" s="102">
        <f t="shared" si="15"/>
        <v>360</v>
      </c>
      <c r="W22" s="102">
        <f t="shared" si="15"/>
        <v>360</v>
      </c>
      <c r="X22" s="102">
        <f t="shared" si="15"/>
        <v>360</v>
      </c>
      <c r="Y22" s="102">
        <f t="shared" si="15"/>
        <v>360</v>
      </c>
      <c r="Z22" s="102">
        <f t="shared" si="15"/>
        <v>360</v>
      </c>
      <c r="AA22" s="102">
        <f t="shared" si="15"/>
        <v>360</v>
      </c>
      <c r="AB22" s="102">
        <f t="shared" si="15"/>
        <v>360</v>
      </c>
      <c r="AC22" s="102">
        <f t="shared" si="15"/>
        <v>360</v>
      </c>
      <c r="AD22" s="102">
        <f t="shared" si="15"/>
        <v>360</v>
      </c>
      <c r="AE22" s="102">
        <f t="shared" si="15"/>
        <v>360</v>
      </c>
      <c r="AF22" s="102">
        <f t="shared" si="15"/>
        <v>360</v>
      </c>
      <c r="AG22" s="102">
        <f t="shared" si="15"/>
        <v>360</v>
      </c>
      <c r="AH22" s="102">
        <f t="shared" si="15"/>
        <v>360</v>
      </c>
      <c r="AI22" s="102">
        <f t="shared" si="15"/>
        <v>360</v>
      </c>
      <c r="AJ22" s="102">
        <f t="shared" si="15"/>
        <v>360</v>
      </c>
      <c r="AK22" s="102">
        <f t="shared" si="15"/>
        <v>360</v>
      </c>
      <c r="AL22" s="102">
        <f t="shared" si="15"/>
        <v>360</v>
      </c>
      <c r="AM22" s="102">
        <f t="shared" si="15"/>
        <v>360</v>
      </c>
      <c r="AN22" s="102">
        <f t="shared" si="15"/>
        <v>360</v>
      </c>
      <c r="AO22" s="102">
        <f t="shared" si="15"/>
        <v>360</v>
      </c>
      <c r="AP22" s="102">
        <f t="shared" si="15"/>
        <v>360</v>
      </c>
      <c r="AQ22" s="102">
        <f t="shared" si="15"/>
        <v>360</v>
      </c>
      <c r="AR22" s="102">
        <f t="shared" si="15"/>
        <v>360</v>
      </c>
      <c r="AS22" s="102">
        <f t="shared" si="15"/>
        <v>360</v>
      </c>
      <c r="AT22" s="102">
        <f t="shared" si="15"/>
        <v>360</v>
      </c>
      <c r="AU22" s="102">
        <f t="shared" si="15"/>
        <v>360</v>
      </c>
      <c r="AV22" s="102">
        <f t="shared" si="15"/>
        <v>360</v>
      </c>
      <c r="AW22" s="102">
        <f t="shared" si="15"/>
        <v>360</v>
      </c>
      <c r="AX22" s="102">
        <f t="shared" si="15"/>
        <v>360</v>
      </c>
      <c r="AY22" s="102">
        <f t="shared" si="15"/>
        <v>360</v>
      </c>
      <c r="AZ22" s="102">
        <f t="shared" si="15"/>
        <v>360</v>
      </c>
      <c r="BA22" s="102">
        <f t="shared" si="15"/>
        <v>360</v>
      </c>
      <c r="BB22" s="102">
        <f t="shared" si="15"/>
        <v>360</v>
      </c>
      <c r="BC22" s="102">
        <f t="shared" si="15"/>
        <v>360</v>
      </c>
      <c r="BD22" s="102">
        <f t="shared" si="15"/>
        <v>360</v>
      </c>
      <c r="BE22" s="102">
        <f t="shared" si="15"/>
        <v>360</v>
      </c>
      <c r="BF22" s="102">
        <f t="shared" si="15"/>
        <v>360</v>
      </c>
      <c r="BG22" s="102">
        <f t="shared" si="15"/>
        <v>360</v>
      </c>
      <c r="BH22" s="102">
        <f t="shared" si="15"/>
        <v>360</v>
      </c>
      <c r="BI22" s="102">
        <f t="shared" si="15"/>
        <v>360</v>
      </c>
      <c r="BJ22" s="102">
        <f t="shared" si="15"/>
        <v>360</v>
      </c>
      <c r="BK22" s="102">
        <f t="shared" si="15"/>
        <v>360</v>
      </c>
      <c r="BL22" s="102">
        <f t="shared" si="15"/>
        <v>360</v>
      </c>
      <c r="BM22" s="102">
        <f t="shared" si="15"/>
        <v>360</v>
      </c>
    </row>
    <row r="23" spans="1:73">
      <c r="A23" s="27"/>
      <c r="B23" s="27"/>
      <c r="C23" s="28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103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103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10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103"/>
      <c r="BB23" s="29"/>
      <c r="BC23" s="29"/>
      <c r="BD23" s="29"/>
      <c r="BE23" s="3"/>
      <c r="BF23" s="3"/>
      <c r="BG23" s="3"/>
      <c r="BH23" s="3"/>
      <c r="BI23" s="3"/>
      <c r="BJ23" s="3"/>
      <c r="BK23" s="3"/>
      <c r="BL23" s="3"/>
      <c r="BM23" s="3"/>
    </row>
    <row r="24" spans="1:73">
      <c r="C24" s="108" t="s">
        <v>171</v>
      </c>
      <c r="D24" s="109"/>
      <c r="E24" s="109"/>
      <c r="F24" s="118">
        <f>F25*F28*F29</f>
        <v>57600</v>
      </c>
      <c r="G24" s="118">
        <f t="shared" ref="G24:BM24" si="16">G25*G28*G29</f>
        <v>86400</v>
      </c>
      <c r="H24" s="118">
        <f t="shared" si="16"/>
        <v>100799.99999999999</v>
      </c>
      <c r="I24" s="118">
        <f t="shared" si="16"/>
        <v>115200</v>
      </c>
      <c r="J24" s="118">
        <f t="shared" si="16"/>
        <v>115200</v>
      </c>
      <c r="K24" s="118">
        <f t="shared" si="16"/>
        <v>115200</v>
      </c>
      <c r="L24" s="118">
        <f t="shared" si="16"/>
        <v>115200</v>
      </c>
      <c r="M24" s="118">
        <f t="shared" si="16"/>
        <v>115200</v>
      </c>
      <c r="N24" s="118">
        <f t="shared" si="16"/>
        <v>115200</v>
      </c>
      <c r="O24" s="118">
        <f t="shared" si="16"/>
        <v>115200</v>
      </c>
      <c r="P24" s="118">
        <f t="shared" si="16"/>
        <v>115200</v>
      </c>
      <c r="Q24" s="118">
        <f t="shared" si="16"/>
        <v>115200</v>
      </c>
      <c r="R24" s="118">
        <f t="shared" si="16"/>
        <v>144480</v>
      </c>
      <c r="S24" s="118">
        <f t="shared" si="16"/>
        <v>144961.60000000003</v>
      </c>
      <c r="T24" s="118">
        <f t="shared" si="16"/>
        <v>145444.80533333341</v>
      </c>
      <c r="U24" s="118">
        <f t="shared" si="16"/>
        <v>145929.62135111121</v>
      </c>
      <c r="V24" s="118">
        <f t="shared" si="16"/>
        <v>146416.05342228158</v>
      </c>
      <c r="W24" s="118">
        <f t="shared" si="16"/>
        <v>146904.10693368921</v>
      </c>
      <c r="X24" s="118">
        <f t="shared" si="16"/>
        <v>147393.78729013482</v>
      </c>
      <c r="Y24" s="118">
        <f t="shared" si="16"/>
        <v>147885.0999144353</v>
      </c>
      <c r="Z24" s="118">
        <f t="shared" si="16"/>
        <v>148378.05024748342</v>
      </c>
      <c r="AA24" s="118">
        <f t="shared" si="16"/>
        <v>148872.64374830836</v>
      </c>
      <c r="AB24" s="118">
        <f t="shared" si="16"/>
        <v>149368.88589413607</v>
      </c>
      <c r="AC24" s="118">
        <f t="shared" si="16"/>
        <v>149866.78218044984</v>
      </c>
      <c r="AD24" s="118">
        <f t="shared" si="16"/>
        <v>150366.33812105135</v>
      </c>
      <c r="AE24" s="118">
        <f t="shared" si="16"/>
        <v>150867.55924812154</v>
      </c>
      <c r="AF24" s="118">
        <f t="shared" si="16"/>
        <v>151370.45111228197</v>
      </c>
      <c r="AG24" s="118">
        <f t="shared" si="16"/>
        <v>151875.01928265623</v>
      </c>
      <c r="AH24" s="118">
        <f t="shared" si="16"/>
        <v>152381.26934693177</v>
      </c>
      <c r="AI24" s="118">
        <f t="shared" si="16"/>
        <v>152889.20691142156</v>
      </c>
      <c r="AJ24" s="118">
        <f t="shared" si="16"/>
        <v>153398.83760112629</v>
      </c>
      <c r="AK24" s="118">
        <f t="shared" si="16"/>
        <v>153910.16705979672</v>
      </c>
      <c r="AL24" s="118">
        <f t="shared" si="16"/>
        <v>154423.20094999607</v>
      </c>
      <c r="AM24" s="118">
        <f t="shared" si="16"/>
        <v>154937.94495316275</v>
      </c>
      <c r="AN24" s="118">
        <f t="shared" si="16"/>
        <v>155454.4047696733</v>
      </c>
      <c r="AO24" s="118">
        <f t="shared" si="16"/>
        <v>155972.58611890554</v>
      </c>
      <c r="AP24" s="118">
        <f t="shared" si="16"/>
        <v>156492.49473930188</v>
      </c>
      <c r="AQ24" s="118">
        <f t="shared" si="16"/>
        <v>157014.1363884329</v>
      </c>
      <c r="AR24" s="118">
        <f t="shared" si="16"/>
        <v>157537.51684306102</v>
      </c>
      <c r="AS24" s="118">
        <f t="shared" si="16"/>
        <v>158062.64189920458</v>
      </c>
      <c r="AT24" s="118">
        <f t="shared" si="16"/>
        <v>158589.51737220195</v>
      </c>
      <c r="AU24" s="118">
        <f t="shared" si="16"/>
        <v>159118.14909677595</v>
      </c>
      <c r="AV24" s="118">
        <f t="shared" si="16"/>
        <v>159648.54292709858</v>
      </c>
      <c r="AW24" s="118">
        <f t="shared" si="16"/>
        <v>160180.70473685561</v>
      </c>
      <c r="AX24" s="118">
        <f t="shared" si="16"/>
        <v>160714.64041931182</v>
      </c>
      <c r="AY24" s="118">
        <f t="shared" si="16"/>
        <v>161250.35588737618</v>
      </c>
      <c r="AZ24" s="118">
        <f t="shared" si="16"/>
        <v>161787.85707366746</v>
      </c>
      <c r="BA24" s="118">
        <f t="shared" si="16"/>
        <v>162327.1499305797</v>
      </c>
      <c r="BB24" s="118">
        <f t="shared" si="16"/>
        <v>162868.24043034829</v>
      </c>
      <c r="BC24" s="118">
        <f t="shared" si="16"/>
        <v>163411.13456511614</v>
      </c>
      <c r="BD24" s="118">
        <f t="shared" si="16"/>
        <v>163955.83834699984</v>
      </c>
      <c r="BE24" s="118">
        <f t="shared" si="16"/>
        <v>164502.35780815655</v>
      </c>
      <c r="BF24" s="118">
        <f t="shared" si="16"/>
        <v>165050.69900085041</v>
      </c>
      <c r="BG24" s="118">
        <f t="shared" si="16"/>
        <v>165600.86799751993</v>
      </c>
      <c r="BH24" s="118">
        <f t="shared" si="16"/>
        <v>166152.87089084499</v>
      </c>
      <c r="BI24" s="118">
        <f t="shared" si="16"/>
        <v>166706.7137938145</v>
      </c>
      <c r="BJ24" s="118">
        <f t="shared" si="16"/>
        <v>167262.40283979388</v>
      </c>
      <c r="BK24" s="118">
        <f t="shared" si="16"/>
        <v>167819.9441825932</v>
      </c>
      <c r="BL24" s="118">
        <f t="shared" si="16"/>
        <v>168379.34399653517</v>
      </c>
      <c r="BM24" s="118">
        <f t="shared" si="16"/>
        <v>168940.60847652363</v>
      </c>
      <c r="BO24" s="94">
        <f t="shared" si="7"/>
        <v>8788723.151433453</v>
      </c>
      <c r="BP24" s="94">
        <f t="shared" si="8"/>
        <v>1281600</v>
      </c>
      <c r="BQ24" s="94">
        <f t="shared" si="9"/>
        <v>1765901.436315363</v>
      </c>
      <c r="BR24" s="94">
        <f t="shared" si="10"/>
        <v>1837846.9854751248</v>
      </c>
      <c r="BS24" s="94">
        <f t="shared" si="11"/>
        <v>1912723.7073138678</v>
      </c>
      <c r="BT24" s="94">
        <f t="shared" si="12"/>
        <v>1990651.0223290964</v>
      </c>
      <c r="BU24" s="94">
        <f t="shared" si="13"/>
        <v>8788723.1514334511</v>
      </c>
    </row>
    <row r="25" spans="1:73">
      <c r="C25" s="28" t="s">
        <v>172</v>
      </c>
      <c r="D25" s="29" t="s">
        <v>99</v>
      </c>
      <c r="E25" s="29"/>
      <c r="F25" s="113">
        <f>'Вход и предположения'!$E$6</f>
        <v>2</v>
      </c>
      <c r="G25" s="113">
        <f>'Вход и предположения'!$E$6</f>
        <v>2</v>
      </c>
      <c r="H25" s="113">
        <f>'Вход и предположения'!$E$6</f>
        <v>2</v>
      </c>
      <c r="I25" s="113">
        <f>'Вход и предположения'!$E$6</f>
        <v>2</v>
      </c>
      <c r="J25" s="113">
        <f>'Вход и предположения'!$E$6</f>
        <v>2</v>
      </c>
      <c r="K25" s="113">
        <f>'Вход и предположения'!$E$6</f>
        <v>2</v>
      </c>
      <c r="L25" s="113">
        <f>'Вход и предположения'!$E$6</f>
        <v>2</v>
      </c>
      <c r="M25" s="113">
        <f>'Вход и предположения'!$E$6</f>
        <v>2</v>
      </c>
      <c r="N25" s="113">
        <f>'Вход и предположения'!$E$6</f>
        <v>2</v>
      </c>
      <c r="O25" s="113">
        <f>'Вход и предположения'!$E$6</f>
        <v>2</v>
      </c>
      <c r="P25" s="113">
        <f>'Вход и предположения'!$E$6</f>
        <v>2</v>
      </c>
      <c r="Q25" s="113">
        <f>'Вход и предположения'!$E$6</f>
        <v>2</v>
      </c>
      <c r="R25" s="113">
        <f>'Вход и предположения'!$E$6</f>
        <v>2</v>
      </c>
      <c r="S25" s="113">
        <f>'Вход и предположения'!$E$6</f>
        <v>2</v>
      </c>
      <c r="T25" s="113">
        <f>'Вход и предположения'!$E$6</f>
        <v>2</v>
      </c>
      <c r="U25" s="113">
        <f>'Вход и предположения'!$E$6</f>
        <v>2</v>
      </c>
      <c r="V25" s="113">
        <f>'Вход и предположения'!$E$6</f>
        <v>2</v>
      </c>
      <c r="W25" s="113">
        <f>'Вход и предположения'!$E$6</f>
        <v>2</v>
      </c>
      <c r="X25" s="113">
        <f>'Вход и предположения'!$E$6</f>
        <v>2</v>
      </c>
      <c r="Y25" s="113">
        <f>'Вход и предположения'!$E$6</f>
        <v>2</v>
      </c>
      <c r="Z25" s="113">
        <f>'Вход и предположения'!$E$6</f>
        <v>2</v>
      </c>
      <c r="AA25" s="113">
        <f>'Вход и предположения'!$E$6</f>
        <v>2</v>
      </c>
      <c r="AB25" s="113">
        <f>'Вход и предположения'!$E$6</f>
        <v>2</v>
      </c>
      <c r="AC25" s="113">
        <f>'Вход и предположения'!$E$6</f>
        <v>2</v>
      </c>
      <c r="AD25" s="113">
        <f>'Вход и предположения'!$E$6</f>
        <v>2</v>
      </c>
      <c r="AE25" s="113">
        <f>'Вход и предположения'!$E$6</f>
        <v>2</v>
      </c>
      <c r="AF25" s="113">
        <f>'Вход и предположения'!$E$6</f>
        <v>2</v>
      </c>
      <c r="AG25" s="113">
        <f>'Вход и предположения'!$E$6</f>
        <v>2</v>
      </c>
      <c r="AH25" s="113">
        <f>'Вход и предположения'!$E$6</f>
        <v>2</v>
      </c>
      <c r="AI25" s="113">
        <f>'Вход и предположения'!$E$6</f>
        <v>2</v>
      </c>
      <c r="AJ25" s="113">
        <f>'Вход и предположения'!$E$6</f>
        <v>2</v>
      </c>
      <c r="AK25" s="113">
        <f>'Вход и предположения'!$E$6</f>
        <v>2</v>
      </c>
      <c r="AL25" s="113">
        <f>'Вход и предположения'!$E$6</f>
        <v>2</v>
      </c>
      <c r="AM25" s="113">
        <f>'Вход и предположения'!$E$6</f>
        <v>2</v>
      </c>
      <c r="AN25" s="113">
        <f>'Вход и предположения'!$E$6</f>
        <v>2</v>
      </c>
      <c r="AO25" s="113">
        <f>'Вход и предположения'!$E$6</f>
        <v>2</v>
      </c>
      <c r="AP25" s="113">
        <f>'Вход и предположения'!$E$6</f>
        <v>2</v>
      </c>
      <c r="AQ25" s="113">
        <f>'Вход и предположения'!$E$6</f>
        <v>2</v>
      </c>
      <c r="AR25" s="113">
        <f>'Вход и предположения'!$E$6</f>
        <v>2</v>
      </c>
      <c r="AS25" s="113">
        <f>'Вход и предположения'!$E$6</f>
        <v>2</v>
      </c>
      <c r="AT25" s="113">
        <f>'Вход и предположения'!$E$6</f>
        <v>2</v>
      </c>
      <c r="AU25" s="113">
        <f>'Вход и предположения'!$E$6</f>
        <v>2</v>
      </c>
      <c r="AV25" s="113">
        <f>'Вход и предположения'!$E$6</f>
        <v>2</v>
      </c>
      <c r="AW25" s="113">
        <f>'Вход и предположения'!$E$6</f>
        <v>2</v>
      </c>
      <c r="AX25" s="113">
        <f>'Вход и предположения'!$E$6</f>
        <v>2</v>
      </c>
      <c r="AY25" s="113">
        <f>'Вход и предположения'!$E$6</f>
        <v>2</v>
      </c>
      <c r="AZ25" s="113">
        <f>'Вход и предположения'!$E$6</f>
        <v>2</v>
      </c>
      <c r="BA25" s="113">
        <f>'Вход и предположения'!$E$6</f>
        <v>2</v>
      </c>
      <c r="BB25" s="113">
        <f>'Вход и предположения'!$E$6</f>
        <v>2</v>
      </c>
      <c r="BC25" s="113">
        <f>'Вход и предположения'!$E$6</f>
        <v>2</v>
      </c>
      <c r="BD25" s="113">
        <f>'Вход и предположения'!$E$6</f>
        <v>2</v>
      </c>
      <c r="BE25" s="113">
        <f>'Вход и предположения'!$E$6</f>
        <v>2</v>
      </c>
      <c r="BF25" s="113">
        <f>'Вход и предположения'!$E$6</f>
        <v>2</v>
      </c>
      <c r="BG25" s="113">
        <f>'Вход и предположения'!$E$6</f>
        <v>2</v>
      </c>
      <c r="BH25" s="113">
        <f>'Вход и предположения'!$E$6</f>
        <v>2</v>
      </c>
      <c r="BI25" s="113">
        <f>'Вход и предположения'!$E$6</f>
        <v>2</v>
      </c>
      <c r="BJ25" s="113">
        <f>'Вход и предположения'!$E$6</f>
        <v>2</v>
      </c>
      <c r="BK25" s="113">
        <f>'Вход и предположения'!$E$6</f>
        <v>2</v>
      </c>
      <c r="BL25" s="113">
        <f>'Вход и предположения'!$E$6</f>
        <v>2</v>
      </c>
      <c r="BM25" s="113">
        <f>'Вход и предположения'!$E$6</f>
        <v>2</v>
      </c>
    </row>
    <row r="26" spans="1:73">
      <c r="C26" s="28" t="s">
        <v>173</v>
      </c>
      <c r="D26" s="29" t="s">
        <v>109</v>
      </c>
      <c r="E26" s="29"/>
      <c r="F26" s="101">
        <v>0.2</v>
      </c>
      <c r="G26" s="101">
        <v>0.3</v>
      </c>
      <c r="H26" s="101">
        <v>0.35</v>
      </c>
      <c r="I26" s="114">
        <f>'Вход и предположения'!$E$13</f>
        <v>0.4</v>
      </c>
      <c r="J26" s="114">
        <f>'Вход и предположения'!$E$13</f>
        <v>0.4</v>
      </c>
      <c r="K26" s="114">
        <f>'Вход и предположения'!$E$13</f>
        <v>0.4</v>
      </c>
      <c r="L26" s="114">
        <f>'Вход и предположения'!$E$13</f>
        <v>0.4</v>
      </c>
      <c r="M26" s="114">
        <f>'Вход и предположения'!$E$13</f>
        <v>0.4</v>
      </c>
      <c r="N26" s="114">
        <f>'Вход и предположения'!$E$13</f>
        <v>0.4</v>
      </c>
      <c r="O26" s="114">
        <f>'Вход и предположения'!$E$13</f>
        <v>0.4</v>
      </c>
      <c r="P26" s="114">
        <f>'Вход и предположения'!$E$13</f>
        <v>0.4</v>
      </c>
      <c r="Q26" s="114">
        <f>'Вход и предположения'!$E$13</f>
        <v>0.4</v>
      </c>
      <c r="R26" s="114">
        <f>'Вход и предположения'!$F$13</f>
        <v>0.5</v>
      </c>
      <c r="S26" s="114">
        <f>'Вход и предположения'!$F$13</f>
        <v>0.5</v>
      </c>
      <c r="T26" s="114">
        <f>'Вход и предположения'!$F$13</f>
        <v>0.5</v>
      </c>
      <c r="U26" s="114">
        <f>'Вход и предположения'!$F$13</f>
        <v>0.5</v>
      </c>
      <c r="V26" s="114">
        <f>'Вход и предположения'!$F$13</f>
        <v>0.5</v>
      </c>
      <c r="W26" s="114">
        <f>'Вход и предположения'!$F$13</f>
        <v>0.5</v>
      </c>
      <c r="X26" s="114">
        <f>'Вход и предположения'!$F$13</f>
        <v>0.5</v>
      </c>
      <c r="Y26" s="114">
        <f>'Вход и предположения'!$F$13</f>
        <v>0.5</v>
      </c>
      <c r="Z26" s="114">
        <f>'Вход и предположения'!$F$13</f>
        <v>0.5</v>
      </c>
      <c r="AA26" s="114">
        <f>'Вход и предположения'!$F$13</f>
        <v>0.5</v>
      </c>
      <c r="AB26" s="114">
        <f>'Вход и предположения'!$F$13</f>
        <v>0.5</v>
      </c>
      <c r="AC26" s="114">
        <f>'Вход и предположения'!$F$13</f>
        <v>0.5</v>
      </c>
      <c r="AD26" s="114">
        <f>'Вход и предположения'!$G$13</f>
        <v>0.5</v>
      </c>
      <c r="AE26" s="114">
        <f>'Вход и предположения'!$G$13</f>
        <v>0.5</v>
      </c>
      <c r="AF26" s="114">
        <f>'Вход и предположения'!$G$13</f>
        <v>0.5</v>
      </c>
      <c r="AG26" s="114">
        <f>'Вход и предположения'!$G$13</f>
        <v>0.5</v>
      </c>
      <c r="AH26" s="114">
        <f>'Вход и предположения'!$G$13</f>
        <v>0.5</v>
      </c>
      <c r="AI26" s="114">
        <f>'Вход и предположения'!$G$13</f>
        <v>0.5</v>
      </c>
      <c r="AJ26" s="114">
        <f>'Вход и предположения'!$G$13</f>
        <v>0.5</v>
      </c>
      <c r="AK26" s="114">
        <f>'Вход и предположения'!$G$13</f>
        <v>0.5</v>
      </c>
      <c r="AL26" s="114">
        <f>'Вход и предположения'!$G$13</f>
        <v>0.5</v>
      </c>
      <c r="AM26" s="114">
        <f>'Вход и предположения'!$G$13</f>
        <v>0.5</v>
      </c>
      <c r="AN26" s="114">
        <f>'Вход и предположения'!$G$13</f>
        <v>0.5</v>
      </c>
      <c r="AO26" s="114">
        <f>'Вход и предположения'!$G$13</f>
        <v>0.5</v>
      </c>
      <c r="AP26" s="114">
        <f>'Вход и предположения'!$H$13</f>
        <v>0.5</v>
      </c>
      <c r="AQ26" s="114">
        <f>'Вход и предположения'!$H$13</f>
        <v>0.5</v>
      </c>
      <c r="AR26" s="114">
        <f>'Вход и предположения'!$H$13</f>
        <v>0.5</v>
      </c>
      <c r="AS26" s="114">
        <f>'Вход и предположения'!$H$13</f>
        <v>0.5</v>
      </c>
      <c r="AT26" s="114">
        <f>'Вход и предположения'!$H$13</f>
        <v>0.5</v>
      </c>
      <c r="AU26" s="114">
        <f>'Вход и предположения'!$H$13</f>
        <v>0.5</v>
      </c>
      <c r="AV26" s="114">
        <f>'Вход и предположения'!$H$13</f>
        <v>0.5</v>
      </c>
      <c r="AW26" s="114">
        <f>'Вход и предположения'!$H$13</f>
        <v>0.5</v>
      </c>
      <c r="AX26" s="114">
        <f>'Вход и предположения'!$H$13</f>
        <v>0.5</v>
      </c>
      <c r="AY26" s="114">
        <f>'Вход и предположения'!$H$13</f>
        <v>0.5</v>
      </c>
      <c r="AZ26" s="114">
        <f>'Вход и предположения'!$H$13</f>
        <v>0.5</v>
      </c>
      <c r="BA26" s="114">
        <f>'Вход и предположения'!$H$13</f>
        <v>0.5</v>
      </c>
      <c r="BB26" s="114">
        <f>'Вход и предположения'!$I$13</f>
        <v>0.5</v>
      </c>
      <c r="BC26" s="114">
        <f>'Вход и предположения'!$I$13</f>
        <v>0.5</v>
      </c>
      <c r="BD26" s="114">
        <f>'Вход и предположения'!$I$13</f>
        <v>0.5</v>
      </c>
      <c r="BE26" s="114">
        <f>'Вход и предположения'!$I$13</f>
        <v>0.5</v>
      </c>
      <c r="BF26" s="114">
        <f>'Вход и предположения'!$I$13</f>
        <v>0.5</v>
      </c>
      <c r="BG26" s="114">
        <f>'Вход и предположения'!$I$13</f>
        <v>0.5</v>
      </c>
      <c r="BH26" s="114">
        <f>'Вход и предположения'!$I$13</f>
        <v>0.5</v>
      </c>
      <c r="BI26" s="114">
        <f>'Вход и предположения'!$I$13</f>
        <v>0.5</v>
      </c>
      <c r="BJ26" s="114">
        <f>'Вход и предположения'!$I$13</f>
        <v>0.5</v>
      </c>
      <c r="BK26" s="114">
        <f>'Вход и предположения'!$I$13</f>
        <v>0.5</v>
      </c>
      <c r="BL26" s="114">
        <f>'Вход и предположения'!$I$13</f>
        <v>0.5</v>
      </c>
      <c r="BM26" s="114">
        <f>'Вход и предположения'!$I$13</f>
        <v>0.5</v>
      </c>
    </row>
    <row r="27" spans="1:73">
      <c r="C27" s="28" t="s">
        <v>174</v>
      </c>
      <c r="D27" s="29" t="s">
        <v>169</v>
      </c>
      <c r="E27" s="29"/>
      <c r="F27" s="117">
        <f>'Вход и предположения'!$E$17</f>
        <v>200</v>
      </c>
      <c r="G27" s="117">
        <f>'Вход и предположения'!$E$17</f>
        <v>200</v>
      </c>
      <c r="H27" s="117">
        <f>'Вход и предположения'!$E$17</f>
        <v>200</v>
      </c>
      <c r="I27" s="117">
        <f>'Вход и предположения'!$E$17</f>
        <v>200</v>
      </c>
      <c r="J27" s="117">
        <f>'Вход и предположения'!$E$17</f>
        <v>200</v>
      </c>
      <c r="K27" s="117">
        <f>'Вход и предположения'!$E$17</f>
        <v>200</v>
      </c>
      <c r="L27" s="117">
        <f>'Вход и предположения'!$E$17</f>
        <v>200</v>
      </c>
      <c r="M27" s="117">
        <f>'Вход и предположения'!$E$17</f>
        <v>200</v>
      </c>
      <c r="N27" s="117">
        <f>'Вход и предположения'!$E$17</f>
        <v>200</v>
      </c>
      <c r="O27" s="117">
        <f>'Вход и предположения'!$E$17</f>
        <v>200</v>
      </c>
      <c r="P27" s="117">
        <f>'Вход и предположения'!$E$17</f>
        <v>200</v>
      </c>
      <c r="Q27" s="117">
        <f>'Вход и предположения'!$E$17</f>
        <v>200</v>
      </c>
      <c r="R27" s="117">
        <f>'Вход и предположения'!$E$17</f>
        <v>200</v>
      </c>
      <c r="S27" s="117">
        <f>'Вход и предположения'!$E$17</f>
        <v>200</v>
      </c>
      <c r="T27" s="117">
        <f>'Вход и предположения'!$E$17</f>
        <v>200</v>
      </c>
      <c r="U27" s="117">
        <f>'Вход и предположения'!$E$17</f>
        <v>200</v>
      </c>
      <c r="V27" s="117">
        <f>'Вход и предположения'!$E$17</f>
        <v>200</v>
      </c>
      <c r="W27" s="117">
        <f>'Вход и предположения'!$E$17</f>
        <v>200</v>
      </c>
      <c r="X27" s="117">
        <f>'Вход и предположения'!$E$17</f>
        <v>200</v>
      </c>
      <c r="Y27" s="117">
        <f>'Вход и предположения'!$E$17</f>
        <v>200</v>
      </c>
      <c r="Z27" s="117">
        <f>'Вход и предположения'!$E$17</f>
        <v>200</v>
      </c>
      <c r="AA27" s="117">
        <f>'Вход и предположения'!$E$17</f>
        <v>200</v>
      </c>
      <c r="AB27" s="117">
        <f>'Вход и предположения'!$E$17</f>
        <v>200</v>
      </c>
      <c r="AC27" s="117">
        <f>'Вход и предположения'!$E$17</f>
        <v>200</v>
      </c>
      <c r="AD27" s="117">
        <f>'Вход и предположения'!$E$17</f>
        <v>200</v>
      </c>
      <c r="AE27" s="117">
        <f>'Вход и предположения'!$E$17</f>
        <v>200</v>
      </c>
      <c r="AF27" s="117">
        <f>'Вход и предположения'!$E$17</f>
        <v>200</v>
      </c>
      <c r="AG27" s="117">
        <f>'Вход и предположения'!$E$17</f>
        <v>200</v>
      </c>
      <c r="AH27" s="117">
        <f>'Вход и предположения'!$E$17</f>
        <v>200</v>
      </c>
      <c r="AI27" s="117">
        <f>'Вход и предположения'!$E$17</f>
        <v>200</v>
      </c>
      <c r="AJ27" s="117">
        <f>'Вход и предположения'!$E$17</f>
        <v>200</v>
      </c>
      <c r="AK27" s="117">
        <f>'Вход и предположения'!$E$17</f>
        <v>200</v>
      </c>
      <c r="AL27" s="117">
        <f>'Вход и предположения'!$E$17</f>
        <v>200</v>
      </c>
      <c r="AM27" s="117">
        <f>'Вход и предположения'!$E$17</f>
        <v>200</v>
      </c>
      <c r="AN27" s="117">
        <f>'Вход и предположения'!$E$17</f>
        <v>200</v>
      </c>
      <c r="AO27" s="117">
        <f>'Вход и предположения'!$E$17</f>
        <v>200</v>
      </c>
      <c r="AP27" s="117">
        <f>'Вход и предположения'!$E$17</f>
        <v>200</v>
      </c>
      <c r="AQ27" s="117">
        <f>'Вход и предположения'!$E$17</f>
        <v>200</v>
      </c>
      <c r="AR27" s="117">
        <f>'Вход и предположения'!$E$17</f>
        <v>200</v>
      </c>
      <c r="AS27" s="117">
        <f>'Вход и предположения'!$E$17</f>
        <v>200</v>
      </c>
      <c r="AT27" s="117">
        <f>'Вход и предположения'!$E$17</f>
        <v>200</v>
      </c>
      <c r="AU27" s="117">
        <f>'Вход и предположения'!$E$17</f>
        <v>200</v>
      </c>
      <c r="AV27" s="117">
        <f>'Вход и предположения'!$E$17</f>
        <v>200</v>
      </c>
      <c r="AW27" s="117">
        <f>'Вход и предположения'!$E$17</f>
        <v>200</v>
      </c>
      <c r="AX27" s="117">
        <f>'Вход и предположения'!$E$17</f>
        <v>200</v>
      </c>
      <c r="AY27" s="117">
        <f>'Вход и предположения'!$E$17</f>
        <v>200</v>
      </c>
      <c r="AZ27" s="117">
        <f>'Вход и предположения'!$E$17</f>
        <v>200</v>
      </c>
      <c r="BA27" s="117">
        <f>'Вход и предположения'!$E$17</f>
        <v>200</v>
      </c>
      <c r="BB27" s="117">
        <f>'Вход и предположения'!$E$17</f>
        <v>200</v>
      </c>
      <c r="BC27" s="117">
        <f>'Вход и предположения'!$E$17</f>
        <v>200</v>
      </c>
      <c r="BD27" s="117">
        <f>'Вход и предположения'!$E$17</f>
        <v>200</v>
      </c>
      <c r="BE27" s="117">
        <f>'Вход и предположения'!$E$17</f>
        <v>200</v>
      </c>
      <c r="BF27" s="117">
        <f>'Вход и предположения'!$E$17</f>
        <v>200</v>
      </c>
      <c r="BG27" s="117">
        <f>'Вход и предположения'!$E$17</f>
        <v>200</v>
      </c>
      <c r="BH27" s="117">
        <f>'Вход и предположения'!$E$17</f>
        <v>200</v>
      </c>
      <c r="BI27" s="117">
        <f>'Вход и предположения'!$E$17</f>
        <v>200</v>
      </c>
      <c r="BJ27" s="117">
        <f>'Вход и предположения'!$E$17</f>
        <v>200</v>
      </c>
      <c r="BK27" s="117">
        <f>'Вход и предположения'!$E$17</f>
        <v>200</v>
      </c>
      <c r="BL27" s="117">
        <f>'Вход и предположения'!$E$17</f>
        <v>200</v>
      </c>
      <c r="BM27" s="117">
        <f>'Вход и предположения'!$E$17</f>
        <v>200</v>
      </c>
    </row>
    <row r="28" spans="1:73">
      <c r="C28" s="28" t="s">
        <v>175</v>
      </c>
      <c r="D28" s="29" t="s">
        <v>169</v>
      </c>
      <c r="E28" s="29"/>
      <c r="F28" s="116">
        <f>F27*F6</f>
        <v>200</v>
      </c>
      <c r="G28" s="116">
        <f t="shared" ref="G28:BM28" si="17">G27*G6</f>
        <v>200</v>
      </c>
      <c r="H28" s="116">
        <f t="shared" si="17"/>
        <v>200</v>
      </c>
      <c r="I28" s="116">
        <f t="shared" si="17"/>
        <v>200</v>
      </c>
      <c r="J28" s="116">
        <f t="shared" si="17"/>
        <v>200</v>
      </c>
      <c r="K28" s="116">
        <f t="shared" si="17"/>
        <v>200</v>
      </c>
      <c r="L28" s="116">
        <f t="shared" si="17"/>
        <v>200</v>
      </c>
      <c r="M28" s="116">
        <f t="shared" si="17"/>
        <v>200</v>
      </c>
      <c r="N28" s="116">
        <f t="shared" si="17"/>
        <v>200</v>
      </c>
      <c r="O28" s="116">
        <f t="shared" si="17"/>
        <v>200</v>
      </c>
      <c r="P28" s="116">
        <f t="shared" si="17"/>
        <v>200</v>
      </c>
      <c r="Q28" s="116">
        <f t="shared" si="17"/>
        <v>200</v>
      </c>
      <c r="R28" s="116">
        <f t="shared" si="17"/>
        <v>200.66666666666669</v>
      </c>
      <c r="S28" s="116">
        <f t="shared" si="17"/>
        <v>201.3355555555556</v>
      </c>
      <c r="T28" s="116">
        <f t="shared" si="17"/>
        <v>202.00667407407417</v>
      </c>
      <c r="U28" s="116">
        <f t="shared" si="17"/>
        <v>202.68002965432112</v>
      </c>
      <c r="V28" s="116">
        <f t="shared" si="17"/>
        <v>203.35562975316884</v>
      </c>
      <c r="W28" s="116">
        <f t="shared" si="17"/>
        <v>204.03348185234611</v>
      </c>
      <c r="X28" s="116">
        <f t="shared" si="17"/>
        <v>204.71359345852059</v>
      </c>
      <c r="Y28" s="116">
        <f t="shared" si="17"/>
        <v>205.39597210338235</v>
      </c>
      <c r="Z28" s="116">
        <f t="shared" si="17"/>
        <v>206.08062534372698</v>
      </c>
      <c r="AA28" s="116">
        <f t="shared" si="17"/>
        <v>206.76756076153939</v>
      </c>
      <c r="AB28" s="116">
        <f t="shared" si="17"/>
        <v>207.45678596407785</v>
      </c>
      <c r="AC28" s="116">
        <f t="shared" si="17"/>
        <v>208.14830858395811</v>
      </c>
      <c r="AD28" s="116">
        <f t="shared" si="17"/>
        <v>208.84213627923799</v>
      </c>
      <c r="AE28" s="116">
        <f t="shared" si="17"/>
        <v>209.53827673350216</v>
      </c>
      <c r="AF28" s="116">
        <f t="shared" si="17"/>
        <v>210.23673765594717</v>
      </c>
      <c r="AG28" s="116">
        <f t="shared" si="17"/>
        <v>210.937526781467</v>
      </c>
      <c r="AH28" s="116">
        <f t="shared" si="17"/>
        <v>211.64065187073859</v>
      </c>
      <c r="AI28" s="116">
        <f t="shared" si="17"/>
        <v>212.34612071030773</v>
      </c>
      <c r="AJ28" s="116">
        <f t="shared" si="17"/>
        <v>213.0539411126754</v>
      </c>
      <c r="AK28" s="116">
        <f t="shared" si="17"/>
        <v>213.76412091638434</v>
      </c>
      <c r="AL28" s="116">
        <f t="shared" si="17"/>
        <v>214.47666798610564</v>
      </c>
      <c r="AM28" s="116">
        <f t="shared" si="17"/>
        <v>215.19159021272603</v>
      </c>
      <c r="AN28" s="116">
        <f t="shared" si="17"/>
        <v>215.90889551343514</v>
      </c>
      <c r="AO28" s="116">
        <f t="shared" si="17"/>
        <v>216.62859183181325</v>
      </c>
      <c r="AP28" s="116">
        <f t="shared" si="17"/>
        <v>217.35068713791929</v>
      </c>
      <c r="AQ28" s="116">
        <f t="shared" si="17"/>
        <v>218.07518942837905</v>
      </c>
      <c r="AR28" s="116">
        <f t="shared" si="17"/>
        <v>218.80210672647365</v>
      </c>
      <c r="AS28" s="116">
        <f t="shared" si="17"/>
        <v>219.53144708222857</v>
      </c>
      <c r="AT28" s="116">
        <f t="shared" si="17"/>
        <v>220.26321857250269</v>
      </c>
      <c r="AU28" s="116">
        <f t="shared" si="17"/>
        <v>220.99742930107772</v>
      </c>
      <c r="AV28" s="116">
        <f t="shared" si="17"/>
        <v>221.73408739874802</v>
      </c>
      <c r="AW28" s="116">
        <f t="shared" si="17"/>
        <v>222.47320102341055</v>
      </c>
      <c r="AX28" s="116">
        <f t="shared" si="17"/>
        <v>223.21477836015529</v>
      </c>
      <c r="AY28" s="116">
        <f t="shared" si="17"/>
        <v>223.95882762135582</v>
      </c>
      <c r="AZ28" s="116">
        <f t="shared" si="17"/>
        <v>224.70535704676035</v>
      </c>
      <c r="BA28" s="116">
        <f t="shared" si="17"/>
        <v>225.4543749035829</v>
      </c>
      <c r="BB28" s="116">
        <f t="shared" si="17"/>
        <v>226.20588948659486</v>
      </c>
      <c r="BC28" s="116">
        <f t="shared" si="17"/>
        <v>226.95990911821684</v>
      </c>
      <c r="BD28" s="116">
        <f t="shared" si="17"/>
        <v>227.71644214861089</v>
      </c>
      <c r="BE28" s="116">
        <f t="shared" si="17"/>
        <v>228.47549695577297</v>
      </c>
      <c r="BF28" s="116">
        <f t="shared" si="17"/>
        <v>229.23708194562556</v>
      </c>
      <c r="BG28" s="116">
        <f t="shared" si="17"/>
        <v>230.001205552111</v>
      </c>
      <c r="BH28" s="116">
        <f t="shared" si="17"/>
        <v>230.76787623728472</v>
      </c>
      <c r="BI28" s="116">
        <f t="shared" si="17"/>
        <v>231.53710249140903</v>
      </c>
      <c r="BJ28" s="116">
        <f t="shared" si="17"/>
        <v>232.30889283304705</v>
      </c>
      <c r="BK28" s="116">
        <f t="shared" si="17"/>
        <v>233.08325580915721</v>
      </c>
      <c r="BL28" s="116">
        <f t="shared" si="17"/>
        <v>233.86019999518774</v>
      </c>
      <c r="BM28" s="116">
        <f t="shared" si="17"/>
        <v>234.6397339951717</v>
      </c>
    </row>
    <row r="29" spans="1:73">
      <c r="C29" s="110" t="s">
        <v>176</v>
      </c>
      <c r="D29" s="111" t="s">
        <v>177</v>
      </c>
      <c r="E29" s="111"/>
      <c r="F29" s="115">
        <f>F7*F26</f>
        <v>144</v>
      </c>
      <c r="G29" s="115">
        <f t="shared" ref="G29:BM29" si="18">G7*G26</f>
        <v>216</v>
      </c>
      <c r="H29" s="115">
        <f t="shared" si="18"/>
        <v>251.99999999999997</v>
      </c>
      <c r="I29" s="115">
        <f t="shared" si="18"/>
        <v>288</v>
      </c>
      <c r="J29" s="115">
        <f t="shared" si="18"/>
        <v>288</v>
      </c>
      <c r="K29" s="115">
        <f t="shared" si="18"/>
        <v>288</v>
      </c>
      <c r="L29" s="115">
        <f t="shared" si="18"/>
        <v>288</v>
      </c>
      <c r="M29" s="115">
        <f t="shared" si="18"/>
        <v>288</v>
      </c>
      <c r="N29" s="115">
        <f t="shared" si="18"/>
        <v>288</v>
      </c>
      <c r="O29" s="115">
        <f t="shared" si="18"/>
        <v>288</v>
      </c>
      <c r="P29" s="115">
        <f t="shared" si="18"/>
        <v>288</v>
      </c>
      <c r="Q29" s="115">
        <f t="shared" si="18"/>
        <v>288</v>
      </c>
      <c r="R29" s="115">
        <f t="shared" si="18"/>
        <v>360</v>
      </c>
      <c r="S29" s="115">
        <f t="shared" si="18"/>
        <v>360</v>
      </c>
      <c r="T29" s="115">
        <f t="shared" si="18"/>
        <v>360</v>
      </c>
      <c r="U29" s="115">
        <f t="shared" si="18"/>
        <v>360</v>
      </c>
      <c r="V29" s="115">
        <f t="shared" si="18"/>
        <v>360</v>
      </c>
      <c r="W29" s="115">
        <f t="shared" si="18"/>
        <v>360</v>
      </c>
      <c r="X29" s="115">
        <f t="shared" si="18"/>
        <v>360</v>
      </c>
      <c r="Y29" s="115">
        <f t="shared" si="18"/>
        <v>360</v>
      </c>
      <c r="Z29" s="115">
        <f t="shared" si="18"/>
        <v>360</v>
      </c>
      <c r="AA29" s="115">
        <f t="shared" si="18"/>
        <v>360</v>
      </c>
      <c r="AB29" s="115">
        <f t="shared" si="18"/>
        <v>360</v>
      </c>
      <c r="AC29" s="115">
        <f t="shared" si="18"/>
        <v>360</v>
      </c>
      <c r="AD29" s="115">
        <f t="shared" si="18"/>
        <v>360</v>
      </c>
      <c r="AE29" s="115">
        <f t="shared" si="18"/>
        <v>360</v>
      </c>
      <c r="AF29" s="115">
        <f t="shared" si="18"/>
        <v>360</v>
      </c>
      <c r="AG29" s="115">
        <f t="shared" si="18"/>
        <v>360</v>
      </c>
      <c r="AH29" s="115">
        <f t="shared" si="18"/>
        <v>360</v>
      </c>
      <c r="AI29" s="115">
        <f t="shared" si="18"/>
        <v>360</v>
      </c>
      <c r="AJ29" s="115">
        <f t="shared" si="18"/>
        <v>360</v>
      </c>
      <c r="AK29" s="115">
        <f t="shared" si="18"/>
        <v>360</v>
      </c>
      <c r="AL29" s="115">
        <f t="shared" si="18"/>
        <v>360</v>
      </c>
      <c r="AM29" s="115">
        <f t="shared" si="18"/>
        <v>360</v>
      </c>
      <c r="AN29" s="115">
        <f t="shared" si="18"/>
        <v>360</v>
      </c>
      <c r="AO29" s="115">
        <f t="shared" si="18"/>
        <v>360</v>
      </c>
      <c r="AP29" s="115">
        <f t="shared" si="18"/>
        <v>360</v>
      </c>
      <c r="AQ29" s="115">
        <f t="shared" si="18"/>
        <v>360</v>
      </c>
      <c r="AR29" s="115">
        <f t="shared" si="18"/>
        <v>360</v>
      </c>
      <c r="AS29" s="115">
        <f t="shared" si="18"/>
        <v>360</v>
      </c>
      <c r="AT29" s="115">
        <f t="shared" si="18"/>
        <v>360</v>
      </c>
      <c r="AU29" s="115">
        <f t="shared" si="18"/>
        <v>360</v>
      </c>
      <c r="AV29" s="115">
        <f t="shared" si="18"/>
        <v>360</v>
      </c>
      <c r="AW29" s="115">
        <f t="shared" si="18"/>
        <v>360</v>
      </c>
      <c r="AX29" s="115">
        <f t="shared" si="18"/>
        <v>360</v>
      </c>
      <c r="AY29" s="115">
        <f t="shared" si="18"/>
        <v>360</v>
      </c>
      <c r="AZ29" s="115">
        <f t="shared" si="18"/>
        <v>360</v>
      </c>
      <c r="BA29" s="115">
        <f t="shared" si="18"/>
        <v>360</v>
      </c>
      <c r="BB29" s="115">
        <f t="shared" si="18"/>
        <v>360</v>
      </c>
      <c r="BC29" s="115">
        <f t="shared" si="18"/>
        <v>360</v>
      </c>
      <c r="BD29" s="115">
        <f t="shared" si="18"/>
        <v>360</v>
      </c>
      <c r="BE29" s="115">
        <f t="shared" si="18"/>
        <v>360</v>
      </c>
      <c r="BF29" s="115">
        <f t="shared" si="18"/>
        <v>360</v>
      </c>
      <c r="BG29" s="115">
        <f t="shared" si="18"/>
        <v>360</v>
      </c>
      <c r="BH29" s="115">
        <f t="shared" si="18"/>
        <v>360</v>
      </c>
      <c r="BI29" s="115">
        <f t="shared" si="18"/>
        <v>360</v>
      </c>
      <c r="BJ29" s="115">
        <f t="shared" si="18"/>
        <v>360</v>
      </c>
      <c r="BK29" s="115">
        <f t="shared" si="18"/>
        <v>360</v>
      </c>
      <c r="BL29" s="115">
        <f t="shared" si="18"/>
        <v>360</v>
      </c>
      <c r="BM29" s="115">
        <f t="shared" si="18"/>
        <v>360</v>
      </c>
    </row>
    <row r="30" spans="1:73">
      <c r="C30" s="110"/>
      <c r="D30" s="111"/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</row>
    <row r="31" spans="1:73" ht="15.75" thickBot="1">
      <c r="A31" s="121"/>
      <c r="B31" s="121"/>
      <c r="C31" s="31" t="s">
        <v>182</v>
      </c>
      <c r="D31" s="111"/>
      <c r="E31" s="111"/>
      <c r="F31" s="112">
        <f>F11*F15+F18*F22+F25*F29</f>
        <v>2448</v>
      </c>
      <c r="G31" s="112">
        <f t="shared" ref="G31:BM31" si="19">G11*G15+G18*G22+G25*G29</f>
        <v>3672</v>
      </c>
      <c r="H31" s="112">
        <f t="shared" si="19"/>
        <v>4283.9999999999991</v>
      </c>
      <c r="I31" s="112">
        <f t="shared" si="19"/>
        <v>4896</v>
      </c>
      <c r="J31" s="112">
        <f t="shared" si="19"/>
        <v>4896</v>
      </c>
      <c r="K31" s="112">
        <f t="shared" si="19"/>
        <v>4896</v>
      </c>
      <c r="L31" s="112">
        <f t="shared" si="19"/>
        <v>4896</v>
      </c>
      <c r="M31" s="112">
        <f t="shared" si="19"/>
        <v>4896</v>
      </c>
      <c r="N31" s="112">
        <f t="shared" si="19"/>
        <v>4896</v>
      </c>
      <c r="O31" s="112">
        <f t="shared" si="19"/>
        <v>4896</v>
      </c>
      <c r="P31" s="112">
        <f t="shared" si="19"/>
        <v>4896</v>
      </c>
      <c r="Q31" s="112">
        <f t="shared" si="19"/>
        <v>4896</v>
      </c>
      <c r="R31" s="112">
        <f t="shared" si="19"/>
        <v>6120</v>
      </c>
      <c r="S31" s="112">
        <f t="shared" si="19"/>
        <v>6120</v>
      </c>
      <c r="T31" s="112">
        <f t="shared" si="19"/>
        <v>6120</v>
      </c>
      <c r="U31" s="112">
        <f t="shared" si="19"/>
        <v>6120</v>
      </c>
      <c r="V31" s="112">
        <f t="shared" si="19"/>
        <v>6120</v>
      </c>
      <c r="W31" s="112">
        <f t="shared" si="19"/>
        <v>6120</v>
      </c>
      <c r="X31" s="112">
        <f t="shared" si="19"/>
        <v>6120</v>
      </c>
      <c r="Y31" s="112">
        <f t="shared" si="19"/>
        <v>6120</v>
      </c>
      <c r="Z31" s="112">
        <f t="shared" si="19"/>
        <v>6120</v>
      </c>
      <c r="AA31" s="112">
        <f t="shared" si="19"/>
        <v>6120</v>
      </c>
      <c r="AB31" s="112">
        <f t="shared" si="19"/>
        <v>6120</v>
      </c>
      <c r="AC31" s="112">
        <f t="shared" si="19"/>
        <v>6120</v>
      </c>
      <c r="AD31" s="112">
        <f t="shared" si="19"/>
        <v>6120</v>
      </c>
      <c r="AE31" s="112">
        <f t="shared" si="19"/>
        <v>6120</v>
      </c>
      <c r="AF31" s="112">
        <f t="shared" si="19"/>
        <v>6120</v>
      </c>
      <c r="AG31" s="112">
        <f t="shared" si="19"/>
        <v>6120</v>
      </c>
      <c r="AH31" s="112">
        <f t="shared" si="19"/>
        <v>6120</v>
      </c>
      <c r="AI31" s="112">
        <f t="shared" si="19"/>
        <v>6120</v>
      </c>
      <c r="AJ31" s="112">
        <f t="shared" si="19"/>
        <v>6120</v>
      </c>
      <c r="AK31" s="112">
        <f t="shared" si="19"/>
        <v>6120</v>
      </c>
      <c r="AL31" s="112">
        <f t="shared" si="19"/>
        <v>6120</v>
      </c>
      <c r="AM31" s="112">
        <f t="shared" si="19"/>
        <v>6120</v>
      </c>
      <c r="AN31" s="112">
        <f t="shared" si="19"/>
        <v>6120</v>
      </c>
      <c r="AO31" s="112">
        <f t="shared" si="19"/>
        <v>6120</v>
      </c>
      <c r="AP31" s="112">
        <f t="shared" si="19"/>
        <v>6120</v>
      </c>
      <c r="AQ31" s="112">
        <f t="shared" si="19"/>
        <v>6120</v>
      </c>
      <c r="AR31" s="112">
        <f t="shared" si="19"/>
        <v>6120</v>
      </c>
      <c r="AS31" s="112">
        <f t="shared" si="19"/>
        <v>6120</v>
      </c>
      <c r="AT31" s="112">
        <f t="shared" si="19"/>
        <v>6120</v>
      </c>
      <c r="AU31" s="112">
        <f t="shared" si="19"/>
        <v>6120</v>
      </c>
      <c r="AV31" s="112">
        <f t="shared" si="19"/>
        <v>6120</v>
      </c>
      <c r="AW31" s="112">
        <f t="shared" si="19"/>
        <v>6120</v>
      </c>
      <c r="AX31" s="112">
        <f t="shared" si="19"/>
        <v>6120</v>
      </c>
      <c r="AY31" s="112">
        <f t="shared" si="19"/>
        <v>6120</v>
      </c>
      <c r="AZ31" s="112">
        <f t="shared" si="19"/>
        <v>6120</v>
      </c>
      <c r="BA31" s="112">
        <f t="shared" si="19"/>
        <v>6120</v>
      </c>
      <c r="BB31" s="112">
        <f t="shared" si="19"/>
        <v>6120</v>
      </c>
      <c r="BC31" s="112">
        <f t="shared" si="19"/>
        <v>6120</v>
      </c>
      <c r="BD31" s="112">
        <f t="shared" si="19"/>
        <v>6120</v>
      </c>
      <c r="BE31" s="112">
        <f t="shared" si="19"/>
        <v>6120</v>
      </c>
      <c r="BF31" s="112">
        <f t="shared" si="19"/>
        <v>6120</v>
      </c>
      <c r="BG31" s="112">
        <f t="shared" si="19"/>
        <v>6120</v>
      </c>
      <c r="BH31" s="112">
        <f t="shared" si="19"/>
        <v>6120</v>
      </c>
      <c r="BI31" s="112">
        <f t="shared" si="19"/>
        <v>6120</v>
      </c>
      <c r="BJ31" s="112">
        <f t="shared" si="19"/>
        <v>6120</v>
      </c>
      <c r="BK31" s="112">
        <f t="shared" si="19"/>
        <v>6120</v>
      </c>
      <c r="BL31" s="112">
        <f t="shared" si="19"/>
        <v>6120</v>
      </c>
      <c r="BM31" s="112">
        <f t="shared" si="19"/>
        <v>6120</v>
      </c>
    </row>
    <row r="32" spans="1:73" ht="15.75" thickTop="1">
      <c r="D32" s="3"/>
      <c r="Q32" s="95"/>
      <c r="AC32" s="95"/>
      <c r="AO32" s="95"/>
      <c r="BA32" s="95"/>
    </row>
    <row r="33" spans="1:73">
      <c r="A33" s="119"/>
      <c r="B33" s="119"/>
      <c r="C33" s="108" t="s">
        <v>178</v>
      </c>
      <c r="D33" s="120"/>
      <c r="E33" s="120"/>
      <c r="F33" s="124">
        <f>F34*F36</f>
        <v>171360</v>
      </c>
      <c r="G33" s="124">
        <f t="shared" ref="G33:BM33" si="20">G34*G36</f>
        <v>257040</v>
      </c>
      <c r="H33" s="124">
        <f t="shared" si="20"/>
        <v>299879.99999999994</v>
      </c>
      <c r="I33" s="124">
        <f t="shared" si="20"/>
        <v>342720</v>
      </c>
      <c r="J33" s="124">
        <f t="shared" si="20"/>
        <v>342720</v>
      </c>
      <c r="K33" s="124">
        <f t="shared" si="20"/>
        <v>342720</v>
      </c>
      <c r="L33" s="124">
        <f t="shared" si="20"/>
        <v>342720</v>
      </c>
      <c r="M33" s="124">
        <f t="shared" si="20"/>
        <v>342720</v>
      </c>
      <c r="N33" s="124">
        <f t="shared" si="20"/>
        <v>342720</v>
      </c>
      <c r="O33" s="124">
        <f t="shared" si="20"/>
        <v>342720</v>
      </c>
      <c r="P33" s="124">
        <f t="shared" si="20"/>
        <v>342720</v>
      </c>
      <c r="Q33" s="124">
        <f t="shared" si="20"/>
        <v>342720</v>
      </c>
      <c r="R33" s="124">
        <f t="shared" si="20"/>
        <v>429828</v>
      </c>
      <c r="S33" s="124">
        <f t="shared" si="20"/>
        <v>431260.76000000007</v>
      </c>
      <c r="T33" s="124">
        <f t="shared" si="20"/>
        <v>432698.29586666683</v>
      </c>
      <c r="U33" s="124">
        <f t="shared" si="20"/>
        <v>434140.62351955578</v>
      </c>
      <c r="V33" s="124">
        <f t="shared" si="20"/>
        <v>435587.75893128768</v>
      </c>
      <c r="W33" s="124">
        <f t="shared" si="20"/>
        <v>437039.71812772541</v>
      </c>
      <c r="X33" s="124">
        <f t="shared" si="20"/>
        <v>438496.51718815108</v>
      </c>
      <c r="Y33" s="124">
        <f t="shared" si="20"/>
        <v>439958.17224544502</v>
      </c>
      <c r="Z33" s="124">
        <f t="shared" si="20"/>
        <v>441424.69948626315</v>
      </c>
      <c r="AA33" s="124">
        <f t="shared" si="20"/>
        <v>442896.11515121738</v>
      </c>
      <c r="AB33" s="124">
        <f t="shared" si="20"/>
        <v>444372.43553505483</v>
      </c>
      <c r="AC33" s="124">
        <f t="shared" si="20"/>
        <v>445853.67698683828</v>
      </c>
      <c r="AD33" s="124">
        <f t="shared" si="20"/>
        <v>447339.85591012775</v>
      </c>
      <c r="AE33" s="124">
        <f t="shared" si="20"/>
        <v>448830.98876316159</v>
      </c>
      <c r="AF33" s="124">
        <f t="shared" si="20"/>
        <v>450327.09205903881</v>
      </c>
      <c r="AG33" s="124">
        <f t="shared" si="20"/>
        <v>451828.18236590229</v>
      </c>
      <c r="AH33" s="124">
        <f t="shared" si="20"/>
        <v>453334.27630712208</v>
      </c>
      <c r="AI33" s="124">
        <f t="shared" si="20"/>
        <v>454845.39056147914</v>
      </c>
      <c r="AJ33" s="124">
        <f t="shared" si="20"/>
        <v>456361.54186335072</v>
      </c>
      <c r="AK33" s="124">
        <f t="shared" si="20"/>
        <v>457882.74700289534</v>
      </c>
      <c r="AL33" s="124">
        <f t="shared" si="20"/>
        <v>459409.02282623824</v>
      </c>
      <c r="AM33" s="124">
        <f t="shared" si="20"/>
        <v>460940.38623565919</v>
      </c>
      <c r="AN33" s="124">
        <f t="shared" si="20"/>
        <v>462476.85418977804</v>
      </c>
      <c r="AO33" s="124">
        <f t="shared" si="20"/>
        <v>464018.44370374398</v>
      </c>
      <c r="AP33" s="124">
        <f t="shared" si="20"/>
        <v>465565.17184942315</v>
      </c>
      <c r="AQ33" s="124">
        <f t="shared" si="20"/>
        <v>467117.05575558793</v>
      </c>
      <c r="AR33" s="124">
        <f t="shared" si="20"/>
        <v>468674.11260810657</v>
      </c>
      <c r="AS33" s="124">
        <f t="shared" si="20"/>
        <v>470236.35965013364</v>
      </c>
      <c r="AT33" s="124">
        <f t="shared" si="20"/>
        <v>471803.81418230076</v>
      </c>
      <c r="AU33" s="124">
        <f t="shared" si="20"/>
        <v>473376.49356290849</v>
      </c>
      <c r="AV33" s="124">
        <f t="shared" si="20"/>
        <v>474954.41520811827</v>
      </c>
      <c r="AW33" s="124">
        <f t="shared" si="20"/>
        <v>476537.59659214539</v>
      </c>
      <c r="AX33" s="124">
        <f t="shared" si="20"/>
        <v>478126.05524745263</v>
      </c>
      <c r="AY33" s="124">
        <f t="shared" si="20"/>
        <v>479719.80876494414</v>
      </c>
      <c r="AZ33" s="124">
        <f t="shared" si="20"/>
        <v>481318.87479416071</v>
      </c>
      <c r="BA33" s="124">
        <f t="shared" si="20"/>
        <v>482923.27104347455</v>
      </c>
      <c r="BB33" s="124">
        <f t="shared" si="20"/>
        <v>484533.0152802862</v>
      </c>
      <c r="BC33" s="124">
        <f t="shared" si="20"/>
        <v>486148.12533122045</v>
      </c>
      <c r="BD33" s="124">
        <f t="shared" si="20"/>
        <v>487768.61908232461</v>
      </c>
      <c r="BE33" s="124">
        <f t="shared" si="20"/>
        <v>489394.51447926566</v>
      </c>
      <c r="BF33" s="124">
        <f t="shared" si="20"/>
        <v>491025.82952753</v>
      </c>
      <c r="BG33" s="124">
        <f t="shared" si="20"/>
        <v>492662.58229262172</v>
      </c>
      <c r="BH33" s="124">
        <f t="shared" si="20"/>
        <v>494304.79090026382</v>
      </c>
      <c r="BI33" s="124">
        <f t="shared" si="20"/>
        <v>495952.47353659815</v>
      </c>
      <c r="BJ33" s="124">
        <f t="shared" si="20"/>
        <v>497605.64844838681</v>
      </c>
      <c r="BK33" s="124">
        <f t="shared" si="20"/>
        <v>499264.33394321473</v>
      </c>
      <c r="BL33" s="124">
        <f t="shared" si="20"/>
        <v>500928.54838969215</v>
      </c>
      <c r="BM33" s="124">
        <f t="shared" si="20"/>
        <v>502598.31021765777</v>
      </c>
      <c r="BO33" s="94">
        <f t="shared" si="7"/>
        <v>26146451.375514518</v>
      </c>
      <c r="BP33" s="94">
        <f t="shared" si="8"/>
        <v>3812760</v>
      </c>
      <c r="BQ33" s="94">
        <f t="shared" si="9"/>
        <v>5253556.7730382057</v>
      </c>
      <c r="BR33" s="94">
        <f t="shared" si="10"/>
        <v>5467594.7817884963</v>
      </c>
      <c r="BS33" s="94">
        <f t="shared" si="11"/>
        <v>5690353.029258756</v>
      </c>
      <c r="BT33" s="94">
        <f t="shared" si="12"/>
        <v>5922186.7914290614</v>
      </c>
      <c r="BU33" s="94">
        <f t="shared" si="13"/>
        <v>26146451.375514518</v>
      </c>
    </row>
    <row r="34" spans="1:73">
      <c r="C34" s="28" t="s">
        <v>179</v>
      </c>
      <c r="D34" s="3" t="s">
        <v>180</v>
      </c>
      <c r="F34" s="122">
        <f>F31</f>
        <v>2448</v>
      </c>
      <c r="G34" s="122">
        <f t="shared" ref="G34:BM34" si="21">G31</f>
        <v>3672</v>
      </c>
      <c r="H34" s="122">
        <f t="shared" si="21"/>
        <v>4283.9999999999991</v>
      </c>
      <c r="I34" s="122">
        <f t="shared" si="21"/>
        <v>4896</v>
      </c>
      <c r="J34" s="122">
        <f t="shared" si="21"/>
        <v>4896</v>
      </c>
      <c r="K34" s="122">
        <f t="shared" si="21"/>
        <v>4896</v>
      </c>
      <c r="L34" s="122">
        <f t="shared" si="21"/>
        <v>4896</v>
      </c>
      <c r="M34" s="122">
        <f t="shared" si="21"/>
        <v>4896</v>
      </c>
      <c r="N34" s="122">
        <f t="shared" si="21"/>
        <v>4896</v>
      </c>
      <c r="O34" s="122">
        <f t="shared" si="21"/>
        <v>4896</v>
      </c>
      <c r="P34" s="122">
        <f t="shared" si="21"/>
        <v>4896</v>
      </c>
      <c r="Q34" s="122">
        <f t="shared" si="21"/>
        <v>4896</v>
      </c>
      <c r="R34" s="122">
        <f t="shared" si="21"/>
        <v>6120</v>
      </c>
      <c r="S34" s="122">
        <f t="shared" si="21"/>
        <v>6120</v>
      </c>
      <c r="T34" s="122">
        <f t="shared" si="21"/>
        <v>6120</v>
      </c>
      <c r="U34" s="122">
        <f t="shared" si="21"/>
        <v>6120</v>
      </c>
      <c r="V34" s="122">
        <f t="shared" si="21"/>
        <v>6120</v>
      </c>
      <c r="W34" s="122">
        <f t="shared" si="21"/>
        <v>6120</v>
      </c>
      <c r="X34" s="122">
        <f t="shared" si="21"/>
        <v>6120</v>
      </c>
      <c r="Y34" s="122">
        <f t="shared" si="21"/>
        <v>6120</v>
      </c>
      <c r="Z34" s="122">
        <f t="shared" si="21"/>
        <v>6120</v>
      </c>
      <c r="AA34" s="122">
        <f t="shared" si="21"/>
        <v>6120</v>
      </c>
      <c r="AB34" s="122">
        <f t="shared" si="21"/>
        <v>6120</v>
      </c>
      <c r="AC34" s="122">
        <f t="shared" si="21"/>
        <v>6120</v>
      </c>
      <c r="AD34" s="122">
        <f t="shared" si="21"/>
        <v>6120</v>
      </c>
      <c r="AE34" s="122">
        <f t="shared" si="21"/>
        <v>6120</v>
      </c>
      <c r="AF34" s="122">
        <f t="shared" si="21"/>
        <v>6120</v>
      </c>
      <c r="AG34" s="122">
        <f t="shared" si="21"/>
        <v>6120</v>
      </c>
      <c r="AH34" s="122">
        <f t="shared" si="21"/>
        <v>6120</v>
      </c>
      <c r="AI34" s="122">
        <f t="shared" si="21"/>
        <v>6120</v>
      </c>
      <c r="AJ34" s="122">
        <f t="shared" si="21"/>
        <v>6120</v>
      </c>
      <c r="AK34" s="122">
        <f t="shared" si="21"/>
        <v>6120</v>
      </c>
      <c r="AL34" s="122">
        <f t="shared" si="21"/>
        <v>6120</v>
      </c>
      <c r="AM34" s="122">
        <f t="shared" si="21"/>
        <v>6120</v>
      </c>
      <c r="AN34" s="122">
        <f t="shared" si="21"/>
        <v>6120</v>
      </c>
      <c r="AO34" s="122">
        <f t="shared" si="21"/>
        <v>6120</v>
      </c>
      <c r="AP34" s="122">
        <f t="shared" si="21"/>
        <v>6120</v>
      </c>
      <c r="AQ34" s="122">
        <f t="shared" si="21"/>
        <v>6120</v>
      </c>
      <c r="AR34" s="122">
        <f t="shared" si="21"/>
        <v>6120</v>
      </c>
      <c r="AS34" s="122">
        <f t="shared" si="21"/>
        <v>6120</v>
      </c>
      <c r="AT34" s="122">
        <f t="shared" si="21"/>
        <v>6120</v>
      </c>
      <c r="AU34" s="122">
        <f t="shared" si="21"/>
        <v>6120</v>
      </c>
      <c r="AV34" s="122">
        <f t="shared" si="21"/>
        <v>6120</v>
      </c>
      <c r="AW34" s="122">
        <f t="shared" si="21"/>
        <v>6120</v>
      </c>
      <c r="AX34" s="122">
        <f t="shared" si="21"/>
        <v>6120</v>
      </c>
      <c r="AY34" s="122">
        <f t="shared" si="21"/>
        <v>6120</v>
      </c>
      <c r="AZ34" s="122">
        <f t="shared" si="21"/>
        <v>6120</v>
      </c>
      <c r="BA34" s="122">
        <f t="shared" si="21"/>
        <v>6120</v>
      </c>
      <c r="BB34" s="122">
        <f t="shared" si="21"/>
        <v>6120</v>
      </c>
      <c r="BC34" s="122">
        <f t="shared" si="21"/>
        <v>6120</v>
      </c>
      <c r="BD34" s="122">
        <f t="shared" si="21"/>
        <v>6120</v>
      </c>
      <c r="BE34" s="122">
        <f t="shared" si="21"/>
        <v>6120</v>
      </c>
      <c r="BF34" s="122">
        <f t="shared" si="21"/>
        <v>6120</v>
      </c>
      <c r="BG34" s="122">
        <f t="shared" si="21"/>
        <v>6120</v>
      </c>
      <c r="BH34" s="122">
        <f t="shared" si="21"/>
        <v>6120</v>
      </c>
      <c r="BI34" s="122">
        <f t="shared" si="21"/>
        <v>6120</v>
      </c>
      <c r="BJ34" s="122">
        <f t="shared" si="21"/>
        <v>6120</v>
      </c>
      <c r="BK34" s="122">
        <f t="shared" si="21"/>
        <v>6120</v>
      </c>
      <c r="BL34" s="122">
        <f t="shared" si="21"/>
        <v>6120</v>
      </c>
      <c r="BM34" s="122">
        <f t="shared" si="21"/>
        <v>6120</v>
      </c>
    </row>
    <row r="35" spans="1:73">
      <c r="C35" s="28" t="s">
        <v>116</v>
      </c>
      <c r="D35" s="29" t="s">
        <v>117</v>
      </c>
      <c r="F35" s="123">
        <f>'Вход и предположения'!$E$18</f>
        <v>70</v>
      </c>
      <c r="G35" s="123">
        <f>'Вход и предположения'!$E$18</f>
        <v>70</v>
      </c>
      <c r="H35" s="123">
        <f>'Вход и предположения'!$E$18</f>
        <v>70</v>
      </c>
      <c r="I35" s="123">
        <f>'Вход и предположения'!$E$18</f>
        <v>70</v>
      </c>
      <c r="J35" s="123">
        <f>'Вход и предположения'!$E$18</f>
        <v>70</v>
      </c>
      <c r="K35" s="123">
        <f>'Вход и предположения'!$E$18</f>
        <v>70</v>
      </c>
      <c r="L35" s="123">
        <f>'Вход и предположения'!$E$18</f>
        <v>70</v>
      </c>
      <c r="M35" s="123">
        <f>'Вход и предположения'!$E$18</f>
        <v>70</v>
      </c>
      <c r="N35" s="123">
        <f>'Вход и предположения'!$E$18</f>
        <v>70</v>
      </c>
      <c r="O35" s="123">
        <f>'Вход и предположения'!$E$18</f>
        <v>70</v>
      </c>
      <c r="P35" s="123">
        <f>'Вход и предположения'!$E$18</f>
        <v>70</v>
      </c>
      <c r="Q35" s="123">
        <f>'Вход и предположения'!$E$18</f>
        <v>70</v>
      </c>
      <c r="R35" s="123">
        <f>'Вход и предположения'!$E$18</f>
        <v>70</v>
      </c>
      <c r="S35" s="123">
        <f>'Вход и предположения'!$E$18</f>
        <v>70</v>
      </c>
      <c r="T35" s="123">
        <f>'Вход и предположения'!$E$18</f>
        <v>70</v>
      </c>
      <c r="U35" s="123">
        <f>'Вход и предположения'!$E$18</f>
        <v>70</v>
      </c>
      <c r="V35" s="123">
        <f>'Вход и предположения'!$E$18</f>
        <v>70</v>
      </c>
      <c r="W35" s="123">
        <f>'Вход и предположения'!$E$18</f>
        <v>70</v>
      </c>
      <c r="X35" s="123">
        <f>'Вход и предположения'!$E$18</f>
        <v>70</v>
      </c>
      <c r="Y35" s="123">
        <f>'Вход и предположения'!$E$18</f>
        <v>70</v>
      </c>
      <c r="Z35" s="123">
        <f>'Вход и предположения'!$E$18</f>
        <v>70</v>
      </c>
      <c r="AA35" s="123">
        <f>'Вход и предположения'!$E$18</f>
        <v>70</v>
      </c>
      <c r="AB35" s="123">
        <f>'Вход и предположения'!$E$18</f>
        <v>70</v>
      </c>
      <c r="AC35" s="123">
        <f>'Вход и предположения'!$E$18</f>
        <v>70</v>
      </c>
      <c r="AD35" s="123">
        <f>'Вход и предположения'!$E$18</f>
        <v>70</v>
      </c>
      <c r="AE35" s="123">
        <f>'Вход и предположения'!$E$18</f>
        <v>70</v>
      </c>
      <c r="AF35" s="123">
        <f>'Вход и предположения'!$E$18</f>
        <v>70</v>
      </c>
      <c r="AG35" s="123">
        <f>'Вход и предположения'!$E$18</f>
        <v>70</v>
      </c>
      <c r="AH35" s="123">
        <f>'Вход и предположения'!$E$18</f>
        <v>70</v>
      </c>
      <c r="AI35" s="123">
        <f>'Вход и предположения'!$E$18</f>
        <v>70</v>
      </c>
      <c r="AJ35" s="123">
        <f>'Вход и предположения'!$E$18</f>
        <v>70</v>
      </c>
      <c r="AK35" s="123">
        <f>'Вход и предположения'!$E$18</f>
        <v>70</v>
      </c>
      <c r="AL35" s="123">
        <f>'Вход и предположения'!$E$18</f>
        <v>70</v>
      </c>
      <c r="AM35" s="123">
        <f>'Вход и предположения'!$E$18</f>
        <v>70</v>
      </c>
      <c r="AN35" s="123">
        <f>'Вход и предположения'!$E$18</f>
        <v>70</v>
      </c>
      <c r="AO35" s="123">
        <f>'Вход и предположения'!$E$18</f>
        <v>70</v>
      </c>
      <c r="AP35" s="123">
        <f>'Вход и предположения'!$E$18</f>
        <v>70</v>
      </c>
      <c r="AQ35" s="123">
        <f>'Вход и предположения'!$E$18</f>
        <v>70</v>
      </c>
      <c r="AR35" s="123">
        <f>'Вход и предположения'!$E$18</f>
        <v>70</v>
      </c>
      <c r="AS35" s="123">
        <f>'Вход и предположения'!$E$18</f>
        <v>70</v>
      </c>
      <c r="AT35" s="123">
        <f>'Вход и предположения'!$E$18</f>
        <v>70</v>
      </c>
      <c r="AU35" s="123">
        <f>'Вход и предположения'!$E$18</f>
        <v>70</v>
      </c>
      <c r="AV35" s="123">
        <f>'Вход и предположения'!$E$18</f>
        <v>70</v>
      </c>
      <c r="AW35" s="123">
        <f>'Вход и предположения'!$E$18</f>
        <v>70</v>
      </c>
      <c r="AX35" s="123">
        <f>'Вход и предположения'!$E$18</f>
        <v>70</v>
      </c>
      <c r="AY35" s="123">
        <f>'Вход и предположения'!$E$18</f>
        <v>70</v>
      </c>
      <c r="AZ35" s="123">
        <f>'Вход и предположения'!$E$18</f>
        <v>70</v>
      </c>
      <c r="BA35" s="123">
        <f>'Вход и предположения'!$E$18</f>
        <v>70</v>
      </c>
      <c r="BB35" s="123">
        <f>'Вход и предположения'!$E$18</f>
        <v>70</v>
      </c>
      <c r="BC35" s="123">
        <f>'Вход и предположения'!$E$18</f>
        <v>70</v>
      </c>
      <c r="BD35" s="123">
        <f>'Вход и предположения'!$E$18</f>
        <v>70</v>
      </c>
      <c r="BE35" s="123">
        <f>'Вход и предположения'!$E$18</f>
        <v>70</v>
      </c>
      <c r="BF35" s="123">
        <f>'Вход и предположения'!$E$18</f>
        <v>70</v>
      </c>
      <c r="BG35" s="123">
        <f>'Вход и предположения'!$E$18</f>
        <v>70</v>
      </c>
      <c r="BH35" s="123">
        <f>'Вход и предположения'!$E$18</f>
        <v>70</v>
      </c>
      <c r="BI35" s="123">
        <f>'Вход и предположения'!$E$18</f>
        <v>70</v>
      </c>
      <c r="BJ35" s="123">
        <f>'Вход и предположения'!$E$18</f>
        <v>70</v>
      </c>
      <c r="BK35" s="123">
        <f>'Вход и предположения'!$E$18</f>
        <v>70</v>
      </c>
      <c r="BL35" s="123">
        <f>'Вход и предположения'!$E$18</f>
        <v>70</v>
      </c>
      <c r="BM35" s="123">
        <f>'Вход и предположения'!$E$18</f>
        <v>70</v>
      </c>
    </row>
    <row r="36" spans="1:73" ht="30">
      <c r="C36" s="28" t="s">
        <v>181</v>
      </c>
      <c r="D36" s="29" t="s">
        <v>117</v>
      </c>
      <c r="F36" s="5">
        <f>F35*F6</f>
        <v>70</v>
      </c>
      <c r="G36" s="5">
        <f t="shared" ref="G36:BM36" si="22">G35*G6</f>
        <v>70</v>
      </c>
      <c r="H36" s="5">
        <f t="shared" si="22"/>
        <v>70</v>
      </c>
      <c r="I36" s="5">
        <f t="shared" si="22"/>
        <v>70</v>
      </c>
      <c r="J36" s="5">
        <f t="shared" si="22"/>
        <v>70</v>
      </c>
      <c r="K36" s="5">
        <f t="shared" si="22"/>
        <v>70</v>
      </c>
      <c r="L36" s="5">
        <f t="shared" si="22"/>
        <v>70</v>
      </c>
      <c r="M36" s="5">
        <f t="shared" si="22"/>
        <v>70</v>
      </c>
      <c r="N36" s="5">
        <f t="shared" si="22"/>
        <v>70</v>
      </c>
      <c r="O36" s="5">
        <f t="shared" si="22"/>
        <v>70</v>
      </c>
      <c r="P36" s="5">
        <f t="shared" si="22"/>
        <v>70</v>
      </c>
      <c r="Q36" s="5">
        <f t="shared" si="22"/>
        <v>70</v>
      </c>
      <c r="R36" s="5">
        <f t="shared" si="22"/>
        <v>70.233333333333334</v>
      </c>
      <c r="S36" s="5">
        <f t="shared" si="22"/>
        <v>70.467444444444453</v>
      </c>
      <c r="T36" s="5">
        <f t="shared" si="22"/>
        <v>70.702335925925951</v>
      </c>
      <c r="U36" s="5">
        <f t="shared" si="22"/>
        <v>70.938010379012383</v>
      </c>
      <c r="V36" s="5">
        <f t="shared" si="22"/>
        <v>71.1744704136091</v>
      </c>
      <c r="W36" s="5">
        <f t="shared" si="22"/>
        <v>71.411718648321141</v>
      </c>
      <c r="X36" s="5">
        <f t="shared" si="22"/>
        <v>71.649757710482206</v>
      </c>
      <c r="Y36" s="5">
        <f t="shared" si="22"/>
        <v>71.88859023618383</v>
      </c>
      <c r="Z36" s="5">
        <f t="shared" si="22"/>
        <v>72.128218870304437</v>
      </c>
      <c r="AA36" s="5">
        <f t="shared" si="22"/>
        <v>72.368646266538789</v>
      </c>
      <c r="AB36" s="5">
        <f t="shared" si="22"/>
        <v>72.609875087427255</v>
      </c>
      <c r="AC36" s="5">
        <f t="shared" si="22"/>
        <v>72.851908004385336</v>
      </c>
      <c r="AD36" s="5">
        <f t="shared" si="22"/>
        <v>73.094747697733297</v>
      </c>
      <c r="AE36" s="5">
        <f t="shared" si="22"/>
        <v>73.338396856725751</v>
      </c>
      <c r="AF36" s="5">
        <f t="shared" si="22"/>
        <v>73.582858179581507</v>
      </c>
      <c r="AG36" s="5">
        <f t="shared" si="22"/>
        <v>73.82813437351345</v>
      </c>
      <c r="AH36" s="5">
        <f t="shared" si="22"/>
        <v>74.074228154758515</v>
      </c>
      <c r="AI36" s="5">
        <f t="shared" si="22"/>
        <v>74.3211422486077</v>
      </c>
      <c r="AJ36" s="5">
        <f t="shared" si="22"/>
        <v>74.56887938943639</v>
      </c>
      <c r="AK36" s="5">
        <f t="shared" si="22"/>
        <v>74.817442320734528</v>
      </c>
      <c r="AL36" s="5">
        <f t="shared" si="22"/>
        <v>75.066833795136972</v>
      </c>
      <c r="AM36" s="5">
        <f t="shared" si="22"/>
        <v>75.317056574454114</v>
      </c>
      <c r="AN36" s="5">
        <f t="shared" si="22"/>
        <v>75.568113429702294</v>
      </c>
      <c r="AO36" s="5">
        <f t="shared" si="22"/>
        <v>75.820007141134639</v>
      </c>
      <c r="AP36" s="5">
        <f t="shared" si="22"/>
        <v>76.072740498271756</v>
      </c>
      <c r="AQ36" s="5">
        <f t="shared" si="22"/>
        <v>76.326316299932671</v>
      </c>
      <c r="AR36" s="5">
        <f t="shared" si="22"/>
        <v>76.580737354265779</v>
      </c>
      <c r="AS36" s="5">
        <f t="shared" si="22"/>
        <v>76.836006478780007</v>
      </c>
      <c r="AT36" s="5">
        <f t="shared" si="22"/>
        <v>77.09212650037594</v>
      </c>
      <c r="AU36" s="5">
        <f t="shared" si="22"/>
        <v>77.349100255377209</v>
      </c>
      <c r="AV36" s="5">
        <f t="shared" si="22"/>
        <v>77.606930589561813</v>
      </c>
      <c r="AW36" s="5">
        <f t="shared" si="22"/>
        <v>77.865620358193695</v>
      </c>
      <c r="AX36" s="5">
        <f t="shared" si="22"/>
        <v>78.125172426054348</v>
      </c>
      <c r="AY36" s="5">
        <f t="shared" si="22"/>
        <v>78.385589667474534</v>
      </c>
      <c r="AZ36" s="5">
        <f t="shared" si="22"/>
        <v>78.646874966366127</v>
      </c>
      <c r="BA36" s="5">
        <f t="shared" si="22"/>
        <v>78.909031216254007</v>
      </c>
      <c r="BB36" s="5">
        <f t="shared" si="22"/>
        <v>79.172061320308202</v>
      </c>
      <c r="BC36" s="5">
        <f t="shared" si="22"/>
        <v>79.435968191375892</v>
      </c>
      <c r="BD36" s="5">
        <f t="shared" si="22"/>
        <v>79.700754752013822</v>
      </c>
      <c r="BE36" s="5">
        <f t="shared" si="22"/>
        <v>79.966423934520535</v>
      </c>
      <c r="BF36" s="5">
        <f t="shared" si="22"/>
        <v>80.232978680968955</v>
      </c>
      <c r="BG36" s="5">
        <f t="shared" si="22"/>
        <v>80.500421943238848</v>
      </c>
      <c r="BH36" s="5">
        <f t="shared" si="22"/>
        <v>80.768756683049645</v>
      </c>
      <c r="BI36" s="5">
        <f t="shared" si="22"/>
        <v>81.037985871993158</v>
      </c>
      <c r="BJ36" s="5">
        <f t="shared" si="22"/>
        <v>81.308112491566476</v>
      </c>
      <c r="BK36" s="5">
        <f t="shared" si="22"/>
        <v>81.579139533205023</v>
      </c>
      <c r="BL36" s="5">
        <f t="shared" si="22"/>
        <v>81.851069998315708</v>
      </c>
      <c r="BM36" s="5">
        <f t="shared" si="22"/>
        <v>82.123906898310096</v>
      </c>
    </row>
    <row r="37" spans="1:73">
      <c r="D37" s="3"/>
      <c r="Q37" s="95"/>
      <c r="AC37" s="95"/>
      <c r="AO37" s="95"/>
      <c r="BA37" s="95"/>
    </row>
    <row r="38" spans="1:73">
      <c r="A38" s="125"/>
      <c r="B38" s="125"/>
      <c r="C38" s="125" t="s">
        <v>118</v>
      </c>
      <c r="D38" s="126" t="s">
        <v>119</v>
      </c>
      <c r="E38" s="126"/>
      <c r="F38" s="131">
        <f>F40</f>
        <v>15000</v>
      </c>
      <c r="G38" s="131">
        <f t="shared" ref="G38:BM38" si="23">G40</f>
        <v>15000</v>
      </c>
      <c r="H38" s="131">
        <f t="shared" si="23"/>
        <v>15000</v>
      </c>
      <c r="I38" s="131">
        <f t="shared" si="23"/>
        <v>15000</v>
      </c>
      <c r="J38" s="131">
        <f t="shared" si="23"/>
        <v>15000</v>
      </c>
      <c r="K38" s="131">
        <f t="shared" si="23"/>
        <v>15000</v>
      </c>
      <c r="L38" s="131">
        <f t="shared" si="23"/>
        <v>15000</v>
      </c>
      <c r="M38" s="131">
        <f t="shared" si="23"/>
        <v>15000</v>
      </c>
      <c r="N38" s="131">
        <f t="shared" si="23"/>
        <v>15000</v>
      </c>
      <c r="O38" s="131">
        <f t="shared" si="23"/>
        <v>15000</v>
      </c>
      <c r="P38" s="131">
        <f t="shared" si="23"/>
        <v>15000</v>
      </c>
      <c r="Q38" s="131">
        <f t="shared" si="23"/>
        <v>15000</v>
      </c>
      <c r="R38" s="131">
        <f t="shared" si="23"/>
        <v>15050.000000000002</v>
      </c>
      <c r="S38" s="131">
        <f t="shared" si="23"/>
        <v>15100.16666666667</v>
      </c>
      <c r="T38" s="131">
        <f t="shared" si="23"/>
        <v>15150.500555555562</v>
      </c>
      <c r="U38" s="131">
        <f t="shared" si="23"/>
        <v>15201.002224074084</v>
      </c>
      <c r="V38" s="131">
        <f t="shared" si="23"/>
        <v>15251.672231487664</v>
      </c>
      <c r="W38" s="131">
        <f t="shared" si="23"/>
        <v>15302.511138925958</v>
      </c>
      <c r="X38" s="131">
        <f t="shared" si="23"/>
        <v>15353.519509389045</v>
      </c>
      <c r="Y38" s="131">
        <f t="shared" si="23"/>
        <v>15404.697907753678</v>
      </c>
      <c r="Z38" s="131">
        <f t="shared" si="23"/>
        <v>15456.046900779524</v>
      </c>
      <c r="AA38" s="131">
        <f t="shared" si="23"/>
        <v>15507.567057115455</v>
      </c>
      <c r="AB38" s="131">
        <f t="shared" si="23"/>
        <v>15559.25894730584</v>
      </c>
      <c r="AC38" s="131">
        <f t="shared" si="23"/>
        <v>15611.123143796858</v>
      </c>
      <c r="AD38" s="131">
        <f t="shared" si="23"/>
        <v>15663.160220942849</v>
      </c>
      <c r="AE38" s="131">
        <f t="shared" si="23"/>
        <v>15715.370755012662</v>
      </c>
      <c r="AF38" s="131">
        <f t="shared" si="23"/>
        <v>15767.755324196038</v>
      </c>
      <c r="AG38" s="131">
        <f t="shared" si="23"/>
        <v>15820.314508610025</v>
      </c>
      <c r="AH38" s="131">
        <f t="shared" si="23"/>
        <v>15873.048890305394</v>
      </c>
      <c r="AI38" s="131">
        <f t="shared" si="23"/>
        <v>15925.959053273078</v>
      </c>
      <c r="AJ38" s="131">
        <f t="shared" si="23"/>
        <v>15979.045583450656</v>
      </c>
      <c r="AK38" s="131">
        <f t="shared" si="23"/>
        <v>16032.309068728826</v>
      </c>
      <c r="AL38" s="131">
        <f t="shared" si="23"/>
        <v>16085.750098957924</v>
      </c>
      <c r="AM38" s="131">
        <f t="shared" si="23"/>
        <v>16139.369265954452</v>
      </c>
      <c r="AN38" s="131">
        <f t="shared" si="23"/>
        <v>16193.167163507635</v>
      </c>
      <c r="AO38" s="131">
        <f t="shared" si="23"/>
        <v>16247.144387385993</v>
      </c>
      <c r="AP38" s="131">
        <f t="shared" si="23"/>
        <v>16301.301535343948</v>
      </c>
      <c r="AQ38" s="131">
        <f t="shared" si="23"/>
        <v>16355.639207128428</v>
      </c>
      <c r="AR38" s="131">
        <f t="shared" si="23"/>
        <v>16410.158004485522</v>
      </c>
      <c r="AS38" s="131">
        <f t="shared" si="23"/>
        <v>16464.858531167145</v>
      </c>
      <c r="AT38" s="131">
        <f t="shared" si="23"/>
        <v>16519.7413929377</v>
      </c>
      <c r="AU38" s="131">
        <f t="shared" si="23"/>
        <v>16574.807197580831</v>
      </c>
      <c r="AV38" s="131">
        <f t="shared" si="23"/>
        <v>16630.056554906103</v>
      </c>
      <c r="AW38" s="131">
        <f t="shared" si="23"/>
        <v>16685.490076755792</v>
      </c>
      <c r="AX38" s="131">
        <f t="shared" si="23"/>
        <v>16741.108377011646</v>
      </c>
      <c r="AY38" s="131">
        <f t="shared" si="23"/>
        <v>16796.912071601688</v>
      </c>
      <c r="AZ38" s="131">
        <f t="shared" si="23"/>
        <v>16852.901778507028</v>
      </c>
      <c r="BA38" s="131">
        <f t="shared" si="23"/>
        <v>16909.078117768717</v>
      </c>
      <c r="BB38" s="131">
        <f t="shared" si="23"/>
        <v>16965.441711494615</v>
      </c>
      <c r="BC38" s="131">
        <f t="shared" si="23"/>
        <v>17021.993183866263</v>
      </c>
      <c r="BD38" s="131">
        <f t="shared" si="23"/>
        <v>17078.733161145818</v>
      </c>
      <c r="BE38" s="131">
        <f t="shared" si="23"/>
        <v>17135.662271682973</v>
      </c>
      <c r="BF38" s="131">
        <f t="shared" si="23"/>
        <v>17192.781145921919</v>
      </c>
      <c r="BG38" s="131">
        <f t="shared" si="23"/>
        <v>17250.090416408326</v>
      </c>
      <c r="BH38" s="131">
        <f t="shared" si="23"/>
        <v>17307.590717796353</v>
      </c>
      <c r="BI38" s="131">
        <f t="shared" si="23"/>
        <v>17365.282686855677</v>
      </c>
      <c r="BJ38" s="131">
        <f t="shared" si="23"/>
        <v>17423.166962478528</v>
      </c>
      <c r="BK38" s="131">
        <f t="shared" si="23"/>
        <v>17481.244185686792</v>
      </c>
      <c r="BL38" s="131">
        <f t="shared" si="23"/>
        <v>17539.514999639079</v>
      </c>
      <c r="BM38" s="131">
        <f t="shared" si="23"/>
        <v>17597.980049637878</v>
      </c>
      <c r="BO38" s="94">
        <f t="shared" si="7"/>
        <v>961991.99494098476</v>
      </c>
      <c r="BP38" s="94">
        <f t="shared" si="8"/>
        <v>180000</v>
      </c>
      <c r="BQ38" s="94">
        <f t="shared" si="9"/>
        <v>183948.06628285037</v>
      </c>
      <c r="BR38" s="94">
        <f t="shared" si="10"/>
        <v>191442.39432032552</v>
      </c>
      <c r="BS38" s="94">
        <f t="shared" si="11"/>
        <v>199242.05284519453</v>
      </c>
      <c r="BT38" s="94">
        <f t="shared" si="12"/>
        <v>207359.4814926142</v>
      </c>
      <c r="BU38" s="94">
        <f t="shared" si="13"/>
        <v>961991.99494098453</v>
      </c>
    </row>
    <row r="39" spans="1:73">
      <c r="C39" s="28" t="s">
        <v>183</v>
      </c>
      <c r="D39" s="29"/>
      <c r="F39" s="93">
        <f>'Вход и предположения'!$E$19</f>
        <v>15000</v>
      </c>
      <c r="G39" s="93">
        <f>'Вход и предположения'!$E$19</f>
        <v>15000</v>
      </c>
      <c r="H39" s="93">
        <f>'Вход и предположения'!$E$19</f>
        <v>15000</v>
      </c>
      <c r="I39" s="93">
        <f>'Вход и предположения'!$E$19</f>
        <v>15000</v>
      </c>
      <c r="J39" s="93">
        <f>'Вход и предположения'!$E$19</f>
        <v>15000</v>
      </c>
      <c r="K39" s="93">
        <f>'Вход и предположения'!$E$19</f>
        <v>15000</v>
      </c>
      <c r="L39" s="93">
        <f>'Вход и предположения'!$E$19</f>
        <v>15000</v>
      </c>
      <c r="M39" s="93">
        <f>'Вход и предположения'!$E$19</f>
        <v>15000</v>
      </c>
      <c r="N39" s="93">
        <f>'Вход и предположения'!$E$19</f>
        <v>15000</v>
      </c>
      <c r="O39" s="93">
        <f>'Вход и предположения'!$E$19</f>
        <v>15000</v>
      </c>
      <c r="P39" s="93">
        <f>'Вход и предположения'!$E$19</f>
        <v>15000</v>
      </c>
      <c r="Q39" s="93">
        <f>'Вход и предположения'!$E$19</f>
        <v>15000</v>
      </c>
      <c r="R39" s="93">
        <f>'Вход и предположения'!$E$19</f>
        <v>15000</v>
      </c>
      <c r="S39" s="93">
        <f>'Вход и предположения'!$E$19</f>
        <v>15000</v>
      </c>
      <c r="T39" s="93">
        <f>'Вход и предположения'!$E$19</f>
        <v>15000</v>
      </c>
      <c r="U39" s="93">
        <f>'Вход и предположения'!$E$19</f>
        <v>15000</v>
      </c>
      <c r="V39" s="93">
        <f>'Вход и предположения'!$E$19</f>
        <v>15000</v>
      </c>
      <c r="W39" s="93">
        <f>'Вход и предположения'!$E$19</f>
        <v>15000</v>
      </c>
      <c r="X39" s="93">
        <f>'Вход и предположения'!$E$19</f>
        <v>15000</v>
      </c>
      <c r="Y39" s="93">
        <f>'Вход и предположения'!$E$19</f>
        <v>15000</v>
      </c>
      <c r="Z39" s="93">
        <f>'Вход и предположения'!$E$19</f>
        <v>15000</v>
      </c>
      <c r="AA39" s="93">
        <f>'Вход и предположения'!$E$19</f>
        <v>15000</v>
      </c>
      <c r="AB39" s="93">
        <f>'Вход и предположения'!$E$19</f>
        <v>15000</v>
      </c>
      <c r="AC39" s="93">
        <f>'Вход и предположения'!$E$19</f>
        <v>15000</v>
      </c>
      <c r="AD39" s="93">
        <f>'Вход и предположения'!$E$19</f>
        <v>15000</v>
      </c>
      <c r="AE39" s="93">
        <f>'Вход и предположения'!$E$19</f>
        <v>15000</v>
      </c>
      <c r="AF39" s="93">
        <f>'Вход и предположения'!$E$19</f>
        <v>15000</v>
      </c>
      <c r="AG39" s="93">
        <f>'Вход и предположения'!$E$19</f>
        <v>15000</v>
      </c>
      <c r="AH39" s="93">
        <f>'Вход и предположения'!$E$19</f>
        <v>15000</v>
      </c>
      <c r="AI39" s="93">
        <f>'Вход и предположения'!$E$19</f>
        <v>15000</v>
      </c>
      <c r="AJ39" s="93">
        <f>'Вход и предположения'!$E$19</f>
        <v>15000</v>
      </c>
      <c r="AK39" s="93">
        <f>'Вход и предположения'!$E$19</f>
        <v>15000</v>
      </c>
      <c r="AL39" s="93">
        <f>'Вход и предположения'!$E$19</f>
        <v>15000</v>
      </c>
      <c r="AM39" s="93">
        <f>'Вход и предположения'!$E$19</f>
        <v>15000</v>
      </c>
      <c r="AN39" s="93">
        <f>'Вход и предположения'!$E$19</f>
        <v>15000</v>
      </c>
      <c r="AO39" s="93">
        <f>'Вход и предположения'!$E$19</f>
        <v>15000</v>
      </c>
      <c r="AP39" s="93">
        <f>'Вход и предположения'!$E$19</f>
        <v>15000</v>
      </c>
      <c r="AQ39" s="93">
        <f>'Вход и предположения'!$E$19</f>
        <v>15000</v>
      </c>
      <c r="AR39" s="93">
        <f>'Вход и предположения'!$E$19</f>
        <v>15000</v>
      </c>
      <c r="AS39" s="93">
        <f>'Вход и предположения'!$E$19</f>
        <v>15000</v>
      </c>
      <c r="AT39" s="93">
        <f>'Вход и предположения'!$E$19</f>
        <v>15000</v>
      </c>
      <c r="AU39" s="93">
        <f>'Вход и предположения'!$E$19</f>
        <v>15000</v>
      </c>
      <c r="AV39" s="93">
        <f>'Вход и предположения'!$E$19</f>
        <v>15000</v>
      </c>
      <c r="AW39" s="93">
        <f>'Вход и предположения'!$E$19</f>
        <v>15000</v>
      </c>
      <c r="AX39" s="93">
        <f>'Вход и предположения'!$E$19</f>
        <v>15000</v>
      </c>
      <c r="AY39" s="93">
        <f>'Вход и предположения'!$E$19</f>
        <v>15000</v>
      </c>
      <c r="AZ39" s="93">
        <f>'Вход и предположения'!$E$19</f>
        <v>15000</v>
      </c>
      <c r="BA39" s="93">
        <f>'Вход и предположения'!$E$19</f>
        <v>15000</v>
      </c>
      <c r="BB39" s="93">
        <f>'Вход и предположения'!$E$19</f>
        <v>15000</v>
      </c>
      <c r="BC39" s="93">
        <f>'Вход и предположения'!$E$19</f>
        <v>15000</v>
      </c>
      <c r="BD39" s="93">
        <f>'Вход и предположения'!$E$19</f>
        <v>15000</v>
      </c>
      <c r="BE39" s="93">
        <f>'Вход и предположения'!$E$19</f>
        <v>15000</v>
      </c>
      <c r="BF39" s="93">
        <f>'Вход и предположения'!$E$19</f>
        <v>15000</v>
      </c>
      <c r="BG39" s="93">
        <f>'Вход и предположения'!$E$19</f>
        <v>15000</v>
      </c>
      <c r="BH39" s="93">
        <f>'Вход и предположения'!$E$19</f>
        <v>15000</v>
      </c>
      <c r="BI39" s="93">
        <f>'Вход и предположения'!$E$19</f>
        <v>15000</v>
      </c>
      <c r="BJ39" s="93">
        <f>'Вход и предположения'!$E$19</f>
        <v>15000</v>
      </c>
      <c r="BK39" s="93">
        <f>'Вход и предположения'!$E$19</f>
        <v>15000</v>
      </c>
      <c r="BL39" s="93">
        <f>'Вход и предположения'!$E$19</f>
        <v>15000</v>
      </c>
      <c r="BM39" s="93">
        <f>'Вход и предположения'!$E$19</f>
        <v>15000</v>
      </c>
    </row>
    <row r="40" spans="1:73">
      <c r="C40" s="28" t="s">
        <v>184</v>
      </c>
      <c r="D40" s="29"/>
      <c r="F40" s="5">
        <f>F39*F6</f>
        <v>15000</v>
      </c>
      <c r="G40" s="5">
        <f t="shared" ref="G40:BM40" si="24">G39*G6</f>
        <v>15000</v>
      </c>
      <c r="H40" s="5">
        <f t="shared" si="24"/>
        <v>15000</v>
      </c>
      <c r="I40" s="5">
        <f t="shared" si="24"/>
        <v>15000</v>
      </c>
      <c r="J40" s="5">
        <f t="shared" si="24"/>
        <v>15000</v>
      </c>
      <c r="K40" s="5">
        <f t="shared" si="24"/>
        <v>15000</v>
      </c>
      <c r="L40" s="5">
        <f t="shared" si="24"/>
        <v>15000</v>
      </c>
      <c r="M40" s="5">
        <f t="shared" si="24"/>
        <v>15000</v>
      </c>
      <c r="N40" s="5">
        <f t="shared" si="24"/>
        <v>15000</v>
      </c>
      <c r="O40" s="5">
        <f t="shared" si="24"/>
        <v>15000</v>
      </c>
      <c r="P40" s="5">
        <f t="shared" si="24"/>
        <v>15000</v>
      </c>
      <c r="Q40" s="5">
        <f t="shared" si="24"/>
        <v>15000</v>
      </c>
      <c r="R40" s="5">
        <f t="shared" si="24"/>
        <v>15050.000000000002</v>
      </c>
      <c r="S40" s="5">
        <f t="shared" si="24"/>
        <v>15100.16666666667</v>
      </c>
      <c r="T40" s="5">
        <f t="shared" si="24"/>
        <v>15150.500555555562</v>
      </c>
      <c r="U40" s="5">
        <f t="shared" si="24"/>
        <v>15201.002224074084</v>
      </c>
      <c r="V40" s="5">
        <f t="shared" si="24"/>
        <v>15251.672231487664</v>
      </c>
      <c r="W40" s="5">
        <f t="shared" si="24"/>
        <v>15302.511138925958</v>
      </c>
      <c r="X40" s="5">
        <f t="shared" si="24"/>
        <v>15353.519509389045</v>
      </c>
      <c r="Y40" s="5">
        <f t="shared" si="24"/>
        <v>15404.697907753678</v>
      </c>
      <c r="Z40" s="5">
        <f t="shared" si="24"/>
        <v>15456.046900779524</v>
      </c>
      <c r="AA40" s="5">
        <f t="shared" si="24"/>
        <v>15507.567057115455</v>
      </c>
      <c r="AB40" s="5">
        <f t="shared" si="24"/>
        <v>15559.25894730584</v>
      </c>
      <c r="AC40" s="5">
        <f t="shared" si="24"/>
        <v>15611.123143796858</v>
      </c>
      <c r="AD40" s="5">
        <f t="shared" si="24"/>
        <v>15663.160220942849</v>
      </c>
      <c r="AE40" s="5">
        <f t="shared" si="24"/>
        <v>15715.370755012662</v>
      </c>
      <c r="AF40" s="5">
        <f t="shared" si="24"/>
        <v>15767.755324196038</v>
      </c>
      <c r="AG40" s="5">
        <f t="shared" si="24"/>
        <v>15820.314508610025</v>
      </c>
      <c r="AH40" s="5">
        <f t="shared" si="24"/>
        <v>15873.048890305394</v>
      </c>
      <c r="AI40" s="5">
        <f t="shared" si="24"/>
        <v>15925.959053273078</v>
      </c>
      <c r="AJ40" s="5">
        <f t="shared" si="24"/>
        <v>15979.045583450656</v>
      </c>
      <c r="AK40" s="5">
        <f t="shared" si="24"/>
        <v>16032.309068728826</v>
      </c>
      <c r="AL40" s="5">
        <f t="shared" si="24"/>
        <v>16085.750098957924</v>
      </c>
      <c r="AM40" s="5">
        <f t="shared" si="24"/>
        <v>16139.369265954452</v>
      </c>
      <c r="AN40" s="5">
        <f t="shared" si="24"/>
        <v>16193.167163507635</v>
      </c>
      <c r="AO40" s="5">
        <f t="shared" si="24"/>
        <v>16247.144387385993</v>
      </c>
      <c r="AP40" s="5">
        <f t="shared" si="24"/>
        <v>16301.301535343948</v>
      </c>
      <c r="AQ40" s="5">
        <f t="shared" si="24"/>
        <v>16355.639207128428</v>
      </c>
      <c r="AR40" s="5">
        <f t="shared" si="24"/>
        <v>16410.158004485522</v>
      </c>
      <c r="AS40" s="5">
        <f t="shared" si="24"/>
        <v>16464.858531167145</v>
      </c>
      <c r="AT40" s="5">
        <f t="shared" si="24"/>
        <v>16519.7413929377</v>
      </c>
      <c r="AU40" s="5">
        <f t="shared" si="24"/>
        <v>16574.807197580831</v>
      </c>
      <c r="AV40" s="5">
        <f t="shared" si="24"/>
        <v>16630.056554906103</v>
      </c>
      <c r="AW40" s="5">
        <f t="shared" si="24"/>
        <v>16685.490076755792</v>
      </c>
      <c r="AX40" s="5">
        <f t="shared" si="24"/>
        <v>16741.108377011646</v>
      </c>
      <c r="AY40" s="5">
        <f t="shared" si="24"/>
        <v>16796.912071601688</v>
      </c>
      <c r="AZ40" s="5">
        <f t="shared" si="24"/>
        <v>16852.901778507028</v>
      </c>
      <c r="BA40" s="5">
        <f t="shared" si="24"/>
        <v>16909.078117768717</v>
      </c>
      <c r="BB40" s="5">
        <f t="shared" si="24"/>
        <v>16965.441711494615</v>
      </c>
      <c r="BC40" s="5">
        <f t="shared" si="24"/>
        <v>17021.993183866263</v>
      </c>
      <c r="BD40" s="5">
        <f t="shared" si="24"/>
        <v>17078.733161145818</v>
      </c>
      <c r="BE40" s="5">
        <f t="shared" si="24"/>
        <v>17135.662271682973</v>
      </c>
      <c r="BF40" s="5">
        <f t="shared" si="24"/>
        <v>17192.781145921919</v>
      </c>
      <c r="BG40" s="5">
        <f t="shared" si="24"/>
        <v>17250.090416408326</v>
      </c>
      <c r="BH40" s="5">
        <f t="shared" si="24"/>
        <v>17307.590717796353</v>
      </c>
      <c r="BI40" s="5">
        <f t="shared" si="24"/>
        <v>17365.282686855677</v>
      </c>
      <c r="BJ40" s="5">
        <f t="shared" si="24"/>
        <v>17423.166962478528</v>
      </c>
      <c r="BK40" s="5">
        <f t="shared" si="24"/>
        <v>17481.244185686792</v>
      </c>
      <c r="BL40" s="5">
        <f t="shared" si="24"/>
        <v>17539.514999639079</v>
      </c>
      <c r="BM40" s="5">
        <f t="shared" si="24"/>
        <v>17597.980049637878</v>
      </c>
    </row>
    <row r="41" spans="1:73">
      <c r="D41" s="3"/>
      <c r="Q41" s="95"/>
      <c r="AB41" s="127"/>
      <c r="AC41" s="128"/>
      <c r="AO41" s="95"/>
      <c r="BA41" s="95"/>
    </row>
    <row r="42" spans="1:73" ht="15.75" thickBot="1">
      <c r="A42" s="129"/>
      <c r="B42" s="129"/>
      <c r="C42" s="129" t="s">
        <v>185</v>
      </c>
      <c r="D42" s="177"/>
      <c r="E42" s="129"/>
      <c r="F42" s="132">
        <f>F10+F17+F24+F33+F38</f>
        <v>467160</v>
      </c>
      <c r="G42" s="132">
        <f t="shared" ref="G42:BM42" si="25">G10+G17+G24+G33+G38</f>
        <v>693240</v>
      </c>
      <c r="H42" s="132">
        <f t="shared" si="25"/>
        <v>806279.99999999988</v>
      </c>
      <c r="I42" s="132">
        <f t="shared" si="25"/>
        <v>919320</v>
      </c>
      <c r="J42" s="132">
        <f t="shared" si="25"/>
        <v>919320</v>
      </c>
      <c r="K42" s="132">
        <f t="shared" si="25"/>
        <v>919320</v>
      </c>
      <c r="L42" s="132">
        <f t="shared" si="25"/>
        <v>919320</v>
      </c>
      <c r="M42" s="132">
        <f t="shared" si="25"/>
        <v>919320</v>
      </c>
      <c r="N42" s="132">
        <f t="shared" si="25"/>
        <v>919320</v>
      </c>
      <c r="O42" s="132">
        <f t="shared" si="25"/>
        <v>919320</v>
      </c>
      <c r="P42" s="132">
        <f t="shared" si="25"/>
        <v>919320</v>
      </c>
      <c r="Q42" s="132">
        <f t="shared" si="25"/>
        <v>919320</v>
      </c>
      <c r="R42" s="132">
        <f t="shared" si="25"/>
        <v>1149218</v>
      </c>
      <c r="S42" s="132">
        <f t="shared" si="25"/>
        <v>1153048.726666667</v>
      </c>
      <c r="T42" s="132">
        <f t="shared" si="25"/>
        <v>1156892.2224222228</v>
      </c>
      <c r="U42" s="132">
        <f t="shared" si="25"/>
        <v>1160748.5298302968</v>
      </c>
      <c r="V42" s="132">
        <f t="shared" si="25"/>
        <v>1164617.6915963979</v>
      </c>
      <c r="W42" s="132">
        <f t="shared" si="25"/>
        <v>1168499.7505683864</v>
      </c>
      <c r="X42" s="132">
        <f t="shared" si="25"/>
        <v>1172394.7497369475</v>
      </c>
      <c r="Y42" s="132">
        <f t="shared" si="25"/>
        <v>1176302.7322360708</v>
      </c>
      <c r="Z42" s="132">
        <f t="shared" si="25"/>
        <v>1180223.7413435243</v>
      </c>
      <c r="AA42" s="132">
        <f t="shared" si="25"/>
        <v>1184157.8204813362</v>
      </c>
      <c r="AB42" s="132">
        <f t="shared" si="25"/>
        <v>1188105.0132162739</v>
      </c>
      <c r="AC42" s="132">
        <f t="shared" si="25"/>
        <v>1192065.3632603281</v>
      </c>
      <c r="AD42" s="132">
        <f t="shared" si="25"/>
        <v>1196038.914471196</v>
      </c>
      <c r="AE42" s="132">
        <f t="shared" si="25"/>
        <v>1200025.7108527669</v>
      </c>
      <c r="AF42" s="132">
        <f t="shared" si="25"/>
        <v>1204025.7965556094</v>
      </c>
      <c r="AG42" s="132">
        <f t="shared" si="25"/>
        <v>1208039.2158774615</v>
      </c>
      <c r="AH42" s="132">
        <f t="shared" si="25"/>
        <v>1212066.0132637201</v>
      </c>
      <c r="AI42" s="132">
        <f t="shared" si="25"/>
        <v>1216106.2333079323</v>
      </c>
      <c r="AJ42" s="132">
        <f t="shared" si="25"/>
        <v>1220159.9207522923</v>
      </c>
      <c r="AK42" s="132">
        <f t="shared" si="25"/>
        <v>1224227.1204881335</v>
      </c>
      <c r="AL42" s="132">
        <f t="shared" si="25"/>
        <v>1228307.8775564269</v>
      </c>
      <c r="AM42" s="132">
        <f t="shared" si="25"/>
        <v>1232402.2371482821</v>
      </c>
      <c r="AN42" s="132">
        <f t="shared" si="25"/>
        <v>1236510.244605443</v>
      </c>
      <c r="AO42" s="132">
        <f t="shared" si="25"/>
        <v>1240631.9454207944</v>
      </c>
      <c r="AP42" s="132">
        <f t="shared" si="25"/>
        <v>1244767.3852388638</v>
      </c>
      <c r="AQ42" s="132">
        <f t="shared" si="25"/>
        <v>1248916.6098563268</v>
      </c>
      <c r="AR42" s="132">
        <f t="shared" si="25"/>
        <v>1253079.6652225147</v>
      </c>
      <c r="AS42" s="132">
        <f t="shared" si="25"/>
        <v>1257256.5974399231</v>
      </c>
      <c r="AT42" s="132">
        <f t="shared" si="25"/>
        <v>1261447.452764723</v>
      </c>
      <c r="AU42" s="132">
        <f t="shared" si="25"/>
        <v>1265652.2776072721</v>
      </c>
      <c r="AV42" s="132">
        <f t="shared" si="25"/>
        <v>1269871.1185326299</v>
      </c>
      <c r="AW42" s="132">
        <f t="shared" si="25"/>
        <v>1274104.0222610722</v>
      </c>
      <c r="AX42" s="132">
        <f t="shared" si="25"/>
        <v>1278351.0356686094</v>
      </c>
      <c r="AY42" s="132">
        <f t="shared" si="25"/>
        <v>1282612.2057875048</v>
      </c>
      <c r="AZ42" s="132">
        <f t="shared" si="25"/>
        <v>1286887.5798067967</v>
      </c>
      <c r="BA42" s="132">
        <f t="shared" si="25"/>
        <v>1291177.2050728193</v>
      </c>
      <c r="BB42" s="132">
        <f t="shared" si="25"/>
        <v>1295481.1290897289</v>
      </c>
      <c r="BC42" s="132">
        <f t="shared" si="25"/>
        <v>1299799.3995200279</v>
      </c>
      <c r="BD42" s="132">
        <f t="shared" si="25"/>
        <v>1304132.0641850948</v>
      </c>
      <c r="BE42" s="132">
        <f t="shared" si="25"/>
        <v>1308479.1710657116</v>
      </c>
      <c r="BF42" s="132">
        <f t="shared" si="25"/>
        <v>1312840.7683025976</v>
      </c>
      <c r="BG42" s="132">
        <f t="shared" si="25"/>
        <v>1317216.9041969397</v>
      </c>
      <c r="BH42" s="132">
        <f t="shared" si="25"/>
        <v>1321607.6272109295</v>
      </c>
      <c r="BI42" s="132">
        <f t="shared" si="25"/>
        <v>1326012.9859682997</v>
      </c>
      <c r="BJ42" s="132">
        <f t="shared" si="25"/>
        <v>1330433.0292548605</v>
      </c>
      <c r="BK42" s="132">
        <f t="shared" si="25"/>
        <v>1334867.8060190433</v>
      </c>
      <c r="BL42" s="132">
        <f t="shared" si="25"/>
        <v>1339317.3653724401</v>
      </c>
      <c r="BM42" s="132">
        <f t="shared" si="25"/>
        <v>1343781.7565903482</v>
      </c>
      <c r="BN42" s="210"/>
      <c r="BO42" s="211">
        <f t="shared" si="7"/>
        <v>69953468.733693585</v>
      </c>
      <c r="BP42" s="211">
        <f t="shared" si="8"/>
        <v>10240560</v>
      </c>
      <c r="BQ42" s="211">
        <f t="shared" si="9"/>
        <v>14046274.341358451</v>
      </c>
      <c r="BR42" s="211">
        <f t="shared" si="10"/>
        <v>14618541.230300056</v>
      </c>
      <c r="BS42" s="211">
        <f t="shared" si="11"/>
        <v>15214123.155259058</v>
      </c>
      <c r="BT42" s="211">
        <f t="shared" si="12"/>
        <v>15833970.00677602</v>
      </c>
      <c r="BU42" s="211">
        <f t="shared" si="13"/>
        <v>69953468.733693585</v>
      </c>
    </row>
    <row r="43" spans="1:73">
      <c r="D43" s="3"/>
    </row>
    <row r="44" spans="1:73" ht="15.75" thickBot="1">
      <c r="A44" s="133"/>
      <c r="B44" s="133"/>
      <c r="C44" s="60" t="s">
        <v>186</v>
      </c>
      <c r="D44" s="61"/>
      <c r="E44" s="61"/>
      <c r="F44" s="134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5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5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5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5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</row>
    <row r="45" spans="1:73" ht="15.75" thickTop="1">
      <c r="C45" t="s">
        <v>100</v>
      </c>
      <c r="D45" s="3" t="s">
        <v>101</v>
      </c>
      <c r="F45" s="143">
        <f>'Вход и предположения'!$E$7</f>
        <v>200</v>
      </c>
      <c r="G45" s="143">
        <f>'Вход и предположения'!$E$7</f>
        <v>200</v>
      </c>
      <c r="H45" s="143">
        <f>'Вход и предположения'!$E$7</f>
        <v>200</v>
      </c>
      <c r="I45" s="143">
        <f>'Вход и предположения'!$E$7</f>
        <v>200</v>
      </c>
      <c r="J45" s="143">
        <f>'Вход и предположения'!$E$7</f>
        <v>200</v>
      </c>
      <c r="K45" s="143">
        <f>'Вход и предположения'!$E$7</f>
        <v>200</v>
      </c>
      <c r="L45" s="143">
        <f>'Вход и предположения'!$E$7</f>
        <v>200</v>
      </c>
      <c r="M45" s="143">
        <f>'Вход и предположения'!$E$7</f>
        <v>200</v>
      </c>
      <c r="N45" s="143">
        <f>'Вход и предположения'!$E$7</f>
        <v>200</v>
      </c>
      <c r="O45" s="143">
        <f>'Вход и предположения'!$E$7</f>
        <v>200</v>
      </c>
      <c r="P45" s="143">
        <f>'Вход и предположения'!$E$7</f>
        <v>200</v>
      </c>
      <c r="Q45" s="143">
        <f>'Вход и предположения'!$E$7</f>
        <v>200</v>
      </c>
      <c r="R45" s="143">
        <f>'Вход и предположения'!$E$7</f>
        <v>200</v>
      </c>
      <c r="S45" s="143">
        <f>'Вход и предположения'!$E$7</f>
        <v>200</v>
      </c>
      <c r="T45" s="143">
        <f>'Вход и предположения'!$E$7</f>
        <v>200</v>
      </c>
      <c r="U45" s="143">
        <f>'Вход и предположения'!$E$7</f>
        <v>200</v>
      </c>
      <c r="V45" s="143">
        <f>'Вход и предположения'!$E$7</f>
        <v>200</v>
      </c>
      <c r="W45" s="143">
        <f>'Вход и предположения'!$E$7</f>
        <v>200</v>
      </c>
      <c r="X45" s="143">
        <f>'Вход и предположения'!$E$7</f>
        <v>200</v>
      </c>
      <c r="Y45" s="143">
        <f>'Вход и предположения'!$E$7</f>
        <v>200</v>
      </c>
      <c r="Z45" s="143">
        <f>'Вход и предположения'!$E$7</f>
        <v>200</v>
      </c>
      <c r="AA45" s="143">
        <f>'Вход и предположения'!$E$7</f>
        <v>200</v>
      </c>
      <c r="AB45" s="143">
        <f>'Вход и предположения'!$E$7</f>
        <v>200</v>
      </c>
      <c r="AC45" s="143">
        <f>'Вход и предположения'!$E$7</f>
        <v>200</v>
      </c>
      <c r="AD45" s="143">
        <f>'Вход и предположения'!$E$7</f>
        <v>200</v>
      </c>
      <c r="AE45" s="143">
        <f>'Вход и предположения'!$E$7</f>
        <v>200</v>
      </c>
      <c r="AF45" s="143">
        <f>'Вход и предположения'!$E$7</f>
        <v>200</v>
      </c>
      <c r="AG45" s="143">
        <f>'Вход и предположения'!$E$7</f>
        <v>200</v>
      </c>
      <c r="AH45" s="143">
        <f>'Вход и предположения'!$E$7</f>
        <v>200</v>
      </c>
      <c r="AI45" s="143">
        <f>'Вход и предположения'!$E$7</f>
        <v>200</v>
      </c>
      <c r="AJ45" s="143">
        <f>'Вход и предположения'!$E$7</f>
        <v>200</v>
      </c>
      <c r="AK45" s="143">
        <f>'Вход и предположения'!$E$7</f>
        <v>200</v>
      </c>
      <c r="AL45" s="143">
        <f>'Вход и предположения'!$E$7</f>
        <v>200</v>
      </c>
      <c r="AM45" s="143">
        <f>'Вход и предположения'!$E$7</f>
        <v>200</v>
      </c>
      <c r="AN45" s="143">
        <f>'Вход и предположения'!$E$7</f>
        <v>200</v>
      </c>
      <c r="AO45" s="143">
        <f>'Вход и предположения'!$E$7</f>
        <v>200</v>
      </c>
      <c r="AP45" s="143">
        <f>'Вход и предположения'!$E$7</f>
        <v>200</v>
      </c>
      <c r="AQ45" s="143">
        <f>'Вход и предположения'!$E$7</f>
        <v>200</v>
      </c>
      <c r="AR45" s="143">
        <f>'Вход и предположения'!$E$7</f>
        <v>200</v>
      </c>
      <c r="AS45" s="143">
        <f>'Вход и предположения'!$E$7</f>
        <v>200</v>
      </c>
      <c r="AT45" s="143">
        <f>'Вход и предположения'!$E$7</f>
        <v>200</v>
      </c>
      <c r="AU45" s="143">
        <f>'Вход и предположения'!$E$7</f>
        <v>200</v>
      </c>
      <c r="AV45" s="143">
        <f>'Вход и предположения'!$E$7</f>
        <v>200</v>
      </c>
      <c r="AW45" s="143">
        <f>'Вход и предположения'!$E$7</f>
        <v>200</v>
      </c>
      <c r="AX45" s="143">
        <f>'Вход и предположения'!$E$7</f>
        <v>200</v>
      </c>
      <c r="AY45" s="143">
        <f>'Вход и предположения'!$E$7</f>
        <v>200</v>
      </c>
      <c r="AZ45" s="143">
        <f>'Вход и предположения'!$E$7</f>
        <v>200</v>
      </c>
      <c r="BA45" s="143">
        <f>'Вход и предположения'!$E$7</f>
        <v>200</v>
      </c>
      <c r="BB45" s="143">
        <f>'Вход и предположения'!$E$7</f>
        <v>200</v>
      </c>
      <c r="BC45" s="143">
        <f>'Вход и предположения'!$E$7</f>
        <v>200</v>
      </c>
      <c r="BD45" s="143">
        <f>'Вход и предположения'!$E$7</f>
        <v>200</v>
      </c>
      <c r="BE45" s="143">
        <f>'Вход и предположения'!$E$7</f>
        <v>200</v>
      </c>
      <c r="BF45" s="143">
        <f>'Вход и предположения'!$E$7</f>
        <v>200</v>
      </c>
      <c r="BG45" s="143">
        <f>'Вход и предположения'!$E$7</f>
        <v>200</v>
      </c>
      <c r="BH45" s="143">
        <f>'Вход и предположения'!$E$7</f>
        <v>200</v>
      </c>
      <c r="BI45" s="143">
        <f>'Вход и предположения'!$E$7</f>
        <v>200</v>
      </c>
      <c r="BJ45" s="143">
        <f>'Вход и предположения'!$E$7</f>
        <v>200</v>
      </c>
      <c r="BK45" s="143">
        <f>'Вход и предположения'!$E$7</f>
        <v>200</v>
      </c>
      <c r="BL45" s="143">
        <f>'Вход и предположения'!$E$7</f>
        <v>200</v>
      </c>
      <c r="BM45" s="143">
        <f>'Вход и предположения'!$E$7</f>
        <v>200</v>
      </c>
    </row>
    <row r="46" spans="1:73">
      <c r="C46" t="s">
        <v>187</v>
      </c>
      <c r="D46" s="3" t="s">
        <v>188</v>
      </c>
      <c r="F46" s="143">
        <f>30</f>
        <v>30</v>
      </c>
      <c r="G46" s="143">
        <f>30</f>
        <v>30</v>
      </c>
      <c r="H46" s="143">
        <f>30</f>
        <v>30</v>
      </c>
      <c r="I46" s="143">
        <f>30</f>
        <v>30</v>
      </c>
      <c r="J46" s="143">
        <f>30</f>
        <v>30</v>
      </c>
      <c r="K46" s="143">
        <f>30</f>
        <v>30</v>
      </c>
      <c r="L46" s="143">
        <f>30</f>
        <v>30</v>
      </c>
      <c r="M46" s="143">
        <f>30</f>
        <v>30</v>
      </c>
      <c r="N46" s="143">
        <f>30</f>
        <v>30</v>
      </c>
      <c r="O46" s="143">
        <f>30</f>
        <v>30</v>
      </c>
      <c r="P46" s="143">
        <f>30</f>
        <v>30</v>
      </c>
      <c r="Q46" s="143">
        <f>30</f>
        <v>30</v>
      </c>
      <c r="R46" s="143">
        <f>30</f>
        <v>30</v>
      </c>
      <c r="S46" s="143">
        <f>30</f>
        <v>30</v>
      </c>
      <c r="T46" s="143">
        <f>30</f>
        <v>30</v>
      </c>
      <c r="U46" s="143">
        <f>30</f>
        <v>30</v>
      </c>
      <c r="V46" s="143">
        <f>30</f>
        <v>30</v>
      </c>
      <c r="W46" s="143">
        <f>30</f>
        <v>30</v>
      </c>
      <c r="X46" s="143">
        <f>30</f>
        <v>30</v>
      </c>
      <c r="Y46" s="143">
        <f>30</f>
        <v>30</v>
      </c>
      <c r="Z46" s="143">
        <f>30</f>
        <v>30</v>
      </c>
      <c r="AA46" s="143">
        <f>30</f>
        <v>30</v>
      </c>
      <c r="AB46" s="143">
        <f>30</f>
        <v>30</v>
      </c>
      <c r="AC46" s="143">
        <f>30</f>
        <v>30</v>
      </c>
      <c r="AD46" s="143">
        <f>30</f>
        <v>30</v>
      </c>
      <c r="AE46" s="143">
        <f>30</f>
        <v>30</v>
      </c>
      <c r="AF46" s="143">
        <f>30</f>
        <v>30</v>
      </c>
      <c r="AG46" s="143">
        <f>30</f>
        <v>30</v>
      </c>
      <c r="AH46" s="143">
        <f>30</f>
        <v>30</v>
      </c>
      <c r="AI46" s="143">
        <f>30</f>
        <v>30</v>
      </c>
      <c r="AJ46" s="143">
        <f>30</f>
        <v>30</v>
      </c>
      <c r="AK46" s="143">
        <f>30</f>
        <v>30</v>
      </c>
      <c r="AL46" s="143">
        <f>30</f>
        <v>30</v>
      </c>
      <c r="AM46" s="143">
        <f>30</f>
        <v>30</v>
      </c>
      <c r="AN46" s="143">
        <f>30</f>
        <v>30</v>
      </c>
      <c r="AO46" s="143">
        <f>30</f>
        <v>30</v>
      </c>
      <c r="AP46" s="143">
        <f>30</f>
        <v>30</v>
      </c>
      <c r="AQ46" s="143">
        <f>30</f>
        <v>30</v>
      </c>
      <c r="AR46" s="143">
        <f>30</f>
        <v>30</v>
      </c>
      <c r="AS46" s="143">
        <f>30</f>
        <v>30</v>
      </c>
      <c r="AT46" s="143">
        <f>30</f>
        <v>30</v>
      </c>
      <c r="AU46" s="143">
        <f>30</f>
        <v>30</v>
      </c>
      <c r="AV46" s="143">
        <f>30</f>
        <v>30</v>
      </c>
      <c r="AW46" s="143">
        <f>30</f>
        <v>30</v>
      </c>
      <c r="AX46" s="143">
        <f>30</f>
        <v>30</v>
      </c>
      <c r="AY46" s="143">
        <f>30</f>
        <v>30</v>
      </c>
      <c r="AZ46" s="143">
        <f>30</f>
        <v>30</v>
      </c>
      <c r="BA46" s="143">
        <f>30</f>
        <v>30</v>
      </c>
      <c r="BB46" s="143">
        <f>30</f>
        <v>30</v>
      </c>
      <c r="BC46" s="143">
        <f>30</f>
        <v>30</v>
      </c>
      <c r="BD46" s="143">
        <f>30</f>
        <v>30</v>
      </c>
      <c r="BE46" s="143">
        <f>30</f>
        <v>30</v>
      </c>
      <c r="BF46" s="143">
        <f>30</f>
        <v>30</v>
      </c>
      <c r="BG46" s="143">
        <f>30</f>
        <v>30</v>
      </c>
      <c r="BH46" s="143">
        <f>30</f>
        <v>30</v>
      </c>
      <c r="BI46" s="143">
        <f>30</f>
        <v>30</v>
      </c>
      <c r="BJ46" s="143">
        <f>30</f>
        <v>30</v>
      </c>
      <c r="BK46" s="143">
        <f>30</f>
        <v>30</v>
      </c>
      <c r="BL46" s="143">
        <f>30</f>
        <v>30</v>
      </c>
      <c r="BM46" s="143">
        <f>30</f>
        <v>30</v>
      </c>
    </row>
    <row r="47" spans="1:73">
      <c r="D47" s="3"/>
      <c r="Q47" s="136"/>
      <c r="R47" s="137"/>
      <c r="AC47" s="136"/>
      <c r="AO47" s="136"/>
      <c r="BA47" s="136"/>
    </row>
    <row r="48" spans="1:73">
      <c r="A48" s="138"/>
      <c r="B48" s="138"/>
      <c r="C48" s="108" t="s">
        <v>189</v>
      </c>
      <c r="D48" s="139"/>
      <c r="E48" s="139"/>
      <c r="F48" s="130">
        <f>F49*F50*F52/12</f>
        <v>150625</v>
      </c>
      <c r="G48" s="130">
        <f t="shared" ref="G48:BM48" si="26">G49*G50*G52/12</f>
        <v>151252.60416666666</v>
      </c>
      <c r="H48" s="130">
        <f t="shared" si="26"/>
        <v>151882.82335069447</v>
      </c>
      <c r="I48" s="130">
        <f t="shared" si="26"/>
        <v>152515.66844798901</v>
      </c>
      <c r="J48" s="130">
        <f t="shared" si="26"/>
        <v>153151.15039985563</v>
      </c>
      <c r="K48" s="130">
        <f t="shared" si="26"/>
        <v>153789.28019318837</v>
      </c>
      <c r="L48" s="130">
        <f t="shared" si="26"/>
        <v>154430.06886065999</v>
      </c>
      <c r="M48" s="130">
        <f t="shared" si="26"/>
        <v>155073.52748091274</v>
      </c>
      <c r="N48" s="130">
        <f t="shared" si="26"/>
        <v>155719.66717874989</v>
      </c>
      <c r="O48" s="130">
        <f t="shared" si="26"/>
        <v>156368.499125328</v>
      </c>
      <c r="P48" s="130">
        <f t="shared" si="26"/>
        <v>157020.03453835016</v>
      </c>
      <c r="Q48" s="130">
        <f t="shared" si="26"/>
        <v>157674.28468225995</v>
      </c>
      <c r="R48" s="130">
        <f t="shared" si="26"/>
        <v>158331.26086843605</v>
      </c>
      <c r="S48" s="130">
        <f t="shared" si="26"/>
        <v>158990.97445538786</v>
      </c>
      <c r="T48" s="130">
        <f t="shared" si="26"/>
        <v>159653.43684895197</v>
      </c>
      <c r="U48" s="130">
        <f t="shared" si="26"/>
        <v>160318.65950248926</v>
      </c>
      <c r="V48" s="130">
        <f t="shared" si="26"/>
        <v>160986.65391708296</v>
      </c>
      <c r="W48" s="130">
        <f t="shared" si="26"/>
        <v>161657.43164173749</v>
      </c>
      <c r="X48" s="130">
        <f t="shared" si="26"/>
        <v>162331.00427357803</v>
      </c>
      <c r="Y48" s="130">
        <f t="shared" si="26"/>
        <v>163007.38345805128</v>
      </c>
      <c r="Z48" s="130">
        <f t="shared" si="26"/>
        <v>163686.58088912649</v>
      </c>
      <c r="AA48" s="130">
        <f t="shared" si="26"/>
        <v>164368.60830949785</v>
      </c>
      <c r="AB48" s="130">
        <f t="shared" si="26"/>
        <v>165053.4775107874</v>
      </c>
      <c r="AC48" s="130">
        <f t="shared" si="26"/>
        <v>165741.20033374903</v>
      </c>
      <c r="AD48" s="130">
        <f t="shared" si="26"/>
        <v>166431.78866847299</v>
      </c>
      <c r="AE48" s="130">
        <f t="shared" si="26"/>
        <v>167125.2544545916</v>
      </c>
      <c r="AF48" s="130">
        <f t="shared" si="26"/>
        <v>167821.60968148574</v>
      </c>
      <c r="AG48" s="130">
        <f t="shared" si="26"/>
        <v>168520.86638849194</v>
      </c>
      <c r="AH48" s="130">
        <f t="shared" si="26"/>
        <v>169223.03666511065</v>
      </c>
      <c r="AI48" s="130">
        <f t="shared" si="26"/>
        <v>169928.13265121527</v>
      </c>
      <c r="AJ48" s="130">
        <f t="shared" si="26"/>
        <v>170636.166537262</v>
      </c>
      <c r="AK48" s="130">
        <f t="shared" si="26"/>
        <v>171347.1505645006</v>
      </c>
      <c r="AL48" s="130">
        <f t="shared" si="26"/>
        <v>172061.09702518603</v>
      </c>
      <c r="AM48" s="130">
        <f t="shared" si="26"/>
        <v>172778.01826279095</v>
      </c>
      <c r="AN48" s="130">
        <f t="shared" si="26"/>
        <v>173497.92667221924</v>
      </c>
      <c r="AO48" s="130">
        <f t="shared" si="26"/>
        <v>174220.83470002018</v>
      </c>
      <c r="AP48" s="130">
        <f t="shared" si="26"/>
        <v>174946.75484460359</v>
      </c>
      <c r="AQ48" s="130">
        <f t="shared" si="26"/>
        <v>175675.69965645613</v>
      </c>
      <c r="AR48" s="130">
        <f t="shared" si="26"/>
        <v>176407.68173835799</v>
      </c>
      <c r="AS48" s="130">
        <f t="shared" si="26"/>
        <v>177142.71374560113</v>
      </c>
      <c r="AT48" s="130">
        <f t="shared" si="26"/>
        <v>177880.80838620779</v>
      </c>
      <c r="AU48" s="130">
        <f t="shared" si="26"/>
        <v>178621.97842115033</v>
      </c>
      <c r="AV48" s="130">
        <f t="shared" si="26"/>
        <v>179366.23666457177</v>
      </c>
      <c r="AW48" s="130">
        <f t="shared" si="26"/>
        <v>180113.59598400746</v>
      </c>
      <c r="AX48" s="130">
        <f t="shared" si="26"/>
        <v>180864.06930060752</v>
      </c>
      <c r="AY48" s="130">
        <f t="shared" si="26"/>
        <v>181617.66958936004</v>
      </c>
      <c r="AZ48" s="130">
        <f t="shared" si="26"/>
        <v>182374.40987931573</v>
      </c>
      <c r="BA48" s="130">
        <f t="shared" si="26"/>
        <v>183134.30325381286</v>
      </c>
      <c r="BB48" s="130">
        <f t="shared" si="26"/>
        <v>183897.36285070376</v>
      </c>
      <c r="BC48" s="130">
        <f t="shared" si="26"/>
        <v>184663.60186258171</v>
      </c>
      <c r="BD48" s="130">
        <f t="shared" si="26"/>
        <v>185433.03353700912</v>
      </c>
      <c r="BE48" s="130">
        <f t="shared" si="26"/>
        <v>186205.67117674663</v>
      </c>
      <c r="BF48" s="130">
        <f t="shared" si="26"/>
        <v>186981.5281399831</v>
      </c>
      <c r="BG48" s="130">
        <f t="shared" si="26"/>
        <v>187760.61784056635</v>
      </c>
      <c r="BH48" s="130">
        <f t="shared" si="26"/>
        <v>188542.95374823539</v>
      </c>
      <c r="BI48" s="130">
        <f t="shared" si="26"/>
        <v>189328.54938885302</v>
      </c>
      <c r="BJ48" s="130">
        <f t="shared" si="26"/>
        <v>190117.41834463994</v>
      </c>
      <c r="BK48" s="130">
        <f t="shared" si="26"/>
        <v>190909.57425440926</v>
      </c>
      <c r="BL48" s="130">
        <f t="shared" si="26"/>
        <v>191705.03081380262</v>
      </c>
      <c r="BM48" s="130">
        <f t="shared" si="26"/>
        <v>192503.80177552675</v>
      </c>
      <c r="BO48" s="94">
        <f t="shared" si="7"/>
        <v>10243416.227901984</v>
      </c>
      <c r="BP48" s="94">
        <f t="shared" si="8"/>
        <v>1849502.6084246545</v>
      </c>
      <c r="BQ48" s="94">
        <f t="shared" si="9"/>
        <v>1944126.6720088755</v>
      </c>
      <c r="BR48" s="94">
        <f t="shared" si="10"/>
        <v>2043591.8822713473</v>
      </c>
      <c r="BS48" s="94">
        <f t="shared" si="11"/>
        <v>2148145.9214640521</v>
      </c>
      <c r="BT48" s="94">
        <f t="shared" si="12"/>
        <v>2258049.1437330577</v>
      </c>
      <c r="BU48" s="94">
        <f t="shared" si="13"/>
        <v>10243416.227901988</v>
      </c>
    </row>
    <row r="49" spans="1:73">
      <c r="C49" s="140" t="s">
        <v>190</v>
      </c>
      <c r="D49" s="3" t="s">
        <v>101</v>
      </c>
      <c r="F49" s="104">
        <f>F45</f>
        <v>200</v>
      </c>
      <c r="G49" s="104">
        <f t="shared" ref="G49:BM49" si="27">G45</f>
        <v>200</v>
      </c>
      <c r="H49" s="104">
        <f t="shared" si="27"/>
        <v>200</v>
      </c>
      <c r="I49" s="104">
        <f t="shared" si="27"/>
        <v>200</v>
      </c>
      <c r="J49" s="104">
        <f t="shared" si="27"/>
        <v>200</v>
      </c>
      <c r="K49" s="104">
        <f t="shared" si="27"/>
        <v>200</v>
      </c>
      <c r="L49" s="104">
        <f t="shared" si="27"/>
        <v>200</v>
      </c>
      <c r="M49" s="104">
        <f t="shared" si="27"/>
        <v>200</v>
      </c>
      <c r="N49" s="104">
        <f t="shared" si="27"/>
        <v>200</v>
      </c>
      <c r="O49" s="104">
        <f t="shared" si="27"/>
        <v>200</v>
      </c>
      <c r="P49" s="104">
        <f t="shared" si="27"/>
        <v>200</v>
      </c>
      <c r="Q49" s="104">
        <f t="shared" si="27"/>
        <v>200</v>
      </c>
      <c r="R49" s="104">
        <f t="shared" si="27"/>
        <v>200</v>
      </c>
      <c r="S49" s="104">
        <f t="shared" si="27"/>
        <v>200</v>
      </c>
      <c r="T49" s="104">
        <f t="shared" si="27"/>
        <v>200</v>
      </c>
      <c r="U49" s="104">
        <f t="shared" si="27"/>
        <v>200</v>
      </c>
      <c r="V49" s="104">
        <f t="shared" si="27"/>
        <v>200</v>
      </c>
      <c r="W49" s="104">
        <f t="shared" si="27"/>
        <v>200</v>
      </c>
      <c r="X49" s="104">
        <f t="shared" si="27"/>
        <v>200</v>
      </c>
      <c r="Y49" s="104">
        <f t="shared" si="27"/>
        <v>200</v>
      </c>
      <c r="Z49" s="104">
        <f t="shared" si="27"/>
        <v>200</v>
      </c>
      <c r="AA49" s="104">
        <f t="shared" si="27"/>
        <v>200</v>
      </c>
      <c r="AB49" s="104">
        <f t="shared" si="27"/>
        <v>200</v>
      </c>
      <c r="AC49" s="104">
        <f t="shared" si="27"/>
        <v>200</v>
      </c>
      <c r="AD49" s="104">
        <f t="shared" si="27"/>
        <v>200</v>
      </c>
      <c r="AE49" s="104">
        <f t="shared" si="27"/>
        <v>200</v>
      </c>
      <c r="AF49" s="104">
        <f t="shared" si="27"/>
        <v>200</v>
      </c>
      <c r="AG49" s="104">
        <f t="shared" si="27"/>
        <v>200</v>
      </c>
      <c r="AH49" s="104">
        <f t="shared" si="27"/>
        <v>200</v>
      </c>
      <c r="AI49" s="104">
        <f t="shared" si="27"/>
        <v>200</v>
      </c>
      <c r="AJ49" s="104">
        <f t="shared" si="27"/>
        <v>200</v>
      </c>
      <c r="AK49" s="104">
        <f t="shared" si="27"/>
        <v>200</v>
      </c>
      <c r="AL49" s="104">
        <f t="shared" si="27"/>
        <v>200</v>
      </c>
      <c r="AM49" s="104">
        <f t="shared" si="27"/>
        <v>200</v>
      </c>
      <c r="AN49" s="104">
        <f t="shared" si="27"/>
        <v>200</v>
      </c>
      <c r="AO49" s="104">
        <f t="shared" si="27"/>
        <v>200</v>
      </c>
      <c r="AP49" s="104">
        <f t="shared" si="27"/>
        <v>200</v>
      </c>
      <c r="AQ49" s="104">
        <f t="shared" si="27"/>
        <v>200</v>
      </c>
      <c r="AR49" s="104">
        <f t="shared" si="27"/>
        <v>200</v>
      </c>
      <c r="AS49" s="104">
        <f t="shared" si="27"/>
        <v>200</v>
      </c>
      <c r="AT49" s="104">
        <f t="shared" si="27"/>
        <v>200</v>
      </c>
      <c r="AU49" s="104">
        <f t="shared" si="27"/>
        <v>200</v>
      </c>
      <c r="AV49" s="104">
        <f t="shared" si="27"/>
        <v>200</v>
      </c>
      <c r="AW49" s="104">
        <f t="shared" si="27"/>
        <v>200</v>
      </c>
      <c r="AX49" s="104">
        <f t="shared" si="27"/>
        <v>200</v>
      </c>
      <c r="AY49" s="104">
        <f t="shared" si="27"/>
        <v>200</v>
      </c>
      <c r="AZ49" s="104">
        <f t="shared" si="27"/>
        <v>200</v>
      </c>
      <c r="BA49" s="104">
        <f t="shared" si="27"/>
        <v>200</v>
      </c>
      <c r="BB49" s="104">
        <f t="shared" si="27"/>
        <v>200</v>
      </c>
      <c r="BC49" s="104">
        <f t="shared" si="27"/>
        <v>200</v>
      </c>
      <c r="BD49" s="104">
        <f t="shared" si="27"/>
        <v>200</v>
      </c>
      <c r="BE49" s="104">
        <f t="shared" si="27"/>
        <v>200</v>
      </c>
      <c r="BF49" s="104">
        <f t="shared" si="27"/>
        <v>200</v>
      </c>
      <c r="BG49" s="104">
        <f t="shared" si="27"/>
        <v>200</v>
      </c>
      <c r="BH49" s="104">
        <f t="shared" si="27"/>
        <v>200</v>
      </c>
      <c r="BI49" s="104">
        <f t="shared" si="27"/>
        <v>200</v>
      </c>
      <c r="BJ49" s="104">
        <f t="shared" si="27"/>
        <v>200</v>
      </c>
      <c r="BK49" s="104">
        <f t="shared" si="27"/>
        <v>200</v>
      </c>
      <c r="BL49" s="104">
        <f t="shared" si="27"/>
        <v>200</v>
      </c>
      <c r="BM49" s="104">
        <f t="shared" si="27"/>
        <v>200</v>
      </c>
    </row>
    <row r="50" spans="1:73">
      <c r="C50" s="140" t="s">
        <v>191</v>
      </c>
      <c r="D50" s="3" t="s">
        <v>192</v>
      </c>
      <c r="F50" s="93">
        <f>'Вход и предположения'!$E$22</f>
        <v>9000</v>
      </c>
      <c r="G50" s="93">
        <f>'Вход и предположения'!$E$22</f>
        <v>9000</v>
      </c>
      <c r="H50" s="93">
        <f>'Вход и предположения'!$E$22</f>
        <v>9000</v>
      </c>
      <c r="I50" s="93">
        <f>'Вход и предположения'!$E$22</f>
        <v>9000</v>
      </c>
      <c r="J50" s="93">
        <f>'Вход и предположения'!$E$22</f>
        <v>9000</v>
      </c>
      <c r="K50" s="93">
        <f>'Вход и предположения'!$E$22</f>
        <v>9000</v>
      </c>
      <c r="L50" s="93">
        <f>'Вход и предположения'!$E$22</f>
        <v>9000</v>
      </c>
      <c r="M50" s="93">
        <f>'Вход и предположения'!$E$22</f>
        <v>9000</v>
      </c>
      <c r="N50" s="93">
        <f>'Вход и предположения'!$E$22</f>
        <v>9000</v>
      </c>
      <c r="O50" s="93">
        <f>'Вход и предположения'!$E$22</f>
        <v>9000</v>
      </c>
      <c r="P50" s="93">
        <f>'Вход и предположения'!$E$22</f>
        <v>9000</v>
      </c>
      <c r="Q50" s="93">
        <f>'Вход и предположения'!$E$22</f>
        <v>9000</v>
      </c>
      <c r="R50" s="93">
        <f>'Вход и предположения'!$E$22</f>
        <v>9000</v>
      </c>
      <c r="S50" s="93">
        <f>'Вход и предположения'!$E$22</f>
        <v>9000</v>
      </c>
      <c r="T50" s="93">
        <f>'Вход и предположения'!$E$22</f>
        <v>9000</v>
      </c>
      <c r="U50" s="93">
        <f>'Вход и предположения'!$E$22</f>
        <v>9000</v>
      </c>
      <c r="V50" s="93">
        <f>'Вход и предположения'!$E$22</f>
        <v>9000</v>
      </c>
      <c r="W50" s="93">
        <f>'Вход и предположения'!$E$22</f>
        <v>9000</v>
      </c>
      <c r="X50" s="93">
        <f>'Вход и предположения'!$E$22</f>
        <v>9000</v>
      </c>
      <c r="Y50" s="93">
        <f>'Вход и предположения'!$E$22</f>
        <v>9000</v>
      </c>
      <c r="Z50" s="93">
        <f>'Вход и предположения'!$E$22</f>
        <v>9000</v>
      </c>
      <c r="AA50" s="93">
        <f>'Вход и предположения'!$E$22</f>
        <v>9000</v>
      </c>
      <c r="AB50" s="93">
        <f>'Вход и предположения'!$E$22</f>
        <v>9000</v>
      </c>
      <c r="AC50" s="93">
        <f>'Вход и предположения'!$E$22</f>
        <v>9000</v>
      </c>
      <c r="AD50" s="93">
        <f>'Вход и предположения'!$E$22</f>
        <v>9000</v>
      </c>
      <c r="AE50" s="93">
        <f>'Вход и предположения'!$E$22</f>
        <v>9000</v>
      </c>
      <c r="AF50" s="93">
        <f>'Вход и предположения'!$E$22</f>
        <v>9000</v>
      </c>
      <c r="AG50" s="93">
        <f>'Вход и предположения'!$E$22</f>
        <v>9000</v>
      </c>
      <c r="AH50" s="93">
        <f>'Вход и предположения'!$E$22</f>
        <v>9000</v>
      </c>
      <c r="AI50" s="93">
        <f>'Вход и предположения'!$E$22</f>
        <v>9000</v>
      </c>
      <c r="AJ50" s="93">
        <f>'Вход и предположения'!$E$22</f>
        <v>9000</v>
      </c>
      <c r="AK50" s="93">
        <f>'Вход и предположения'!$E$22</f>
        <v>9000</v>
      </c>
      <c r="AL50" s="93">
        <f>'Вход и предположения'!$E$22</f>
        <v>9000</v>
      </c>
      <c r="AM50" s="93">
        <f>'Вход и предположения'!$E$22</f>
        <v>9000</v>
      </c>
      <c r="AN50" s="93">
        <f>'Вход и предположения'!$E$22</f>
        <v>9000</v>
      </c>
      <c r="AO50" s="93">
        <f>'Вход и предположения'!$E$22</f>
        <v>9000</v>
      </c>
      <c r="AP50" s="93">
        <f>'Вход и предположения'!$E$22</f>
        <v>9000</v>
      </c>
      <c r="AQ50" s="93">
        <f>'Вход и предположения'!$E$22</f>
        <v>9000</v>
      </c>
      <c r="AR50" s="93">
        <f>'Вход и предположения'!$E$22</f>
        <v>9000</v>
      </c>
      <c r="AS50" s="93">
        <f>'Вход и предположения'!$E$22</f>
        <v>9000</v>
      </c>
      <c r="AT50" s="93">
        <f>'Вход и предположения'!$E$22</f>
        <v>9000</v>
      </c>
      <c r="AU50" s="93">
        <f>'Вход и предположения'!$E$22</f>
        <v>9000</v>
      </c>
      <c r="AV50" s="93">
        <f>'Вход и предположения'!$E$22</f>
        <v>9000</v>
      </c>
      <c r="AW50" s="93">
        <f>'Вход и предположения'!$E$22</f>
        <v>9000</v>
      </c>
      <c r="AX50" s="93">
        <f>'Вход и предположения'!$E$22</f>
        <v>9000</v>
      </c>
      <c r="AY50" s="93">
        <f>'Вход и предположения'!$E$22</f>
        <v>9000</v>
      </c>
      <c r="AZ50" s="93">
        <f>'Вход и предположения'!$E$22</f>
        <v>9000</v>
      </c>
      <c r="BA50" s="93">
        <f>'Вход и предположения'!$E$22</f>
        <v>9000</v>
      </c>
      <c r="BB50" s="93">
        <f>'Вход и предположения'!$E$22</f>
        <v>9000</v>
      </c>
      <c r="BC50" s="93">
        <f>'Вход и предположения'!$E$22</f>
        <v>9000</v>
      </c>
      <c r="BD50" s="93">
        <f>'Вход и предположения'!$E$22</f>
        <v>9000</v>
      </c>
      <c r="BE50" s="93">
        <f>'Вход и предположения'!$E$22</f>
        <v>9000</v>
      </c>
      <c r="BF50" s="93">
        <f>'Вход и предположения'!$E$22</f>
        <v>9000</v>
      </c>
      <c r="BG50" s="93">
        <f>'Вход и предположения'!$E$22</f>
        <v>9000</v>
      </c>
      <c r="BH50" s="93">
        <f>'Вход и предположения'!$E$22</f>
        <v>9000</v>
      </c>
      <c r="BI50" s="93">
        <f>'Вход и предположения'!$E$22</f>
        <v>9000</v>
      </c>
      <c r="BJ50" s="93">
        <f>'Вход и предположения'!$E$22</f>
        <v>9000</v>
      </c>
      <c r="BK50" s="93">
        <f>'Вход и предположения'!$E$22</f>
        <v>9000</v>
      </c>
      <c r="BL50" s="93">
        <f>'Вход и предположения'!$E$22</f>
        <v>9000</v>
      </c>
      <c r="BM50" s="93">
        <f>'Вход и предположения'!$E$22</f>
        <v>9000</v>
      </c>
    </row>
    <row r="51" spans="1:73">
      <c r="C51" s="28" t="s">
        <v>123</v>
      </c>
      <c r="D51" s="29" t="s">
        <v>124</v>
      </c>
      <c r="F51" s="144">
        <f>'Вход и предположения'!$E$24</f>
        <v>0.05</v>
      </c>
      <c r="G51" s="144">
        <f>'Вход и предположения'!$E$24</f>
        <v>0.05</v>
      </c>
      <c r="H51" s="144">
        <f>'Вход и предположения'!$E$24</f>
        <v>0.05</v>
      </c>
      <c r="I51" s="144">
        <f>'Вход и предположения'!$E$24</f>
        <v>0.05</v>
      </c>
      <c r="J51" s="144">
        <f>'Вход и предположения'!$E$24</f>
        <v>0.05</v>
      </c>
      <c r="K51" s="144">
        <f>'Вход и предположения'!$E$24</f>
        <v>0.05</v>
      </c>
      <c r="L51" s="144">
        <f>'Вход и предположения'!$E$24</f>
        <v>0.05</v>
      </c>
      <c r="M51" s="144">
        <f>'Вход и предположения'!$E$24</f>
        <v>0.05</v>
      </c>
      <c r="N51" s="144">
        <f>'Вход и предположения'!$E$24</f>
        <v>0.05</v>
      </c>
      <c r="O51" s="144">
        <f>'Вход и предположения'!$E$24</f>
        <v>0.05</v>
      </c>
      <c r="P51" s="144">
        <f>'Вход и предположения'!$E$24</f>
        <v>0.05</v>
      </c>
      <c r="Q51" s="144">
        <f>'Вход и предположения'!$E$24</f>
        <v>0.05</v>
      </c>
      <c r="R51" s="144">
        <f>'Вход и предположения'!$E$24</f>
        <v>0.05</v>
      </c>
      <c r="S51" s="144">
        <f>'Вход и предположения'!$E$24</f>
        <v>0.05</v>
      </c>
      <c r="T51" s="144">
        <f>'Вход и предположения'!$E$24</f>
        <v>0.05</v>
      </c>
      <c r="U51" s="144">
        <f>'Вход и предположения'!$E$24</f>
        <v>0.05</v>
      </c>
      <c r="V51" s="144">
        <f>'Вход и предположения'!$E$24</f>
        <v>0.05</v>
      </c>
      <c r="W51" s="144">
        <f>'Вход и предположения'!$E$24</f>
        <v>0.05</v>
      </c>
      <c r="X51" s="144">
        <f>'Вход и предположения'!$E$24</f>
        <v>0.05</v>
      </c>
      <c r="Y51" s="144">
        <f>'Вход и предположения'!$E$24</f>
        <v>0.05</v>
      </c>
      <c r="Z51" s="144">
        <f>'Вход и предположения'!$E$24</f>
        <v>0.05</v>
      </c>
      <c r="AA51" s="144">
        <f>'Вход и предположения'!$E$24</f>
        <v>0.05</v>
      </c>
      <c r="AB51" s="144">
        <f>'Вход и предположения'!$E$24</f>
        <v>0.05</v>
      </c>
      <c r="AC51" s="144">
        <f>'Вход и предположения'!$E$24</f>
        <v>0.05</v>
      </c>
      <c r="AD51" s="144">
        <f>'Вход и предположения'!$E$24</f>
        <v>0.05</v>
      </c>
      <c r="AE51" s="144">
        <f>'Вход и предположения'!$E$24</f>
        <v>0.05</v>
      </c>
      <c r="AF51" s="144">
        <f>'Вход и предположения'!$E$24</f>
        <v>0.05</v>
      </c>
      <c r="AG51" s="144">
        <f>'Вход и предположения'!$E$24</f>
        <v>0.05</v>
      </c>
      <c r="AH51" s="144">
        <f>'Вход и предположения'!$E$24</f>
        <v>0.05</v>
      </c>
      <c r="AI51" s="144">
        <f>'Вход и предположения'!$E$24</f>
        <v>0.05</v>
      </c>
      <c r="AJ51" s="144">
        <f>'Вход и предположения'!$E$24</f>
        <v>0.05</v>
      </c>
      <c r="AK51" s="144">
        <f>'Вход и предположения'!$E$24</f>
        <v>0.05</v>
      </c>
      <c r="AL51" s="144">
        <f>'Вход и предположения'!$E$24</f>
        <v>0.05</v>
      </c>
      <c r="AM51" s="144">
        <f>'Вход и предположения'!$E$24</f>
        <v>0.05</v>
      </c>
      <c r="AN51" s="144">
        <f>'Вход и предположения'!$E$24</f>
        <v>0.05</v>
      </c>
      <c r="AO51" s="144">
        <f>'Вход и предположения'!$E$24</f>
        <v>0.05</v>
      </c>
      <c r="AP51" s="144">
        <f>'Вход и предположения'!$E$24</f>
        <v>0.05</v>
      </c>
      <c r="AQ51" s="144">
        <f>'Вход и предположения'!$E$24</f>
        <v>0.05</v>
      </c>
      <c r="AR51" s="144">
        <f>'Вход и предположения'!$E$24</f>
        <v>0.05</v>
      </c>
      <c r="AS51" s="144">
        <f>'Вход и предположения'!$E$24</f>
        <v>0.05</v>
      </c>
      <c r="AT51" s="144">
        <f>'Вход и предположения'!$E$24</f>
        <v>0.05</v>
      </c>
      <c r="AU51" s="144">
        <f>'Вход и предположения'!$E$24</f>
        <v>0.05</v>
      </c>
      <c r="AV51" s="144">
        <f>'Вход и предположения'!$E$24</f>
        <v>0.05</v>
      </c>
      <c r="AW51" s="144">
        <f>'Вход и предположения'!$E$24</f>
        <v>0.05</v>
      </c>
      <c r="AX51" s="144">
        <f>'Вход и предположения'!$E$24</f>
        <v>0.05</v>
      </c>
      <c r="AY51" s="144">
        <f>'Вход и предположения'!$E$24</f>
        <v>0.05</v>
      </c>
      <c r="AZ51" s="144">
        <f>'Вход и предположения'!$E$24</f>
        <v>0.05</v>
      </c>
      <c r="BA51" s="144">
        <f>'Вход и предположения'!$E$24</f>
        <v>0.05</v>
      </c>
      <c r="BB51" s="144">
        <f>'Вход и предположения'!$E$24</f>
        <v>0.05</v>
      </c>
      <c r="BC51" s="144">
        <f>'Вход и предположения'!$E$24</f>
        <v>0.05</v>
      </c>
      <c r="BD51" s="144">
        <f>'Вход и предположения'!$E$24</f>
        <v>0.05</v>
      </c>
      <c r="BE51" s="144">
        <f>'Вход и предположения'!$E$24</f>
        <v>0.05</v>
      </c>
      <c r="BF51" s="144">
        <f>'Вход и предположения'!$E$24</f>
        <v>0.05</v>
      </c>
      <c r="BG51" s="144">
        <f>'Вход и предположения'!$E$24</f>
        <v>0.05</v>
      </c>
      <c r="BH51" s="144">
        <f>'Вход и предположения'!$E$24</f>
        <v>0.05</v>
      </c>
      <c r="BI51" s="144">
        <f>'Вход и предположения'!$E$24</f>
        <v>0.05</v>
      </c>
      <c r="BJ51" s="144">
        <f>'Вход и предположения'!$E$24</f>
        <v>0.05</v>
      </c>
      <c r="BK51" s="144">
        <f>'Вход и предположения'!$E$24</f>
        <v>0.05</v>
      </c>
      <c r="BL51" s="144">
        <f>'Вход и предположения'!$E$24</f>
        <v>0.05</v>
      </c>
      <c r="BM51" s="144">
        <f>'Вход и предположения'!$E$24</f>
        <v>0.05</v>
      </c>
    </row>
    <row r="52" spans="1:73">
      <c r="C52" s="28" t="s">
        <v>193</v>
      </c>
      <c r="D52" s="29"/>
      <c r="E52" s="72">
        <v>1</v>
      </c>
      <c r="F52" s="145">
        <f>E52*(1+F51/12)</f>
        <v>1.0041666666666667</v>
      </c>
      <c r="G52" s="145">
        <f t="shared" ref="G52:BM52" si="28">F52*(1+G51/12)</f>
        <v>1.0083506944444445</v>
      </c>
      <c r="H52" s="145">
        <f t="shared" si="28"/>
        <v>1.0125521556712964</v>
      </c>
      <c r="I52" s="145">
        <f t="shared" si="28"/>
        <v>1.0167711229865934</v>
      </c>
      <c r="J52" s="145">
        <f t="shared" si="28"/>
        <v>1.0210076693323709</v>
      </c>
      <c r="K52" s="145">
        <f t="shared" si="28"/>
        <v>1.0252618679545891</v>
      </c>
      <c r="L52" s="145">
        <f t="shared" si="28"/>
        <v>1.0295337924043999</v>
      </c>
      <c r="M52" s="145">
        <f t="shared" si="28"/>
        <v>1.0338235165394183</v>
      </c>
      <c r="N52" s="145">
        <f t="shared" si="28"/>
        <v>1.0381311145249992</v>
      </c>
      <c r="O52" s="145">
        <f t="shared" si="28"/>
        <v>1.0424566608355199</v>
      </c>
      <c r="P52" s="145">
        <f t="shared" si="28"/>
        <v>1.0468002302556678</v>
      </c>
      <c r="Q52" s="145">
        <f t="shared" si="28"/>
        <v>1.051161897881733</v>
      </c>
      <c r="R52" s="145">
        <f t="shared" si="28"/>
        <v>1.0555417391229069</v>
      </c>
      <c r="S52" s="145">
        <f t="shared" si="28"/>
        <v>1.0599398297025857</v>
      </c>
      <c r="T52" s="145">
        <f t="shared" si="28"/>
        <v>1.0643562456596798</v>
      </c>
      <c r="U52" s="145">
        <f t="shared" si="28"/>
        <v>1.0687910633499285</v>
      </c>
      <c r="V52" s="145">
        <f t="shared" si="28"/>
        <v>1.0732443594472199</v>
      </c>
      <c r="W52" s="145">
        <f t="shared" si="28"/>
        <v>1.0777162109449165</v>
      </c>
      <c r="X52" s="145">
        <f t="shared" si="28"/>
        <v>1.0822066951571869</v>
      </c>
      <c r="Y52" s="145">
        <f t="shared" si="28"/>
        <v>1.0867158897203419</v>
      </c>
      <c r="Z52" s="145">
        <f t="shared" si="28"/>
        <v>1.0912438725941767</v>
      </c>
      <c r="AA52" s="145">
        <f t="shared" si="28"/>
        <v>1.095790722063319</v>
      </c>
      <c r="AB52" s="145">
        <f t="shared" si="28"/>
        <v>1.1003565167385827</v>
      </c>
      <c r="AC52" s="145">
        <f t="shared" si="28"/>
        <v>1.1049413355583269</v>
      </c>
      <c r="AD52" s="145">
        <f t="shared" si="28"/>
        <v>1.1095452577898199</v>
      </c>
      <c r="AE52" s="145">
        <f t="shared" si="28"/>
        <v>1.1141683630306107</v>
      </c>
      <c r="AF52" s="145">
        <f t="shared" si="28"/>
        <v>1.1188107312099049</v>
      </c>
      <c r="AG52" s="145">
        <f t="shared" si="28"/>
        <v>1.1234724425899463</v>
      </c>
      <c r="AH52" s="145">
        <f t="shared" si="28"/>
        <v>1.1281535777674043</v>
      </c>
      <c r="AI52" s="145">
        <f t="shared" si="28"/>
        <v>1.1328542176747685</v>
      </c>
      <c r="AJ52" s="145">
        <f t="shared" si="28"/>
        <v>1.1375744435817468</v>
      </c>
      <c r="AK52" s="145">
        <f t="shared" si="28"/>
        <v>1.1423143370966706</v>
      </c>
      <c r="AL52" s="145">
        <f t="shared" si="28"/>
        <v>1.1470739801679068</v>
      </c>
      <c r="AM52" s="145">
        <f t="shared" si="28"/>
        <v>1.151853455085273</v>
      </c>
      <c r="AN52" s="145">
        <f t="shared" si="28"/>
        <v>1.1566528444814617</v>
      </c>
      <c r="AO52" s="145">
        <f t="shared" si="28"/>
        <v>1.1614722313334678</v>
      </c>
      <c r="AP52" s="145">
        <f t="shared" si="28"/>
        <v>1.1663116989640239</v>
      </c>
      <c r="AQ52" s="145">
        <f t="shared" si="28"/>
        <v>1.1711713310430407</v>
      </c>
      <c r="AR52" s="145">
        <f t="shared" si="28"/>
        <v>1.1760512115890533</v>
      </c>
      <c r="AS52" s="145">
        <f t="shared" si="28"/>
        <v>1.1809514249706743</v>
      </c>
      <c r="AT52" s="145">
        <f t="shared" si="28"/>
        <v>1.185872055908052</v>
      </c>
      <c r="AU52" s="145">
        <f t="shared" si="28"/>
        <v>1.1908131894743355</v>
      </c>
      <c r="AV52" s="145">
        <f t="shared" si="28"/>
        <v>1.1957749110971452</v>
      </c>
      <c r="AW52" s="145">
        <f t="shared" si="28"/>
        <v>1.2007573065600499</v>
      </c>
      <c r="AX52" s="145">
        <f t="shared" si="28"/>
        <v>1.2057604620040501</v>
      </c>
      <c r="AY52" s="145">
        <f t="shared" si="28"/>
        <v>1.210784463929067</v>
      </c>
      <c r="AZ52" s="145">
        <f t="shared" si="28"/>
        <v>1.2158293991954381</v>
      </c>
      <c r="BA52" s="145">
        <f t="shared" si="28"/>
        <v>1.2208953550254191</v>
      </c>
      <c r="BB52" s="145">
        <f t="shared" si="28"/>
        <v>1.2259824190046917</v>
      </c>
      <c r="BC52" s="145">
        <f t="shared" si="28"/>
        <v>1.231090679083878</v>
      </c>
      <c r="BD52" s="145">
        <f t="shared" si="28"/>
        <v>1.2362202235800608</v>
      </c>
      <c r="BE52" s="145">
        <f t="shared" si="28"/>
        <v>1.241371141178311</v>
      </c>
      <c r="BF52" s="145">
        <f t="shared" si="28"/>
        <v>1.2465435209332207</v>
      </c>
      <c r="BG52" s="145">
        <f t="shared" si="28"/>
        <v>1.2517374522704425</v>
      </c>
      <c r="BH52" s="145">
        <f t="shared" si="28"/>
        <v>1.2569530249882359</v>
      </c>
      <c r="BI52" s="145">
        <f t="shared" si="28"/>
        <v>1.2621903292590202</v>
      </c>
      <c r="BJ52" s="145">
        <f t="shared" si="28"/>
        <v>1.2674494556309328</v>
      </c>
      <c r="BK52" s="145">
        <f t="shared" si="28"/>
        <v>1.2727304950293949</v>
      </c>
      <c r="BL52" s="145">
        <f t="shared" si="28"/>
        <v>1.2780335387586841</v>
      </c>
      <c r="BM52" s="145">
        <f t="shared" si="28"/>
        <v>1.2833586785035118</v>
      </c>
    </row>
    <row r="53" spans="1:73">
      <c r="C53" s="28"/>
      <c r="D53" s="29"/>
      <c r="E53" s="70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</row>
    <row r="54" spans="1:73">
      <c r="A54" s="138"/>
      <c r="B54" s="138"/>
      <c r="C54" s="108" t="s">
        <v>194</v>
      </c>
      <c r="D54" s="139"/>
      <c r="E54" s="139"/>
      <c r="F54" s="131">
        <f>F55*F6</f>
        <v>2500</v>
      </c>
      <c r="G54" s="131">
        <f t="shared" ref="G54:BM54" si="29">G55*G6</f>
        <v>2500</v>
      </c>
      <c r="H54" s="131">
        <f t="shared" si="29"/>
        <v>2500</v>
      </c>
      <c r="I54" s="131">
        <f t="shared" si="29"/>
        <v>2500</v>
      </c>
      <c r="J54" s="131">
        <f t="shared" si="29"/>
        <v>2500</v>
      </c>
      <c r="K54" s="131">
        <f t="shared" si="29"/>
        <v>2500</v>
      </c>
      <c r="L54" s="131">
        <f t="shared" si="29"/>
        <v>2500</v>
      </c>
      <c r="M54" s="131">
        <f t="shared" si="29"/>
        <v>2500</v>
      </c>
      <c r="N54" s="131">
        <f t="shared" si="29"/>
        <v>2500</v>
      </c>
      <c r="O54" s="131">
        <f t="shared" si="29"/>
        <v>2500</v>
      </c>
      <c r="P54" s="131">
        <f t="shared" si="29"/>
        <v>2500</v>
      </c>
      <c r="Q54" s="131">
        <f t="shared" si="29"/>
        <v>2500</v>
      </c>
      <c r="R54" s="131">
        <f t="shared" si="29"/>
        <v>2508.3333333333335</v>
      </c>
      <c r="S54" s="131">
        <f t="shared" si="29"/>
        <v>2516.6944444444448</v>
      </c>
      <c r="T54" s="131">
        <f t="shared" si="29"/>
        <v>2525.0834259259268</v>
      </c>
      <c r="U54" s="131">
        <f t="shared" si="29"/>
        <v>2533.5003706790139</v>
      </c>
      <c r="V54" s="131">
        <f t="shared" si="29"/>
        <v>2541.9453719146109</v>
      </c>
      <c r="W54" s="131">
        <f t="shared" si="29"/>
        <v>2550.4185231543265</v>
      </c>
      <c r="X54" s="131">
        <f t="shared" si="29"/>
        <v>2558.9199182315074</v>
      </c>
      <c r="Y54" s="131">
        <f t="shared" si="29"/>
        <v>2567.4496512922797</v>
      </c>
      <c r="Z54" s="131">
        <f t="shared" si="29"/>
        <v>2576.0078167965871</v>
      </c>
      <c r="AA54" s="131">
        <f t="shared" si="29"/>
        <v>2584.5945095192424</v>
      </c>
      <c r="AB54" s="131">
        <f t="shared" si="29"/>
        <v>2593.2098245509733</v>
      </c>
      <c r="AC54" s="131">
        <f t="shared" si="29"/>
        <v>2601.8538572994767</v>
      </c>
      <c r="AD54" s="131">
        <f t="shared" si="29"/>
        <v>2610.526703490475</v>
      </c>
      <c r="AE54" s="131">
        <f t="shared" si="29"/>
        <v>2619.2284591687771</v>
      </c>
      <c r="AF54" s="131">
        <f t="shared" si="29"/>
        <v>2627.9592206993398</v>
      </c>
      <c r="AG54" s="131">
        <f t="shared" si="29"/>
        <v>2636.7190847683373</v>
      </c>
      <c r="AH54" s="131">
        <f t="shared" si="29"/>
        <v>2645.5081483842323</v>
      </c>
      <c r="AI54" s="131">
        <f t="shared" si="29"/>
        <v>2654.3265088788467</v>
      </c>
      <c r="AJ54" s="131">
        <f t="shared" si="29"/>
        <v>2663.1742639084428</v>
      </c>
      <c r="AK54" s="131">
        <f t="shared" si="29"/>
        <v>2672.0515114548043</v>
      </c>
      <c r="AL54" s="131">
        <f t="shared" si="29"/>
        <v>2680.9583498263205</v>
      </c>
      <c r="AM54" s="131">
        <f t="shared" si="29"/>
        <v>2689.8948776590755</v>
      </c>
      <c r="AN54" s="131">
        <f t="shared" si="29"/>
        <v>2698.8611939179391</v>
      </c>
      <c r="AO54" s="131">
        <f t="shared" si="29"/>
        <v>2707.8573978976656</v>
      </c>
      <c r="AP54" s="131">
        <f t="shared" si="29"/>
        <v>2716.8835892239913</v>
      </c>
      <c r="AQ54" s="131">
        <f t="shared" si="29"/>
        <v>2725.9398678547382</v>
      </c>
      <c r="AR54" s="131">
        <f t="shared" si="29"/>
        <v>2735.0263340809206</v>
      </c>
      <c r="AS54" s="131">
        <f t="shared" si="29"/>
        <v>2744.1430885278573</v>
      </c>
      <c r="AT54" s="131">
        <f t="shared" si="29"/>
        <v>2753.2902321562838</v>
      </c>
      <c r="AU54" s="131">
        <f t="shared" si="29"/>
        <v>2762.4678662634715</v>
      </c>
      <c r="AV54" s="131">
        <f t="shared" si="29"/>
        <v>2771.6760924843502</v>
      </c>
      <c r="AW54" s="131">
        <f t="shared" si="29"/>
        <v>2780.9150127926318</v>
      </c>
      <c r="AX54" s="131">
        <f t="shared" si="29"/>
        <v>2790.1847295019411</v>
      </c>
      <c r="AY54" s="131">
        <f t="shared" si="29"/>
        <v>2799.4853452669477</v>
      </c>
      <c r="AZ54" s="131">
        <f t="shared" si="29"/>
        <v>2808.8169630845046</v>
      </c>
      <c r="BA54" s="131">
        <f t="shared" si="29"/>
        <v>2818.1796862947863</v>
      </c>
      <c r="BB54" s="131">
        <f t="shared" si="29"/>
        <v>2827.5736185824358</v>
      </c>
      <c r="BC54" s="131">
        <f t="shared" si="29"/>
        <v>2836.9988639777107</v>
      </c>
      <c r="BD54" s="131">
        <f t="shared" si="29"/>
        <v>2846.4555268576364</v>
      </c>
      <c r="BE54" s="131">
        <f t="shared" si="29"/>
        <v>2855.9437119471622</v>
      </c>
      <c r="BF54" s="131">
        <f t="shared" si="29"/>
        <v>2865.4635243203197</v>
      </c>
      <c r="BG54" s="131">
        <f t="shared" si="29"/>
        <v>2875.0150694013878</v>
      </c>
      <c r="BH54" s="131">
        <f t="shared" si="29"/>
        <v>2884.5984529660591</v>
      </c>
      <c r="BI54" s="131">
        <f t="shared" si="29"/>
        <v>2894.2137811426128</v>
      </c>
      <c r="BJ54" s="131">
        <f t="shared" si="29"/>
        <v>2903.8611604130883</v>
      </c>
      <c r="BK54" s="131">
        <f t="shared" si="29"/>
        <v>2913.540697614465</v>
      </c>
      <c r="BL54" s="131">
        <f t="shared" si="29"/>
        <v>2923.252499939847</v>
      </c>
      <c r="BM54" s="131">
        <f t="shared" si="29"/>
        <v>2932.9966749396463</v>
      </c>
      <c r="BO54" s="94">
        <f t="shared" si="7"/>
        <v>160331.99915683072</v>
      </c>
      <c r="BP54" s="94">
        <f t="shared" si="8"/>
        <v>30000</v>
      </c>
      <c r="BQ54" s="94">
        <f t="shared" si="9"/>
        <v>30658.011047141725</v>
      </c>
      <c r="BR54" s="94">
        <f t="shared" si="10"/>
        <v>31907.065720054256</v>
      </c>
      <c r="BS54" s="94">
        <f t="shared" si="11"/>
        <v>33207.008807532424</v>
      </c>
      <c r="BT54" s="94">
        <f t="shared" si="12"/>
        <v>34559.913582102374</v>
      </c>
      <c r="BU54" s="94">
        <f t="shared" si="13"/>
        <v>160331.99915683077</v>
      </c>
    </row>
    <row r="55" spans="1:73">
      <c r="C55" s="27" t="s">
        <v>195</v>
      </c>
      <c r="D55" s="29" t="s">
        <v>113</v>
      </c>
      <c r="E55" s="142"/>
      <c r="F55" s="93">
        <f>'Вход и предположения'!$E$27</f>
        <v>2500</v>
      </c>
      <c r="G55" s="93">
        <f>'Вход и предположения'!$E$27</f>
        <v>2500</v>
      </c>
      <c r="H55" s="93">
        <f>'Вход и предположения'!$E$27</f>
        <v>2500</v>
      </c>
      <c r="I55" s="93">
        <f>'Вход и предположения'!$E$27</f>
        <v>2500</v>
      </c>
      <c r="J55" s="93">
        <f>'Вход и предположения'!$E$27</f>
        <v>2500</v>
      </c>
      <c r="K55" s="93">
        <f>'Вход и предположения'!$E$27</f>
        <v>2500</v>
      </c>
      <c r="L55" s="93">
        <f>'Вход и предположения'!$E$27</f>
        <v>2500</v>
      </c>
      <c r="M55" s="93">
        <f>'Вход и предположения'!$E$27</f>
        <v>2500</v>
      </c>
      <c r="N55" s="93">
        <f>'Вход и предположения'!$E$27</f>
        <v>2500</v>
      </c>
      <c r="O55" s="93">
        <f>'Вход и предположения'!$E$27</f>
        <v>2500</v>
      </c>
      <c r="P55" s="93">
        <f>'Вход и предположения'!$E$27</f>
        <v>2500</v>
      </c>
      <c r="Q55" s="93">
        <f>'Вход и предположения'!$E$27</f>
        <v>2500</v>
      </c>
      <c r="R55" s="93">
        <f>'Вход и предположения'!$E$27</f>
        <v>2500</v>
      </c>
      <c r="S55" s="93">
        <f>'Вход и предположения'!$E$27</f>
        <v>2500</v>
      </c>
      <c r="T55" s="93">
        <f>'Вход и предположения'!$E$27</f>
        <v>2500</v>
      </c>
      <c r="U55" s="93">
        <f>'Вход и предположения'!$E$27</f>
        <v>2500</v>
      </c>
      <c r="V55" s="93">
        <f>'Вход и предположения'!$E$27</f>
        <v>2500</v>
      </c>
      <c r="W55" s="93">
        <f>'Вход и предположения'!$E$27</f>
        <v>2500</v>
      </c>
      <c r="X55" s="93">
        <f>'Вход и предположения'!$E$27</f>
        <v>2500</v>
      </c>
      <c r="Y55" s="93">
        <f>'Вход и предположения'!$E$27</f>
        <v>2500</v>
      </c>
      <c r="Z55" s="93">
        <f>'Вход и предположения'!$E$27</f>
        <v>2500</v>
      </c>
      <c r="AA55" s="93">
        <f>'Вход и предположения'!$E$27</f>
        <v>2500</v>
      </c>
      <c r="AB55" s="93">
        <f>'Вход и предположения'!$E$27</f>
        <v>2500</v>
      </c>
      <c r="AC55" s="93">
        <f>'Вход и предположения'!$E$27</f>
        <v>2500</v>
      </c>
      <c r="AD55" s="93">
        <f>'Вход и предположения'!$E$27</f>
        <v>2500</v>
      </c>
      <c r="AE55" s="93">
        <f>'Вход и предположения'!$E$27</f>
        <v>2500</v>
      </c>
      <c r="AF55" s="93">
        <f>'Вход и предположения'!$E$27</f>
        <v>2500</v>
      </c>
      <c r="AG55" s="93">
        <f>'Вход и предположения'!$E$27</f>
        <v>2500</v>
      </c>
      <c r="AH55" s="93">
        <f>'Вход и предположения'!$E$27</f>
        <v>2500</v>
      </c>
      <c r="AI55" s="93">
        <f>'Вход и предположения'!$E$27</f>
        <v>2500</v>
      </c>
      <c r="AJ55" s="93">
        <f>'Вход и предположения'!$E$27</f>
        <v>2500</v>
      </c>
      <c r="AK55" s="93">
        <f>'Вход и предположения'!$E$27</f>
        <v>2500</v>
      </c>
      <c r="AL55" s="93">
        <f>'Вход и предположения'!$E$27</f>
        <v>2500</v>
      </c>
      <c r="AM55" s="93">
        <f>'Вход и предположения'!$E$27</f>
        <v>2500</v>
      </c>
      <c r="AN55" s="93">
        <f>'Вход и предположения'!$E$27</f>
        <v>2500</v>
      </c>
      <c r="AO55" s="93">
        <f>'Вход и предположения'!$E$27</f>
        <v>2500</v>
      </c>
      <c r="AP55" s="93">
        <f>'Вход и предположения'!$E$27</f>
        <v>2500</v>
      </c>
      <c r="AQ55" s="93">
        <f>'Вход и предположения'!$E$27</f>
        <v>2500</v>
      </c>
      <c r="AR55" s="93">
        <f>'Вход и предположения'!$E$27</f>
        <v>2500</v>
      </c>
      <c r="AS55" s="93">
        <f>'Вход и предположения'!$E$27</f>
        <v>2500</v>
      </c>
      <c r="AT55" s="93">
        <f>'Вход и предположения'!$E$27</f>
        <v>2500</v>
      </c>
      <c r="AU55" s="93">
        <f>'Вход и предположения'!$E$27</f>
        <v>2500</v>
      </c>
      <c r="AV55" s="93">
        <f>'Вход и предположения'!$E$27</f>
        <v>2500</v>
      </c>
      <c r="AW55" s="93">
        <f>'Вход и предположения'!$E$27</f>
        <v>2500</v>
      </c>
      <c r="AX55" s="93">
        <f>'Вход и предположения'!$E$27</f>
        <v>2500</v>
      </c>
      <c r="AY55" s="93">
        <f>'Вход и предположения'!$E$27</f>
        <v>2500</v>
      </c>
      <c r="AZ55" s="93">
        <f>'Вход и предположения'!$E$27</f>
        <v>2500</v>
      </c>
      <c r="BA55" s="93">
        <f>'Вход и предположения'!$E$27</f>
        <v>2500</v>
      </c>
      <c r="BB55" s="93">
        <f>'Вход и предположения'!$E$27</f>
        <v>2500</v>
      </c>
      <c r="BC55" s="93">
        <f>'Вход и предположения'!$E$27</f>
        <v>2500</v>
      </c>
      <c r="BD55" s="93">
        <f>'Вход и предположения'!$E$27</f>
        <v>2500</v>
      </c>
      <c r="BE55" s="93">
        <f>'Вход и предположения'!$E$27</f>
        <v>2500</v>
      </c>
      <c r="BF55" s="93">
        <f>'Вход и предположения'!$E$27</f>
        <v>2500</v>
      </c>
      <c r="BG55" s="93">
        <f>'Вход и предположения'!$E$27</f>
        <v>2500</v>
      </c>
      <c r="BH55" s="93">
        <f>'Вход и предположения'!$E$27</f>
        <v>2500</v>
      </c>
      <c r="BI55" s="93">
        <f>'Вход и предположения'!$E$27</f>
        <v>2500</v>
      </c>
      <c r="BJ55" s="93">
        <f>'Вход и предположения'!$E$27</f>
        <v>2500</v>
      </c>
      <c r="BK55" s="93">
        <f>'Вход и предположения'!$E$27</f>
        <v>2500</v>
      </c>
      <c r="BL55" s="93">
        <f>'Вход и предположения'!$E$27</f>
        <v>2500</v>
      </c>
      <c r="BM55" s="93">
        <f>'Вход и предположения'!$E$27</f>
        <v>2500</v>
      </c>
    </row>
    <row r="56" spans="1:73">
      <c r="C56" s="140"/>
      <c r="D56" s="3"/>
      <c r="Q56" s="95"/>
      <c r="AC56" s="95"/>
      <c r="AO56" s="95"/>
      <c r="BA56" s="95"/>
    </row>
    <row r="57" spans="1:73">
      <c r="A57" s="138"/>
      <c r="B57" s="138"/>
      <c r="C57" s="108" t="s">
        <v>68</v>
      </c>
      <c r="D57" s="139"/>
      <c r="E57" s="139"/>
      <c r="F57" s="130">
        <f>F58*F6</f>
        <v>252400</v>
      </c>
      <c r="G57" s="130">
        <f t="shared" ref="G57:BM57" si="30">G58*G6</f>
        <v>250900</v>
      </c>
      <c r="H57" s="130">
        <f t="shared" si="30"/>
        <v>250900</v>
      </c>
      <c r="I57" s="130">
        <f t="shared" si="30"/>
        <v>250900</v>
      </c>
      <c r="J57" s="130">
        <f t="shared" si="30"/>
        <v>250900</v>
      </c>
      <c r="K57" s="130">
        <f t="shared" si="30"/>
        <v>250900</v>
      </c>
      <c r="L57" s="130">
        <f t="shared" si="30"/>
        <v>250900</v>
      </c>
      <c r="M57" s="130">
        <f t="shared" si="30"/>
        <v>250900</v>
      </c>
      <c r="N57" s="130">
        <f t="shared" si="30"/>
        <v>250900</v>
      </c>
      <c r="O57" s="130">
        <f t="shared" si="30"/>
        <v>250900</v>
      </c>
      <c r="P57" s="130">
        <f t="shared" si="30"/>
        <v>250900</v>
      </c>
      <c r="Q57" s="130">
        <f t="shared" si="30"/>
        <v>250900</v>
      </c>
      <c r="R57" s="130">
        <f t="shared" si="30"/>
        <v>251736.33333333334</v>
      </c>
      <c r="S57" s="130">
        <f t="shared" si="30"/>
        <v>252575.45444444451</v>
      </c>
      <c r="T57" s="130">
        <f t="shared" si="30"/>
        <v>253417.37262592601</v>
      </c>
      <c r="U57" s="130">
        <f t="shared" si="30"/>
        <v>254262.09720134584</v>
      </c>
      <c r="V57" s="130">
        <f t="shared" si="30"/>
        <v>255109.63752535032</v>
      </c>
      <c r="W57" s="130">
        <f t="shared" si="30"/>
        <v>255960.00298376821</v>
      </c>
      <c r="X57" s="130">
        <f t="shared" si="30"/>
        <v>256813.20299371411</v>
      </c>
      <c r="Y57" s="130">
        <f t="shared" si="30"/>
        <v>257669.24700369316</v>
      </c>
      <c r="Z57" s="130">
        <f t="shared" si="30"/>
        <v>258528.14449370548</v>
      </c>
      <c r="AA57" s="130">
        <f t="shared" si="30"/>
        <v>259389.90497535118</v>
      </c>
      <c r="AB57" s="130">
        <f t="shared" si="30"/>
        <v>260254.53799193568</v>
      </c>
      <c r="AC57" s="130">
        <f t="shared" si="30"/>
        <v>261122.05311857545</v>
      </c>
      <c r="AD57" s="130">
        <f t="shared" si="30"/>
        <v>261992.45996230407</v>
      </c>
      <c r="AE57" s="130">
        <f t="shared" si="30"/>
        <v>262865.76816217846</v>
      </c>
      <c r="AF57" s="130">
        <f t="shared" si="30"/>
        <v>263741.9873893857</v>
      </c>
      <c r="AG57" s="130">
        <f t="shared" si="30"/>
        <v>264621.12734735035</v>
      </c>
      <c r="AH57" s="130">
        <f t="shared" si="30"/>
        <v>265503.19777184154</v>
      </c>
      <c r="AI57" s="130">
        <f t="shared" si="30"/>
        <v>266388.20843108103</v>
      </c>
      <c r="AJ57" s="130">
        <f t="shared" si="30"/>
        <v>267276.1691258513</v>
      </c>
      <c r="AK57" s="130">
        <f t="shared" si="30"/>
        <v>268167.08968960418</v>
      </c>
      <c r="AL57" s="130">
        <f t="shared" si="30"/>
        <v>269060.97998856957</v>
      </c>
      <c r="AM57" s="130">
        <f t="shared" si="30"/>
        <v>269957.84992186481</v>
      </c>
      <c r="AN57" s="130">
        <f t="shared" si="30"/>
        <v>270857.70942160435</v>
      </c>
      <c r="AO57" s="130">
        <f t="shared" si="30"/>
        <v>271760.56845300971</v>
      </c>
      <c r="AP57" s="130">
        <f t="shared" si="30"/>
        <v>272666.43701451976</v>
      </c>
      <c r="AQ57" s="130">
        <f t="shared" si="30"/>
        <v>273575.32513790153</v>
      </c>
      <c r="AR57" s="130">
        <f t="shared" si="30"/>
        <v>274487.24288836122</v>
      </c>
      <c r="AS57" s="130">
        <f t="shared" si="30"/>
        <v>275402.20036465576</v>
      </c>
      <c r="AT57" s="130">
        <f t="shared" si="30"/>
        <v>276320.20769920462</v>
      </c>
      <c r="AU57" s="130">
        <f t="shared" si="30"/>
        <v>277241.27505820204</v>
      </c>
      <c r="AV57" s="130">
        <f t="shared" si="30"/>
        <v>278165.4126417294</v>
      </c>
      <c r="AW57" s="130">
        <f t="shared" si="30"/>
        <v>279092.63068386854</v>
      </c>
      <c r="AX57" s="130">
        <f t="shared" si="30"/>
        <v>280022.93945281481</v>
      </c>
      <c r="AY57" s="130">
        <f t="shared" si="30"/>
        <v>280956.3492509909</v>
      </c>
      <c r="AZ57" s="130">
        <f t="shared" si="30"/>
        <v>281892.87041516084</v>
      </c>
      <c r="BA57" s="130">
        <f t="shared" si="30"/>
        <v>282832.5133165447</v>
      </c>
      <c r="BB57" s="130">
        <f t="shared" si="30"/>
        <v>283775.28836093325</v>
      </c>
      <c r="BC57" s="130">
        <f t="shared" si="30"/>
        <v>284721.20598880301</v>
      </c>
      <c r="BD57" s="130">
        <f t="shared" si="30"/>
        <v>285670.2766754324</v>
      </c>
      <c r="BE57" s="130">
        <f t="shared" si="30"/>
        <v>286622.51093101717</v>
      </c>
      <c r="BF57" s="130">
        <f t="shared" si="30"/>
        <v>287577.91930078727</v>
      </c>
      <c r="BG57" s="130">
        <f t="shared" si="30"/>
        <v>288536.51236512326</v>
      </c>
      <c r="BH57" s="130">
        <f t="shared" si="30"/>
        <v>289498.30073967366</v>
      </c>
      <c r="BI57" s="130">
        <f t="shared" si="30"/>
        <v>290463.29507547262</v>
      </c>
      <c r="BJ57" s="130">
        <f t="shared" si="30"/>
        <v>291431.50605905754</v>
      </c>
      <c r="BK57" s="130">
        <f t="shared" si="30"/>
        <v>292402.94441258773</v>
      </c>
      <c r="BL57" s="130">
        <f t="shared" si="30"/>
        <v>293377.62089396303</v>
      </c>
      <c r="BM57" s="130">
        <f t="shared" si="30"/>
        <v>294355.54629694292</v>
      </c>
      <c r="BO57" s="94">
        <f t="shared" si="7"/>
        <v>16092419.435379539</v>
      </c>
      <c r="BP57" s="94">
        <f t="shared" si="8"/>
        <v>3012300</v>
      </c>
      <c r="BQ57" s="94">
        <f t="shared" si="9"/>
        <v>3076837.9886911432</v>
      </c>
      <c r="BR57" s="94">
        <f t="shared" si="10"/>
        <v>3202193.1156646446</v>
      </c>
      <c r="BS57" s="94">
        <f t="shared" si="11"/>
        <v>3332655.4039239543</v>
      </c>
      <c r="BT57" s="94">
        <f t="shared" si="12"/>
        <v>3468432.9270997941</v>
      </c>
      <c r="BU57" s="94">
        <f t="shared" si="13"/>
        <v>16092419.435379537</v>
      </c>
    </row>
    <row r="58" spans="1:73">
      <c r="C58" s="27" t="s">
        <v>196</v>
      </c>
      <c r="D58" s="3" t="s">
        <v>113</v>
      </c>
      <c r="F58" s="67">
        <f>F61+F62+'Операц.изд. в мес.'!F11</f>
        <v>252400</v>
      </c>
      <c r="G58" s="67">
        <f>G61+G62+'Операц.изд. в мес.'!G11</f>
        <v>250900</v>
      </c>
      <c r="H58" s="67">
        <f>H61+H62+'Операц.изд. в мес.'!H11</f>
        <v>250900</v>
      </c>
      <c r="I58" s="67">
        <f>I61+I62+'Операц.изд. в мес.'!I11</f>
        <v>250900</v>
      </c>
      <c r="J58" s="67">
        <f>J61+J62+'Операц.изд. в мес.'!J11</f>
        <v>250900</v>
      </c>
      <c r="K58" s="67">
        <f>K61+K62+'Операц.изд. в мес.'!K11</f>
        <v>250900</v>
      </c>
      <c r="L58" s="67">
        <f>L61+L62+'Операц.изд. в мес.'!L11</f>
        <v>250900</v>
      </c>
      <c r="M58" s="67">
        <f>M61+M62+'Операц.изд. в мес.'!M11</f>
        <v>250900</v>
      </c>
      <c r="N58" s="67">
        <f>N61+N62+'Операц.изд. в мес.'!N11</f>
        <v>250900</v>
      </c>
      <c r="O58" s="67">
        <f>O61+O62+'Операц.изд. в мес.'!O11</f>
        <v>250900</v>
      </c>
      <c r="P58" s="67">
        <f>P61+P62+'Операц.изд. в мес.'!P11</f>
        <v>250900</v>
      </c>
      <c r="Q58" s="67">
        <f>Q61+Q62+'Операц.изд. в мес.'!Q11</f>
        <v>250900</v>
      </c>
      <c r="R58" s="67">
        <f>R61+R62+'Операц.изд. в мес.'!R11</f>
        <v>250900</v>
      </c>
      <c r="S58" s="67">
        <f>S61+S62+'Операц.изд. в мес.'!S11</f>
        <v>250900</v>
      </c>
      <c r="T58" s="67">
        <f>T61+T62+'Операц.изд. в мес.'!T11</f>
        <v>250900</v>
      </c>
      <c r="U58" s="67">
        <f>U61+U62+'Операц.изд. в мес.'!U11</f>
        <v>250900</v>
      </c>
      <c r="V58" s="67">
        <f>V61+V62+'Операц.изд. в мес.'!V11</f>
        <v>250900</v>
      </c>
      <c r="W58" s="67">
        <f>W61+W62+'Операц.изд. в мес.'!W11</f>
        <v>250900</v>
      </c>
      <c r="X58" s="67">
        <f>X61+X62+'Операц.изд. в мес.'!X11</f>
        <v>250900</v>
      </c>
      <c r="Y58" s="67">
        <f>Y61+Y62+'Операц.изд. в мес.'!Y11</f>
        <v>250900</v>
      </c>
      <c r="Z58" s="67">
        <f>Z61+Z62+'Операц.изд. в мес.'!Z11</f>
        <v>250900</v>
      </c>
      <c r="AA58" s="67">
        <f>AA61+AA62+'Операц.изд. в мес.'!AA11</f>
        <v>250900</v>
      </c>
      <c r="AB58" s="67">
        <f>AB61+AB62+'Операц.изд. в мес.'!AB11</f>
        <v>250900</v>
      </c>
      <c r="AC58" s="67">
        <f>AC61+AC62+'Операц.изд. в мес.'!AC11</f>
        <v>250900</v>
      </c>
      <c r="AD58" s="67">
        <f>AD61+AD62+'Операц.изд. в мес.'!AD11</f>
        <v>250900</v>
      </c>
      <c r="AE58" s="67">
        <f>AE61+AE62+'Операц.изд. в мес.'!AE11</f>
        <v>250900</v>
      </c>
      <c r="AF58" s="67">
        <f>AF61+AF62+'Операц.изд. в мес.'!AF11</f>
        <v>250900</v>
      </c>
      <c r="AG58" s="67">
        <f>AG61+AG62+'Операц.изд. в мес.'!AG11</f>
        <v>250900</v>
      </c>
      <c r="AH58" s="67">
        <f>AH61+AH62+'Операц.изд. в мес.'!AH11</f>
        <v>250900</v>
      </c>
      <c r="AI58" s="67">
        <f>AI61+AI62+'Операц.изд. в мес.'!AI11</f>
        <v>250900</v>
      </c>
      <c r="AJ58" s="67">
        <f>AJ61+AJ62+'Операц.изд. в мес.'!AJ11</f>
        <v>250900</v>
      </c>
      <c r="AK58" s="67">
        <f>AK61+AK62+'Операц.изд. в мес.'!AK11</f>
        <v>250900</v>
      </c>
      <c r="AL58" s="67">
        <f>AL61+AL62+'Операц.изд. в мес.'!AL11</f>
        <v>250900</v>
      </c>
      <c r="AM58" s="67">
        <f>AM61+AM62+'Операц.изд. в мес.'!AM11</f>
        <v>250900</v>
      </c>
      <c r="AN58" s="67">
        <f>AN61+AN62+'Операц.изд. в мес.'!AN11</f>
        <v>250900</v>
      </c>
      <c r="AO58" s="67">
        <f>AO61+AO62+'Операц.изд. в мес.'!AO11</f>
        <v>250900</v>
      </c>
      <c r="AP58" s="67">
        <f>AP61+AP62+'Операц.изд. в мес.'!AP11</f>
        <v>250900</v>
      </c>
      <c r="AQ58" s="67">
        <f>AQ61+AQ62+'Операц.изд. в мес.'!AQ11</f>
        <v>250900</v>
      </c>
      <c r="AR58" s="67">
        <f>AR61+AR62+'Операц.изд. в мес.'!AR11</f>
        <v>250900</v>
      </c>
      <c r="AS58" s="67">
        <f>AS61+AS62+'Операц.изд. в мес.'!AS11</f>
        <v>250900</v>
      </c>
      <c r="AT58" s="67">
        <f>AT61+AT62+'Операц.изд. в мес.'!AT11</f>
        <v>250900</v>
      </c>
      <c r="AU58" s="67">
        <f>AU61+AU62+'Операц.изд. в мес.'!AU11</f>
        <v>250900</v>
      </c>
      <c r="AV58" s="67">
        <f>AV61+AV62+'Операц.изд. в мес.'!AV11</f>
        <v>250900</v>
      </c>
      <c r="AW58" s="67">
        <f>AW61+AW62+'Операц.изд. в мес.'!AW11</f>
        <v>250900</v>
      </c>
      <c r="AX58" s="67">
        <f>AX61+AX62+'Операц.изд. в мес.'!AX11</f>
        <v>250900</v>
      </c>
      <c r="AY58" s="67">
        <f>AY61+AY62+'Операц.изд. в мес.'!AY11</f>
        <v>250900</v>
      </c>
      <c r="AZ58" s="67">
        <f>AZ61+AZ62+'Операц.изд. в мес.'!AZ11</f>
        <v>250900</v>
      </c>
      <c r="BA58" s="67">
        <f>BA61+BA62+'Операц.изд. в мес.'!BA11</f>
        <v>250900</v>
      </c>
      <c r="BB58" s="67">
        <f>BB61+BB62+'Операц.изд. в мес.'!BB11</f>
        <v>250900</v>
      </c>
      <c r="BC58" s="67">
        <f>BC61+BC62+'Операц.изд. в мес.'!BC11</f>
        <v>250900</v>
      </c>
      <c r="BD58" s="67">
        <f>BD61+BD62+'Операц.изд. в мес.'!BD11</f>
        <v>250900</v>
      </c>
      <c r="BE58" s="67">
        <f>BE61+BE62+'Операц.изд. в мес.'!BE11</f>
        <v>250900</v>
      </c>
      <c r="BF58" s="67">
        <f>BF61+BF62+'Операц.изд. в мес.'!BF11</f>
        <v>250900</v>
      </c>
      <c r="BG58" s="67">
        <f>BG61+BG62+'Операц.изд. в мес.'!BG11</f>
        <v>250900</v>
      </c>
      <c r="BH58" s="67">
        <f>BH61+BH62+'Операц.изд. в мес.'!BH11</f>
        <v>250900</v>
      </c>
      <c r="BI58" s="67">
        <f>BI61+BI62+'Операц.изд. в мес.'!BI11</f>
        <v>250900</v>
      </c>
      <c r="BJ58" s="67">
        <f>BJ61+BJ62+'Операц.изд. в мес.'!BJ11</f>
        <v>250900</v>
      </c>
      <c r="BK58" s="67">
        <f>BK61+BK62+'Операц.изд. в мес.'!BK11</f>
        <v>250900</v>
      </c>
      <c r="BL58" s="67">
        <f>BL61+BL62+'Операц.изд. в мес.'!BL11</f>
        <v>250900</v>
      </c>
      <c r="BM58" s="67">
        <f>BM61+BM62+'Операц.изд. в мес.'!BM11</f>
        <v>250900</v>
      </c>
    </row>
    <row r="59" spans="1:73">
      <c r="C59" s="27"/>
      <c r="D59" s="3"/>
      <c r="Q59" s="95"/>
      <c r="AC59" s="95"/>
      <c r="AO59" s="95"/>
      <c r="BA59" s="95"/>
    </row>
    <row r="60" spans="1:73">
      <c r="C60" s="27" t="s">
        <v>197</v>
      </c>
      <c r="D60" s="3" t="s">
        <v>109</v>
      </c>
      <c r="F60" s="70">
        <f>'Операц.изд. в мес.'!$I$4</f>
        <v>0.3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</row>
    <row r="61" spans="1:73">
      <c r="C61" t="s">
        <v>129</v>
      </c>
      <c r="D61" s="3" t="s">
        <v>119</v>
      </c>
      <c r="F61" s="93">
        <f>'Вход и предположения'!$E$29</f>
        <v>193000</v>
      </c>
      <c r="G61" s="93">
        <f>'Вход и предположения'!$E$29</f>
        <v>193000</v>
      </c>
      <c r="H61" s="93">
        <f>'Вход и предположения'!$E$29</f>
        <v>193000</v>
      </c>
      <c r="I61" s="93">
        <f>'Вход и предположения'!$E$29</f>
        <v>193000</v>
      </c>
      <c r="J61" s="93">
        <f>'Вход и предположения'!$E$29</f>
        <v>193000</v>
      </c>
      <c r="K61" s="93">
        <f>'Вход и предположения'!$E$29</f>
        <v>193000</v>
      </c>
      <c r="L61" s="93">
        <f>'Вход и предположения'!$E$29</f>
        <v>193000</v>
      </c>
      <c r="M61" s="93">
        <f>'Вход и предположения'!$E$29</f>
        <v>193000</v>
      </c>
      <c r="N61" s="93">
        <f>'Вход и предположения'!$E$29</f>
        <v>193000</v>
      </c>
      <c r="O61" s="93">
        <f>'Вход и предположения'!$E$29</f>
        <v>193000</v>
      </c>
      <c r="P61" s="93">
        <f>'Вход и предположения'!$E$29</f>
        <v>193000</v>
      </c>
      <c r="Q61" s="93">
        <f>'Вход и предположения'!$E$29</f>
        <v>193000</v>
      </c>
      <c r="R61" s="93">
        <f>'Вход и предположения'!$E$29</f>
        <v>193000</v>
      </c>
      <c r="S61" s="93">
        <f>'Вход и предположения'!$E$29</f>
        <v>193000</v>
      </c>
      <c r="T61" s="93">
        <f>'Вход и предположения'!$E$29</f>
        <v>193000</v>
      </c>
      <c r="U61" s="93">
        <f>'Вход и предположения'!$E$29</f>
        <v>193000</v>
      </c>
      <c r="V61" s="93">
        <f>'Вход и предположения'!$E$29</f>
        <v>193000</v>
      </c>
      <c r="W61" s="93">
        <f>'Вход и предположения'!$E$29</f>
        <v>193000</v>
      </c>
      <c r="X61" s="93">
        <f>'Вход и предположения'!$E$29</f>
        <v>193000</v>
      </c>
      <c r="Y61" s="93">
        <f>'Вход и предположения'!$E$29</f>
        <v>193000</v>
      </c>
      <c r="Z61" s="93">
        <f>'Вход и предположения'!$E$29</f>
        <v>193000</v>
      </c>
      <c r="AA61" s="93">
        <f>'Вход и предположения'!$E$29</f>
        <v>193000</v>
      </c>
      <c r="AB61" s="93">
        <f>'Вход и предположения'!$E$29</f>
        <v>193000</v>
      </c>
      <c r="AC61" s="93">
        <f>'Вход и предположения'!$E$29</f>
        <v>193000</v>
      </c>
      <c r="AD61" s="93">
        <f>'Вход и предположения'!$E$29</f>
        <v>193000</v>
      </c>
      <c r="AE61" s="93">
        <f>'Вход и предположения'!$E$29</f>
        <v>193000</v>
      </c>
      <c r="AF61" s="93">
        <f>'Вход и предположения'!$E$29</f>
        <v>193000</v>
      </c>
      <c r="AG61" s="93">
        <f>'Вход и предположения'!$E$29</f>
        <v>193000</v>
      </c>
      <c r="AH61" s="93">
        <f>'Вход и предположения'!$E$29</f>
        <v>193000</v>
      </c>
      <c r="AI61" s="93">
        <f>'Вход и предположения'!$E$29</f>
        <v>193000</v>
      </c>
      <c r="AJ61" s="93">
        <f>'Вход и предположения'!$E$29</f>
        <v>193000</v>
      </c>
      <c r="AK61" s="93">
        <f>'Вход и предположения'!$E$29</f>
        <v>193000</v>
      </c>
      <c r="AL61" s="93">
        <f>'Вход и предположения'!$E$29</f>
        <v>193000</v>
      </c>
      <c r="AM61" s="93">
        <f>'Вход и предположения'!$E$29</f>
        <v>193000</v>
      </c>
      <c r="AN61" s="93">
        <f>'Вход и предположения'!$E$29</f>
        <v>193000</v>
      </c>
      <c r="AO61" s="93">
        <f>'Вход и предположения'!$E$29</f>
        <v>193000</v>
      </c>
      <c r="AP61" s="93">
        <f>'Вход и предположения'!$E$29</f>
        <v>193000</v>
      </c>
      <c r="AQ61" s="93">
        <f>'Вход и предположения'!$E$29</f>
        <v>193000</v>
      </c>
      <c r="AR61" s="93">
        <f>'Вход и предположения'!$E$29</f>
        <v>193000</v>
      </c>
      <c r="AS61" s="93">
        <f>'Вход и предположения'!$E$29</f>
        <v>193000</v>
      </c>
      <c r="AT61" s="93">
        <f>'Вход и предположения'!$E$29</f>
        <v>193000</v>
      </c>
      <c r="AU61" s="93">
        <f>'Вход и предположения'!$E$29</f>
        <v>193000</v>
      </c>
      <c r="AV61" s="93">
        <f>'Вход и предположения'!$E$29</f>
        <v>193000</v>
      </c>
      <c r="AW61" s="93">
        <f>'Вход и предположения'!$E$29</f>
        <v>193000</v>
      </c>
      <c r="AX61" s="93">
        <f>'Вход и предположения'!$E$29</f>
        <v>193000</v>
      </c>
      <c r="AY61" s="93">
        <f>'Вход и предположения'!$E$29</f>
        <v>193000</v>
      </c>
      <c r="AZ61" s="93">
        <f>'Вход и предположения'!$E$29</f>
        <v>193000</v>
      </c>
      <c r="BA61" s="93">
        <f>'Вход и предположения'!$E$29</f>
        <v>193000</v>
      </c>
      <c r="BB61" s="93">
        <f>'Вход и предположения'!$E$29</f>
        <v>193000</v>
      </c>
      <c r="BC61" s="93">
        <f>'Вход и предположения'!$E$29</f>
        <v>193000</v>
      </c>
      <c r="BD61" s="93">
        <f>'Вход и предположения'!$E$29</f>
        <v>193000</v>
      </c>
      <c r="BE61" s="93">
        <f>'Вход и предположения'!$E$29</f>
        <v>193000</v>
      </c>
      <c r="BF61" s="93">
        <f>'Вход и предположения'!$E$29</f>
        <v>193000</v>
      </c>
      <c r="BG61" s="93">
        <f>'Вход и предположения'!$E$29</f>
        <v>193000</v>
      </c>
      <c r="BH61" s="93">
        <f>'Вход и предположения'!$E$29</f>
        <v>193000</v>
      </c>
      <c r="BI61" s="93">
        <f>'Вход и предположения'!$E$29</f>
        <v>193000</v>
      </c>
      <c r="BJ61" s="93">
        <f>'Вход и предположения'!$E$29</f>
        <v>193000</v>
      </c>
      <c r="BK61" s="93">
        <f>'Вход и предположения'!$E$29</f>
        <v>193000</v>
      </c>
      <c r="BL61" s="93">
        <f>'Вход и предположения'!$E$29</f>
        <v>193000</v>
      </c>
      <c r="BM61" s="93">
        <f>'Вход и предположения'!$E$29</f>
        <v>193000</v>
      </c>
    </row>
    <row r="62" spans="1:73">
      <c r="C62" t="s">
        <v>198</v>
      </c>
      <c r="D62" s="3" t="s">
        <v>119</v>
      </c>
      <c r="F62">
        <f>F61*$F$60</f>
        <v>57900</v>
      </c>
      <c r="G62">
        <f t="shared" ref="G62:BM62" si="31">G61*$F$60</f>
        <v>57900</v>
      </c>
      <c r="H62">
        <f t="shared" si="31"/>
        <v>57900</v>
      </c>
      <c r="I62">
        <f t="shared" si="31"/>
        <v>57900</v>
      </c>
      <c r="J62">
        <f t="shared" si="31"/>
        <v>57900</v>
      </c>
      <c r="K62">
        <f t="shared" si="31"/>
        <v>57900</v>
      </c>
      <c r="L62">
        <f t="shared" si="31"/>
        <v>57900</v>
      </c>
      <c r="M62">
        <f t="shared" si="31"/>
        <v>57900</v>
      </c>
      <c r="N62">
        <f t="shared" si="31"/>
        <v>57900</v>
      </c>
      <c r="O62">
        <f t="shared" si="31"/>
        <v>57900</v>
      </c>
      <c r="P62">
        <f t="shared" si="31"/>
        <v>57900</v>
      </c>
      <c r="Q62">
        <f t="shared" si="31"/>
        <v>57900</v>
      </c>
      <c r="R62">
        <f t="shared" si="31"/>
        <v>57900</v>
      </c>
      <c r="S62">
        <f t="shared" si="31"/>
        <v>57900</v>
      </c>
      <c r="T62">
        <f t="shared" si="31"/>
        <v>57900</v>
      </c>
      <c r="U62">
        <f t="shared" si="31"/>
        <v>57900</v>
      </c>
      <c r="V62">
        <f t="shared" si="31"/>
        <v>57900</v>
      </c>
      <c r="W62">
        <f t="shared" si="31"/>
        <v>57900</v>
      </c>
      <c r="X62">
        <f t="shared" si="31"/>
        <v>57900</v>
      </c>
      <c r="Y62">
        <f t="shared" si="31"/>
        <v>57900</v>
      </c>
      <c r="Z62">
        <f t="shared" si="31"/>
        <v>57900</v>
      </c>
      <c r="AA62">
        <f t="shared" si="31"/>
        <v>57900</v>
      </c>
      <c r="AB62">
        <f t="shared" si="31"/>
        <v>57900</v>
      </c>
      <c r="AC62">
        <f t="shared" si="31"/>
        <v>57900</v>
      </c>
      <c r="AD62">
        <f t="shared" si="31"/>
        <v>57900</v>
      </c>
      <c r="AE62">
        <f t="shared" si="31"/>
        <v>57900</v>
      </c>
      <c r="AF62">
        <f t="shared" si="31"/>
        <v>57900</v>
      </c>
      <c r="AG62">
        <f t="shared" si="31"/>
        <v>57900</v>
      </c>
      <c r="AH62">
        <f t="shared" si="31"/>
        <v>57900</v>
      </c>
      <c r="AI62">
        <f t="shared" si="31"/>
        <v>57900</v>
      </c>
      <c r="AJ62">
        <f t="shared" si="31"/>
        <v>57900</v>
      </c>
      <c r="AK62">
        <f t="shared" si="31"/>
        <v>57900</v>
      </c>
      <c r="AL62">
        <f t="shared" si="31"/>
        <v>57900</v>
      </c>
      <c r="AM62">
        <f t="shared" si="31"/>
        <v>57900</v>
      </c>
      <c r="AN62">
        <f t="shared" si="31"/>
        <v>57900</v>
      </c>
      <c r="AO62">
        <f t="shared" si="31"/>
        <v>57900</v>
      </c>
      <c r="AP62">
        <f t="shared" si="31"/>
        <v>57900</v>
      </c>
      <c r="AQ62">
        <f t="shared" si="31"/>
        <v>57900</v>
      </c>
      <c r="AR62">
        <f t="shared" si="31"/>
        <v>57900</v>
      </c>
      <c r="AS62">
        <f t="shared" si="31"/>
        <v>57900</v>
      </c>
      <c r="AT62">
        <f t="shared" si="31"/>
        <v>57900</v>
      </c>
      <c r="AU62">
        <f t="shared" si="31"/>
        <v>57900</v>
      </c>
      <c r="AV62">
        <f t="shared" si="31"/>
        <v>57900</v>
      </c>
      <c r="AW62">
        <f t="shared" si="31"/>
        <v>57900</v>
      </c>
      <c r="AX62">
        <f t="shared" si="31"/>
        <v>57900</v>
      </c>
      <c r="AY62">
        <f t="shared" si="31"/>
        <v>57900</v>
      </c>
      <c r="AZ62">
        <f t="shared" si="31"/>
        <v>57900</v>
      </c>
      <c r="BA62">
        <f t="shared" si="31"/>
        <v>57900</v>
      </c>
      <c r="BB62">
        <f t="shared" si="31"/>
        <v>57900</v>
      </c>
      <c r="BC62">
        <f t="shared" si="31"/>
        <v>57900</v>
      </c>
      <c r="BD62">
        <f t="shared" si="31"/>
        <v>57900</v>
      </c>
      <c r="BE62">
        <f t="shared" si="31"/>
        <v>57900</v>
      </c>
      <c r="BF62">
        <f t="shared" si="31"/>
        <v>57900</v>
      </c>
      <c r="BG62">
        <f t="shared" si="31"/>
        <v>57900</v>
      </c>
      <c r="BH62">
        <f t="shared" si="31"/>
        <v>57900</v>
      </c>
      <c r="BI62">
        <f t="shared" si="31"/>
        <v>57900</v>
      </c>
      <c r="BJ62">
        <f t="shared" si="31"/>
        <v>57900</v>
      </c>
      <c r="BK62">
        <f t="shared" si="31"/>
        <v>57900</v>
      </c>
      <c r="BL62">
        <f t="shared" si="31"/>
        <v>57900</v>
      </c>
      <c r="BM62">
        <f t="shared" si="31"/>
        <v>57900</v>
      </c>
    </row>
    <row r="63" spans="1:73">
      <c r="C63" s="140"/>
      <c r="D63" s="3"/>
      <c r="Q63" s="95"/>
      <c r="AC63" s="95"/>
      <c r="AO63" s="95"/>
      <c r="BA63" s="95"/>
    </row>
    <row r="64" spans="1:73">
      <c r="A64" s="138"/>
      <c r="B64" s="138"/>
      <c r="C64" s="108" t="s">
        <v>199</v>
      </c>
      <c r="D64" s="139"/>
      <c r="E64" s="139"/>
      <c r="F64" s="130">
        <f>F42*F65*(1+F66)</f>
        <v>72176.22</v>
      </c>
      <c r="G64" s="130">
        <f t="shared" ref="G64:BM64" si="32">G42*G65*(1+G66)</f>
        <v>14003.448</v>
      </c>
      <c r="H64" s="130">
        <f t="shared" si="32"/>
        <v>16286.855999999998</v>
      </c>
      <c r="I64" s="130">
        <f t="shared" si="32"/>
        <v>18570.264000000003</v>
      </c>
      <c r="J64" s="130">
        <f t="shared" si="32"/>
        <v>18570.264000000003</v>
      </c>
      <c r="K64" s="130">
        <f t="shared" si="32"/>
        <v>18570.264000000003</v>
      </c>
      <c r="L64" s="130">
        <f t="shared" si="32"/>
        <v>18570.264000000003</v>
      </c>
      <c r="M64" s="130">
        <f t="shared" si="32"/>
        <v>18570.264000000003</v>
      </c>
      <c r="N64" s="130">
        <f t="shared" si="32"/>
        <v>18754.128000000001</v>
      </c>
      <c r="O64" s="130">
        <f t="shared" si="32"/>
        <v>18570.264000000003</v>
      </c>
      <c r="P64" s="130">
        <f t="shared" si="32"/>
        <v>18754.128000000001</v>
      </c>
      <c r="Q64" s="130">
        <f t="shared" si="32"/>
        <v>18754.128000000001</v>
      </c>
      <c r="R64" s="130">
        <f t="shared" si="32"/>
        <v>23214.203600000001</v>
      </c>
      <c r="S64" s="130">
        <f t="shared" si="32"/>
        <v>23291.584278666676</v>
      </c>
      <c r="T64" s="130">
        <f t="shared" si="32"/>
        <v>23600.601337413347</v>
      </c>
      <c r="U64" s="130">
        <f t="shared" si="32"/>
        <v>23447.120302571995</v>
      </c>
      <c r="V64" s="130">
        <f t="shared" si="32"/>
        <v>23758.200908566516</v>
      </c>
      <c r="W64" s="130">
        <f t="shared" si="32"/>
        <v>23603.694961481408</v>
      </c>
      <c r="X64" s="130">
        <f t="shared" si="32"/>
        <v>23916.852894633728</v>
      </c>
      <c r="Y64" s="130">
        <f t="shared" si="32"/>
        <v>23761.315191168629</v>
      </c>
      <c r="Z64" s="130">
        <f t="shared" si="32"/>
        <v>24076.564323407896</v>
      </c>
      <c r="AA64" s="130">
        <f t="shared" si="32"/>
        <v>23919.987973722993</v>
      </c>
      <c r="AB64" s="130">
        <f t="shared" si="32"/>
        <v>24237.342269611985</v>
      </c>
      <c r="AC64" s="130">
        <f t="shared" si="32"/>
        <v>24079.720337858627</v>
      </c>
      <c r="AD64" s="130">
        <f t="shared" si="32"/>
        <v>24159.986072318159</v>
      </c>
      <c r="AE64" s="130">
        <f t="shared" si="32"/>
        <v>24240.519359225891</v>
      </c>
      <c r="AF64" s="130">
        <f t="shared" si="32"/>
        <v>24562.126249734432</v>
      </c>
      <c r="AG64" s="130">
        <f t="shared" si="32"/>
        <v>24402.392160724725</v>
      </c>
      <c r="AH64" s="130">
        <f t="shared" si="32"/>
        <v>24483.733467927148</v>
      </c>
      <c r="AI64" s="130">
        <f t="shared" si="32"/>
        <v>24565.34591282023</v>
      </c>
      <c r="AJ64" s="130">
        <f t="shared" si="32"/>
        <v>25135.294367497219</v>
      </c>
      <c r="AK64" s="130">
        <f t="shared" si="32"/>
        <v>24729.387833860299</v>
      </c>
      <c r="AL64" s="130">
        <f t="shared" si="32"/>
        <v>24811.819126639824</v>
      </c>
      <c r="AM64" s="130">
        <f t="shared" si="32"/>
        <v>24894.525190395299</v>
      </c>
      <c r="AN64" s="130">
        <f t="shared" si="32"/>
        <v>25224.808989951038</v>
      </c>
      <c r="AO64" s="130">
        <f t="shared" si="32"/>
        <v>25308.891686584204</v>
      </c>
      <c r="AP64" s="130">
        <f t="shared" si="32"/>
        <v>25144.301181825049</v>
      </c>
      <c r="AQ64" s="130">
        <f t="shared" si="32"/>
        <v>25477.898841069065</v>
      </c>
      <c r="AR64" s="130">
        <f t="shared" si="32"/>
        <v>25312.209237494797</v>
      </c>
      <c r="AS64" s="130">
        <f t="shared" si="32"/>
        <v>25396.583268286446</v>
      </c>
      <c r="AT64" s="130">
        <f t="shared" si="32"/>
        <v>25733.528036400348</v>
      </c>
      <c r="AU64" s="130">
        <f t="shared" si="32"/>
        <v>25566.176007666898</v>
      </c>
      <c r="AV64" s="130">
        <f t="shared" si="32"/>
        <v>25651.396594359125</v>
      </c>
      <c r="AW64" s="130">
        <f t="shared" si="32"/>
        <v>25736.901249673658</v>
      </c>
      <c r="AX64" s="130">
        <f t="shared" si="32"/>
        <v>25822.690920505909</v>
      </c>
      <c r="AY64" s="130">
        <f t="shared" si="32"/>
        <v>25908.766556907598</v>
      </c>
      <c r="AZ64" s="130">
        <f t="shared" si="32"/>
        <v>25995.129112097293</v>
      </c>
      <c r="BA64" s="130">
        <f t="shared" si="32"/>
        <v>26081.779542470947</v>
      </c>
      <c r="BB64" s="130">
        <f t="shared" si="32"/>
        <v>26168.718807612524</v>
      </c>
      <c r="BC64" s="130">
        <f t="shared" si="32"/>
        <v>26255.947870304564</v>
      </c>
      <c r="BD64" s="130">
        <f t="shared" si="32"/>
        <v>26343.467696538915</v>
      </c>
      <c r="BE64" s="130">
        <f t="shared" si="32"/>
        <v>26692.975089740517</v>
      </c>
      <c r="BF64" s="130">
        <f t="shared" si="32"/>
        <v>26519.383519712472</v>
      </c>
      <c r="BG64" s="130">
        <f t="shared" si="32"/>
        <v>26871.224845617569</v>
      </c>
      <c r="BH64" s="130">
        <f t="shared" si="32"/>
        <v>26696.474069660777</v>
      </c>
      <c r="BI64" s="130">
        <f t="shared" si="32"/>
        <v>26785.462316559653</v>
      </c>
      <c r="BJ64" s="130">
        <f t="shared" si="32"/>
        <v>27406.920402650128</v>
      </c>
      <c r="BK64" s="130">
        <f t="shared" si="32"/>
        <v>26964.329681584677</v>
      </c>
      <c r="BL64" s="130">
        <f t="shared" si="32"/>
        <v>27322.074253597781</v>
      </c>
      <c r="BM64" s="130">
        <f t="shared" si="32"/>
        <v>27144.391483125033</v>
      </c>
      <c r="BO64" s="94">
        <f t="shared" si="7"/>
        <v>1480575.2413822436</v>
      </c>
      <c r="BP64" s="94">
        <f t="shared" si="8"/>
        <v>270150.49199999997</v>
      </c>
      <c r="BQ64" s="94">
        <f t="shared" si="9"/>
        <v>284907.18837910378</v>
      </c>
      <c r="BR64" s="94">
        <f t="shared" si="10"/>
        <v>296518.83041767846</v>
      </c>
      <c r="BS64" s="94">
        <f t="shared" si="11"/>
        <v>307827.36054875713</v>
      </c>
      <c r="BT64" s="94">
        <f t="shared" si="12"/>
        <v>321171.37003670464</v>
      </c>
      <c r="BU64" s="94">
        <f t="shared" si="13"/>
        <v>1480575.241382244</v>
      </c>
    </row>
    <row r="65" spans="1:73">
      <c r="C65" s="27" t="s">
        <v>130</v>
      </c>
      <c r="D65" s="29" t="s">
        <v>128</v>
      </c>
      <c r="F65" s="91">
        <f>15%</f>
        <v>0.15</v>
      </c>
      <c r="G65" s="91">
        <f>'Вход и предположения'!$E$30</f>
        <v>0.02</v>
      </c>
      <c r="H65" s="91">
        <f>'Вход и предположения'!$E$30</f>
        <v>0.02</v>
      </c>
      <c r="I65" s="91">
        <f>'Вход и предположения'!$E$30</f>
        <v>0.02</v>
      </c>
      <c r="J65" s="91">
        <f>'Вход и предположения'!$E$30</f>
        <v>0.02</v>
      </c>
      <c r="K65" s="91">
        <f>'Вход и предположения'!$E$30</f>
        <v>0.02</v>
      </c>
      <c r="L65" s="91">
        <f>'Вход и предположения'!$E$30</f>
        <v>0.02</v>
      </c>
      <c r="M65" s="91">
        <f>'Вход и предположения'!$E$30</f>
        <v>0.02</v>
      </c>
      <c r="N65" s="91">
        <f>'Вход и предположения'!$E$30</f>
        <v>0.02</v>
      </c>
      <c r="O65" s="91">
        <f>'Вход и предположения'!$E$30</f>
        <v>0.02</v>
      </c>
      <c r="P65" s="91">
        <f>'Вход и предположения'!$E$30</f>
        <v>0.02</v>
      </c>
      <c r="Q65" s="91">
        <f>'Вход и предположения'!$E$30</f>
        <v>0.02</v>
      </c>
      <c r="R65" s="91">
        <f>'Вход и предположения'!$E$30</f>
        <v>0.02</v>
      </c>
      <c r="S65" s="91">
        <f>'Вход и предположения'!$E$30</f>
        <v>0.02</v>
      </c>
      <c r="T65" s="91">
        <f>'Вход и предположения'!$E$30</f>
        <v>0.02</v>
      </c>
      <c r="U65" s="91">
        <f>'Вход и предположения'!$E$30</f>
        <v>0.02</v>
      </c>
      <c r="V65" s="91">
        <f>'Вход и предположения'!$E$30</f>
        <v>0.02</v>
      </c>
      <c r="W65" s="91">
        <f>'Вход и предположения'!$E$30</f>
        <v>0.02</v>
      </c>
      <c r="X65" s="91">
        <f>'Вход и предположения'!$E$30</f>
        <v>0.02</v>
      </c>
      <c r="Y65" s="91">
        <f>'Вход и предположения'!$E$30</f>
        <v>0.02</v>
      </c>
      <c r="Z65" s="91">
        <f>'Вход и предположения'!$E$30</f>
        <v>0.02</v>
      </c>
      <c r="AA65" s="91">
        <f>'Вход и предположения'!$E$30</f>
        <v>0.02</v>
      </c>
      <c r="AB65" s="91">
        <f>'Вход и предположения'!$E$30</f>
        <v>0.02</v>
      </c>
      <c r="AC65" s="91">
        <f>'Вход и предположения'!$E$30</f>
        <v>0.02</v>
      </c>
      <c r="AD65" s="91">
        <f>'Вход и предположения'!$E$30</f>
        <v>0.02</v>
      </c>
      <c r="AE65" s="91">
        <f>'Вход и предположения'!$E$30</f>
        <v>0.02</v>
      </c>
      <c r="AF65" s="91">
        <f>'Вход и предположения'!$E$30</f>
        <v>0.02</v>
      </c>
      <c r="AG65" s="91">
        <f>'Вход и предположения'!$E$30</f>
        <v>0.02</v>
      </c>
      <c r="AH65" s="91">
        <f>'Вход и предположения'!$E$30</f>
        <v>0.02</v>
      </c>
      <c r="AI65" s="91">
        <f>'Вход и предположения'!$E$30</f>
        <v>0.02</v>
      </c>
      <c r="AJ65" s="91">
        <f>'Вход и предположения'!$E$30</f>
        <v>0.02</v>
      </c>
      <c r="AK65" s="91">
        <f>'Вход и предположения'!$E$30</f>
        <v>0.02</v>
      </c>
      <c r="AL65" s="91">
        <f>'Вход и предположения'!$E$30</f>
        <v>0.02</v>
      </c>
      <c r="AM65" s="91">
        <f>'Вход и предположения'!$E$30</f>
        <v>0.02</v>
      </c>
      <c r="AN65" s="91">
        <f>'Вход и предположения'!$E$30</f>
        <v>0.02</v>
      </c>
      <c r="AO65" s="91">
        <f>'Вход и предположения'!$E$30</f>
        <v>0.02</v>
      </c>
      <c r="AP65" s="91">
        <f>'Вход и предположения'!$E$30</f>
        <v>0.02</v>
      </c>
      <c r="AQ65" s="91">
        <f>'Вход и предположения'!$E$30</f>
        <v>0.02</v>
      </c>
      <c r="AR65" s="91">
        <f>'Вход и предположения'!$E$30</f>
        <v>0.02</v>
      </c>
      <c r="AS65" s="91">
        <f>'Вход и предположения'!$E$30</f>
        <v>0.02</v>
      </c>
      <c r="AT65" s="91">
        <f>'Вход и предположения'!$E$30</f>
        <v>0.02</v>
      </c>
      <c r="AU65" s="91">
        <f>'Вход и предположения'!$E$30</f>
        <v>0.02</v>
      </c>
      <c r="AV65" s="91">
        <f>'Вход и предположения'!$E$30</f>
        <v>0.02</v>
      </c>
      <c r="AW65" s="91">
        <f>'Вход и предположения'!$E$30</f>
        <v>0.02</v>
      </c>
      <c r="AX65" s="91">
        <f>'Вход и предположения'!$E$30</f>
        <v>0.02</v>
      </c>
      <c r="AY65" s="91">
        <f>'Вход и предположения'!$E$30</f>
        <v>0.02</v>
      </c>
      <c r="AZ65" s="91">
        <f>'Вход и предположения'!$E$30</f>
        <v>0.02</v>
      </c>
      <c r="BA65" s="91">
        <f>'Вход и предположения'!$E$30</f>
        <v>0.02</v>
      </c>
      <c r="BB65" s="91">
        <f>'Вход и предположения'!$E$30</f>
        <v>0.02</v>
      </c>
      <c r="BC65" s="91">
        <f>'Вход и предположения'!$E$30</f>
        <v>0.02</v>
      </c>
      <c r="BD65" s="91">
        <f>'Вход и предположения'!$E$30</f>
        <v>0.02</v>
      </c>
      <c r="BE65" s="91">
        <f>'Вход и предположения'!$E$30</f>
        <v>0.02</v>
      </c>
      <c r="BF65" s="91">
        <f>'Вход и предположения'!$E$30</f>
        <v>0.02</v>
      </c>
      <c r="BG65" s="91">
        <f>'Вход и предположения'!$E$30</f>
        <v>0.02</v>
      </c>
      <c r="BH65" s="91">
        <f>'Вход и предположения'!$E$30</f>
        <v>0.02</v>
      </c>
      <c r="BI65" s="91">
        <f>'Вход и предположения'!$E$30</f>
        <v>0.02</v>
      </c>
      <c r="BJ65" s="91">
        <f>'Вход и предположения'!$E$30</f>
        <v>0.02</v>
      </c>
      <c r="BK65" s="91">
        <f>'Вход и предположения'!$E$30</f>
        <v>0.02</v>
      </c>
      <c r="BL65" s="91">
        <f>'Вход и предположения'!$E$30</f>
        <v>0.02</v>
      </c>
      <c r="BM65" s="91">
        <f>'Вход и предположения'!$E$30</f>
        <v>0.02</v>
      </c>
    </row>
    <row r="66" spans="1:73">
      <c r="C66" s="27" t="s">
        <v>200</v>
      </c>
      <c r="D66" s="29"/>
      <c r="F66" s="72">
        <v>0.03</v>
      </c>
      <c r="G66" s="72">
        <v>0.01</v>
      </c>
      <c r="H66" s="72">
        <v>0.01</v>
      </c>
      <c r="I66" s="72">
        <v>0.01</v>
      </c>
      <c r="J66" s="72">
        <v>0.01</v>
      </c>
      <c r="K66" s="72">
        <v>0.01</v>
      </c>
      <c r="L66" s="72">
        <v>0.01</v>
      </c>
      <c r="M66" s="72">
        <v>0.01</v>
      </c>
      <c r="N66" s="72">
        <v>0.02</v>
      </c>
      <c r="O66" s="72">
        <v>0.01</v>
      </c>
      <c r="P66" s="72">
        <v>0.02</v>
      </c>
      <c r="Q66" s="72">
        <v>0.02</v>
      </c>
      <c r="R66" s="72">
        <v>0.01</v>
      </c>
      <c r="S66" s="72">
        <v>0.01</v>
      </c>
      <c r="T66" s="72">
        <v>0.02</v>
      </c>
      <c r="U66" s="72">
        <v>0.01</v>
      </c>
      <c r="V66" s="72">
        <v>0.02</v>
      </c>
      <c r="W66" s="72">
        <v>0.01</v>
      </c>
      <c r="X66" s="72">
        <v>0.02</v>
      </c>
      <c r="Y66" s="72">
        <v>0.01</v>
      </c>
      <c r="Z66" s="72">
        <v>0.02</v>
      </c>
      <c r="AA66" s="72">
        <v>0.01</v>
      </c>
      <c r="AB66" s="72">
        <v>0.02</v>
      </c>
      <c r="AC66" s="72">
        <v>0.01</v>
      </c>
      <c r="AD66" s="72">
        <v>0.01</v>
      </c>
      <c r="AE66" s="72">
        <v>0.01</v>
      </c>
      <c r="AF66" s="72">
        <v>0.02</v>
      </c>
      <c r="AG66" s="72">
        <v>0.01</v>
      </c>
      <c r="AH66" s="72">
        <v>0.01</v>
      </c>
      <c r="AI66" s="72">
        <v>0.01</v>
      </c>
      <c r="AJ66" s="72">
        <v>0.03</v>
      </c>
      <c r="AK66" s="72">
        <v>0.01</v>
      </c>
      <c r="AL66" s="72">
        <v>0.01</v>
      </c>
      <c r="AM66" s="72">
        <v>0.01</v>
      </c>
      <c r="AN66" s="72">
        <v>0.02</v>
      </c>
      <c r="AO66" s="72">
        <v>0.02</v>
      </c>
      <c r="AP66" s="72">
        <v>0.01</v>
      </c>
      <c r="AQ66" s="72">
        <v>0.02</v>
      </c>
      <c r="AR66" s="72">
        <v>0.01</v>
      </c>
      <c r="AS66" s="72">
        <v>0.01</v>
      </c>
      <c r="AT66" s="72">
        <v>0.02</v>
      </c>
      <c r="AU66" s="72">
        <v>0.01</v>
      </c>
      <c r="AV66" s="72">
        <v>0.01</v>
      </c>
      <c r="AW66" s="72">
        <v>0.01</v>
      </c>
      <c r="AX66" s="72">
        <v>0.01</v>
      </c>
      <c r="AY66" s="72">
        <v>0.01</v>
      </c>
      <c r="AZ66" s="72">
        <v>0.01</v>
      </c>
      <c r="BA66" s="72">
        <v>0.01</v>
      </c>
      <c r="BB66" s="72">
        <v>0.01</v>
      </c>
      <c r="BC66" s="72">
        <v>0.01</v>
      </c>
      <c r="BD66" s="72">
        <v>0.01</v>
      </c>
      <c r="BE66" s="72">
        <v>0.02</v>
      </c>
      <c r="BF66" s="72">
        <v>0.01</v>
      </c>
      <c r="BG66" s="72">
        <v>0.02</v>
      </c>
      <c r="BH66" s="72">
        <v>0.01</v>
      </c>
      <c r="BI66" s="72">
        <v>0.01</v>
      </c>
      <c r="BJ66" s="72">
        <v>0.03</v>
      </c>
      <c r="BK66" s="72">
        <v>0.01</v>
      </c>
      <c r="BL66" s="72">
        <v>0.02</v>
      </c>
      <c r="BM66" s="72">
        <v>0.01</v>
      </c>
    </row>
    <row r="67" spans="1:73">
      <c r="C67" s="140"/>
      <c r="D67" s="3"/>
      <c r="Q67" s="95"/>
      <c r="AC67" s="95"/>
      <c r="AO67" s="95"/>
      <c r="BA67" s="95"/>
    </row>
    <row r="68" spans="1:73">
      <c r="A68" s="138"/>
      <c r="B68" s="138"/>
      <c r="C68" s="108" t="s">
        <v>201</v>
      </c>
      <c r="D68" s="139"/>
      <c r="E68" s="139"/>
      <c r="F68" s="131">
        <f>F69*F6</f>
        <v>50000</v>
      </c>
      <c r="G68" s="131">
        <f t="shared" ref="G68:BM68" si="33">G69*G6</f>
        <v>50000</v>
      </c>
      <c r="H68" s="131">
        <f t="shared" si="33"/>
        <v>50000</v>
      </c>
      <c r="I68" s="131">
        <f t="shared" si="33"/>
        <v>50000</v>
      </c>
      <c r="J68" s="131">
        <f t="shared" si="33"/>
        <v>50000</v>
      </c>
      <c r="K68" s="131">
        <f t="shared" si="33"/>
        <v>50000</v>
      </c>
      <c r="L68" s="131">
        <f t="shared" si="33"/>
        <v>50000</v>
      </c>
      <c r="M68" s="131">
        <f t="shared" si="33"/>
        <v>50000</v>
      </c>
      <c r="N68" s="131">
        <f t="shared" si="33"/>
        <v>50000</v>
      </c>
      <c r="O68" s="131">
        <f t="shared" si="33"/>
        <v>50000</v>
      </c>
      <c r="P68" s="131">
        <f t="shared" si="33"/>
        <v>50000</v>
      </c>
      <c r="Q68" s="131">
        <f t="shared" si="33"/>
        <v>50000</v>
      </c>
      <c r="R68" s="131">
        <f t="shared" si="33"/>
        <v>50166.666666666672</v>
      </c>
      <c r="S68" s="131">
        <f t="shared" si="33"/>
        <v>50333.888888888898</v>
      </c>
      <c r="T68" s="131">
        <f t="shared" si="33"/>
        <v>50501.668518518542</v>
      </c>
      <c r="U68" s="131">
        <f t="shared" si="33"/>
        <v>50670.007413580279</v>
      </c>
      <c r="V68" s="131">
        <f t="shared" si="33"/>
        <v>50838.907438292212</v>
      </c>
      <c r="W68" s="131">
        <f t="shared" si="33"/>
        <v>51008.370463086525</v>
      </c>
      <c r="X68" s="131">
        <f t="shared" si="33"/>
        <v>51178.398364630149</v>
      </c>
      <c r="Y68" s="131">
        <f t="shared" si="33"/>
        <v>51348.993025845593</v>
      </c>
      <c r="Z68" s="131">
        <f t="shared" si="33"/>
        <v>51520.156335931744</v>
      </c>
      <c r="AA68" s="131">
        <f t="shared" si="33"/>
        <v>51691.890190384845</v>
      </c>
      <c r="AB68" s="131">
        <f t="shared" si="33"/>
        <v>51864.196491019466</v>
      </c>
      <c r="AC68" s="131">
        <f t="shared" si="33"/>
        <v>52037.077145989533</v>
      </c>
      <c r="AD68" s="131">
        <f t="shared" si="33"/>
        <v>52210.534069809502</v>
      </c>
      <c r="AE68" s="131">
        <f t="shared" si="33"/>
        <v>52384.569183375541</v>
      </c>
      <c r="AF68" s="131">
        <f t="shared" si="33"/>
        <v>52559.18441398679</v>
      </c>
      <c r="AG68" s="131">
        <f t="shared" si="33"/>
        <v>52734.381695366748</v>
      </c>
      <c r="AH68" s="131">
        <f t="shared" si="33"/>
        <v>52910.16296768465</v>
      </c>
      <c r="AI68" s="131">
        <f t="shared" si="33"/>
        <v>53086.530177576926</v>
      </c>
      <c r="AJ68" s="131">
        <f t="shared" si="33"/>
        <v>53263.485278168853</v>
      </c>
      <c r="AK68" s="131">
        <f t="shared" si="33"/>
        <v>53441.03022909609</v>
      </c>
      <c r="AL68" s="131">
        <f t="shared" si="33"/>
        <v>53619.166996526415</v>
      </c>
      <c r="AM68" s="131">
        <f t="shared" si="33"/>
        <v>53797.897553181509</v>
      </c>
      <c r="AN68" s="131">
        <f t="shared" si="33"/>
        <v>53977.223878358782</v>
      </c>
      <c r="AO68" s="131">
        <f t="shared" si="33"/>
        <v>54157.147957953312</v>
      </c>
      <c r="AP68" s="131">
        <f t="shared" si="33"/>
        <v>54337.671784479826</v>
      </c>
      <c r="AQ68" s="131">
        <f t="shared" si="33"/>
        <v>54518.797357094758</v>
      </c>
      <c r="AR68" s="131">
        <f t="shared" si="33"/>
        <v>54700.526681618408</v>
      </c>
      <c r="AS68" s="131">
        <f t="shared" si="33"/>
        <v>54882.861770557145</v>
      </c>
      <c r="AT68" s="131">
        <f t="shared" si="33"/>
        <v>55065.804643125673</v>
      </c>
      <c r="AU68" s="131">
        <f t="shared" si="33"/>
        <v>55249.357325269433</v>
      </c>
      <c r="AV68" s="131">
        <f t="shared" si="33"/>
        <v>55433.521849687007</v>
      </c>
      <c r="AW68" s="131">
        <f t="shared" si="33"/>
        <v>55618.300255852635</v>
      </c>
      <c r="AX68" s="131">
        <f t="shared" si="33"/>
        <v>55803.694590038824</v>
      </c>
      <c r="AY68" s="131">
        <f t="shared" si="33"/>
        <v>55989.706905338957</v>
      </c>
      <c r="AZ68" s="131">
        <f t="shared" si="33"/>
        <v>56176.339261690089</v>
      </c>
      <c r="BA68" s="131">
        <f t="shared" si="33"/>
        <v>56363.59372589572</v>
      </c>
      <c r="BB68" s="131">
        <f t="shared" si="33"/>
        <v>56551.472371648713</v>
      </c>
      <c r="BC68" s="131">
        <f t="shared" si="33"/>
        <v>56739.977279554209</v>
      </c>
      <c r="BD68" s="131">
        <f t="shared" si="33"/>
        <v>56929.11053715273</v>
      </c>
      <c r="BE68" s="131">
        <f t="shared" si="33"/>
        <v>57118.874238943237</v>
      </c>
      <c r="BF68" s="131">
        <f t="shared" si="33"/>
        <v>57309.270486406393</v>
      </c>
      <c r="BG68" s="131">
        <f t="shared" si="33"/>
        <v>57500.30138802775</v>
      </c>
      <c r="BH68" s="131">
        <f t="shared" si="33"/>
        <v>57691.969059321178</v>
      </c>
      <c r="BI68" s="131">
        <f t="shared" si="33"/>
        <v>57884.275622852256</v>
      </c>
      <c r="BJ68" s="131">
        <f t="shared" si="33"/>
        <v>58077.223208261763</v>
      </c>
      <c r="BK68" s="131">
        <f t="shared" si="33"/>
        <v>58270.813952289303</v>
      </c>
      <c r="BL68" s="131">
        <f t="shared" si="33"/>
        <v>58465.049998796938</v>
      </c>
      <c r="BM68" s="131">
        <f t="shared" si="33"/>
        <v>58659.933498792925</v>
      </c>
      <c r="BO68" s="94">
        <f t="shared" si="7"/>
        <v>3206639.9831366148</v>
      </c>
      <c r="BP68" s="94">
        <f t="shared" si="8"/>
        <v>600000</v>
      </c>
      <c r="BQ68" s="94">
        <f t="shared" si="9"/>
        <v>613160.22094283439</v>
      </c>
      <c r="BR68" s="94">
        <f t="shared" si="10"/>
        <v>638141.31440108514</v>
      </c>
      <c r="BS68" s="94">
        <f t="shared" si="11"/>
        <v>664140.17615064839</v>
      </c>
      <c r="BT68" s="94">
        <f t="shared" si="12"/>
        <v>691198.27164204733</v>
      </c>
      <c r="BU68" s="94">
        <f t="shared" si="13"/>
        <v>3206639.9831366153</v>
      </c>
    </row>
    <row r="69" spans="1:73">
      <c r="C69" s="27" t="s">
        <v>140</v>
      </c>
      <c r="D69" s="42" t="s">
        <v>132</v>
      </c>
      <c r="F69" s="93">
        <f>'Вход и предположения'!$E$32</f>
        <v>50000</v>
      </c>
      <c r="G69" s="93">
        <f>'Вход и предположения'!$E$32</f>
        <v>50000</v>
      </c>
      <c r="H69" s="93">
        <f>'Вход и предположения'!$E$32</f>
        <v>50000</v>
      </c>
      <c r="I69" s="93">
        <f>'Вход и предположения'!$E$32</f>
        <v>50000</v>
      </c>
      <c r="J69" s="93">
        <f>'Вход и предположения'!$E$32</f>
        <v>50000</v>
      </c>
      <c r="K69" s="93">
        <f>'Вход и предположения'!$E$32</f>
        <v>50000</v>
      </c>
      <c r="L69" s="93">
        <f>'Вход и предположения'!$E$32</f>
        <v>50000</v>
      </c>
      <c r="M69" s="93">
        <f>'Вход и предположения'!$E$32</f>
        <v>50000</v>
      </c>
      <c r="N69" s="93">
        <f>'Вход и предположения'!$E$32</f>
        <v>50000</v>
      </c>
      <c r="O69" s="93">
        <f>'Вход и предположения'!$E$32</f>
        <v>50000</v>
      </c>
      <c r="P69" s="93">
        <f>'Вход и предположения'!$E$32</f>
        <v>50000</v>
      </c>
      <c r="Q69" s="93">
        <f>'Вход и предположения'!$E$32</f>
        <v>50000</v>
      </c>
      <c r="R69" s="93">
        <f>'Вход и предположения'!$E$32</f>
        <v>50000</v>
      </c>
      <c r="S69" s="93">
        <f>'Вход и предположения'!$E$32</f>
        <v>50000</v>
      </c>
      <c r="T69" s="93">
        <f>'Вход и предположения'!$E$32</f>
        <v>50000</v>
      </c>
      <c r="U69" s="93">
        <f>'Вход и предположения'!$E$32</f>
        <v>50000</v>
      </c>
      <c r="V69" s="93">
        <f>'Вход и предположения'!$E$32</f>
        <v>50000</v>
      </c>
      <c r="W69" s="93">
        <f>'Вход и предположения'!$E$32</f>
        <v>50000</v>
      </c>
      <c r="X69" s="93">
        <f>'Вход и предположения'!$E$32</f>
        <v>50000</v>
      </c>
      <c r="Y69" s="93">
        <f>'Вход и предположения'!$E$32</f>
        <v>50000</v>
      </c>
      <c r="Z69" s="93">
        <f>'Вход и предположения'!$E$32</f>
        <v>50000</v>
      </c>
      <c r="AA69" s="93">
        <f>'Вход и предположения'!$E$32</f>
        <v>50000</v>
      </c>
      <c r="AB69" s="93">
        <f>'Вход и предположения'!$E$32</f>
        <v>50000</v>
      </c>
      <c r="AC69" s="93">
        <f>'Вход и предположения'!$E$32</f>
        <v>50000</v>
      </c>
      <c r="AD69" s="93">
        <f>'Вход и предположения'!$E$32</f>
        <v>50000</v>
      </c>
      <c r="AE69" s="93">
        <f>'Вход и предположения'!$E$32</f>
        <v>50000</v>
      </c>
      <c r="AF69" s="93">
        <f>'Вход и предположения'!$E$32</f>
        <v>50000</v>
      </c>
      <c r="AG69" s="93">
        <f>'Вход и предположения'!$E$32</f>
        <v>50000</v>
      </c>
      <c r="AH69" s="93">
        <f>'Вход и предположения'!$E$32</f>
        <v>50000</v>
      </c>
      <c r="AI69" s="93">
        <f>'Вход и предположения'!$E$32</f>
        <v>50000</v>
      </c>
      <c r="AJ69" s="93">
        <f>'Вход и предположения'!$E$32</f>
        <v>50000</v>
      </c>
      <c r="AK69" s="93">
        <f>'Вход и предположения'!$E$32</f>
        <v>50000</v>
      </c>
      <c r="AL69" s="93">
        <f>'Вход и предположения'!$E$32</f>
        <v>50000</v>
      </c>
      <c r="AM69" s="93">
        <f>'Вход и предположения'!$E$32</f>
        <v>50000</v>
      </c>
      <c r="AN69" s="93">
        <f>'Вход и предположения'!$E$32</f>
        <v>50000</v>
      </c>
      <c r="AO69" s="93">
        <f>'Вход и предположения'!$E$32</f>
        <v>50000</v>
      </c>
      <c r="AP69" s="93">
        <f>'Вход и предположения'!$E$32</f>
        <v>50000</v>
      </c>
      <c r="AQ69" s="93">
        <f>'Вход и предположения'!$E$32</f>
        <v>50000</v>
      </c>
      <c r="AR69" s="93">
        <f>'Вход и предположения'!$E$32</f>
        <v>50000</v>
      </c>
      <c r="AS69" s="93">
        <f>'Вход и предположения'!$E$32</f>
        <v>50000</v>
      </c>
      <c r="AT69" s="93">
        <f>'Вход и предположения'!$E$32</f>
        <v>50000</v>
      </c>
      <c r="AU69" s="93">
        <f>'Вход и предположения'!$E$32</f>
        <v>50000</v>
      </c>
      <c r="AV69" s="93">
        <f>'Вход и предположения'!$E$32</f>
        <v>50000</v>
      </c>
      <c r="AW69" s="93">
        <f>'Вход и предположения'!$E$32</f>
        <v>50000</v>
      </c>
      <c r="AX69" s="93">
        <f>'Вход и предположения'!$E$32</f>
        <v>50000</v>
      </c>
      <c r="AY69" s="93">
        <f>'Вход и предположения'!$E$32</f>
        <v>50000</v>
      </c>
      <c r="AZ69" s="93">
        <f>'Вход и предположения'!$E$32</f>
        <v>50000</v>
      </c>
      <c r="BA69" s="93">
        <f>'Вход и предположения'!$E$32</f>
        <v>50000</v>
      </c>
      <c r="BB69" s="93">
        <f>'Вход и предположения'!$E$32</f>
        <v>50000</v>
      </c>
      <c r="BC69" s="93">
        <f>'Вход и предположения'!$E$32</f>
        <v>50000</v>
      </c>
      <c r="BD69" s="93">
        <f>'Вход и предположения'!$E$32</f>
        <v>50000</v>
      </c>
      <c r="BE69" s="93">
        <f>'Вход и предположения'!$E$32</f>
        <v>50000</v>
      </c>
      <c r="BF69" s="93">
        <f>'Вход и предположения'!$E$32</f>
        <v>50000</v>
      </c>
      <c r="BG69" s="93">
        <f>'Вход и предположения'!$E$32</f>
        <v>50000</v>
      </c>
      <c r="BH69" s="93">
        <f>'Вход и предположения'!$E$32</f>
        <v>50000</v>
      </c>
      <c r="BI69" s="93">
        <f>'Вход и предположения'!$E$32</f>
        <v>50000</v>
      </c>
      <c r="BJ69" s="93">
        <f>'Вход и предположения'!$E$32</f>
        <v>50000</v>
      </c>
      <c r="BK69" s="93">
        <f>'Вход и предположения'!$E$32</f>
        <v>50000</v>
      </c>
      <c r="BL69" s="93">
        <f>'Вход и предположения'!$E$32</f>
        <v>50000</v>
      </c>
      <c r="BM69" s="93">
        <f>'Вход и предположения'!$E$32</f>
        <v>50000</v>
      </c>
    </row>
    <row r="70" spans="1:73">
      <c r="C70" s="41"/>
      <c r="D70" s="42"/>
      <c r="Q70" s="95"/>
      <c r="AC70" s="95"/>
      <c r="AO70" s="95"/>
      <c r="BA70" s="95"/>
    </row>
    <row r="71" spans="1:73">
      <c r="A71" s="138"/>
      <c r="B71" s="138"/>
      <c r="C71" s="108" t="s">
        <v>202</v>
      </c>
      <c r="D71" s="139"/>
      <c r="E71" s="139"/>
      <c r="F71" s="131">
        <f>F33/$F$73</f>
        <v>81600</v>
      </c>
      <c r="G71" s="131">
        <f t="shared" ref="G71:BM71" si="34">G33/$F$73</f>
        <v>122400</v>
      </c>
      <c r="H71" s="131">
        <f t="shared" si="34"/>
        <v>142799.99999999997</v>
      </c>
      <c r="I71" s="131">
        <f t="shared" si="34"/>
        <v>163200</v>
      </c>
      <c r="J71" s="131">
        <f t="shared" si="34"/>
        <v>163200</v>
      </c>
      <c r="K71" s="131">
        <f t="shared" si="34"/>
        <v>163200</v>
      </c>
      <c r="L71" s="131">
        <f t="shared" si="34"/>
        <v>163200</v>
      </c>
      <c r="M71" s="131">
        <f t="shared" si="34"/>
        <v>163200</v>
      </c>
      <c r="N71" s="131">
        <f t="shared" si="34"/>
        <v>163200</v>
      </c>
      <c r="O71" s="131">
        <f t="shared" si="34"/>
        <v>163200</v>
      </c>
      <c r="P71" s="131">
        <f t="shared" si="34"/>
        <v>163200</v>
      </c>
      <c r="Q71" s="131">
        <f t="shared" si="34"/>
        <v>163200</v>
      </c>
      <c r="R71" s="131">
        <f t="shared" si="34"/>
        <v>204680</v>
      </c>
      <c r="S71" s="131">
        <f t="shared" si="34"/>
        <v>205362.26666666669</v>
      </c>
      <c r="T71" s="131">
        <f t="shared" si="34"/>
        <v>206046.80755555563</v>
      </c>
      <c r="U71" s="131">
        <f t="shared" si="34"/>
        <v>206733.63024740751</v>
      </c>
      <c r="V71" s="131">
        <f t="shared" si="34"/>
        <v>207422.74234823222</v>
      </c>
      <c r="W71" s="131">
        <f t="shared" si="34"/>
        <v>208114.15148939306</v>
      </c>
      <c r="X71" s="131">
        <f t="shared" si="34"/>
        <v>208807.86532769099</v>
      </c>
      <c r="Y71" s="131">
        <f t="shared" si="34"/>
        <v>209503.89154544999</v>
      </c>
      <c r="Z71" s="131">
        <f t="shared" si="34"/>
        <v>210202.23785060149</v>
      </c>
      <c r="AA71" s="131">
        <f t="shared" si="34"/>
        <v>210902.91197677018</v>
      </c>
      <c r="AB71" s="131">
        <f t="shared" si="34"/>
        <v>211605.92168335943</v>
      </c>
      <c r="AC71" s="131">
        <f t="shared" si="34"/>
        <v>212311.27475563728</v>
      </c>
      <c r="AD71" s="131">
        <f t="shared" si="34"/>
        <v>213018.97900482273</v>
      </c>
      <c r="AE71" s="131">
        <f t="shared" si="34"/>
        <v>213729.04226817217</v>
      </c>
      <c r="AF71" s="131">
        <f t="shared" si="34"/>
        <v>214441.4724090661</v>
      </c>
      <c r="AG71" s="131">
        <f t="shared" si="34"/>
        <v>215156.27731709633</v>
      </c>
      <c r="AH71" s="131">
        <f t="shared" si="34"/>
        <v>215873.46490815337</v>
      </c>
      <c r="AI71" s="131">
        <f t="shared" si="34"/>
        <v>216593.04312451388</v>
      </c>
      <c r="AJ71" s="131">
        <f t="shared" si="34"/>
        <v>217315.01993492892</v>
      </c>
      <c r="AK71" s="131">
        <f t="shared" si="34"/>
        <v>218039.40333471206</v>
      </c>
      <c r="AL71" s="131">
        <f t="shared" si="34"/>
        <v>218766.20134582772</v>
      </c>
      <c r="AM71" s="131">
        <f t="shared" si="34"/>
        <v>219495.42201698056</v>
      </c>
      <c r="AN71" s="131">
        <f t="shared" si="34"/>
        <v>220227.07342370381</v>
      </c>
      <c r="AO71" s="131">
        <f t="shared" si="34"/>
        <v>220961.1636684495</v>
      </c>
      <c r="AP71" s="131">
        <f t="shared" si="34"/>
        <v>221697.70088067767</v>
      </c>
      <c r="AQ71" s="131">
        <f t="shared" si="34"/>
        <v>222436.69321694662</v>
      </c>
      <c r="AR71" s="131">
        <f t="shared" si="34"/>
        <v>223178.14886100311</v>
      </c>
      <c r="AS71" s="131">
        <f t="shared" si="34"/>
        <v>223922.07602387315</v>
      </c>
      <c r="AT71" s="131">
        <f t="shared" si="34"/>
        <v>224668.48294395272</v>
      </c>
      <c r="AU71" s="131">
        <f t="shared" si="34"/>
        <v>225417.37788709928</v>
      </c>
      <c r="AV71" s="131">
        <f t="shared" si="34"/>
        <v>226168.76914672297</v>
      </c>
      <c r="AW71" s="131">
        <f t="shared" si="34"/>
        <v>226922.66504387875</v>
      </c>
      <c r="AX71" s="131">
        <f t="shared" si="34"/>
        <v>227679.07392735837</v>
      </c>
      <c r="AY71" s="131">
        <f t="shared" si="34"/>
        <v>228438.00417378292</v>
      </c>
      <c r="AZ71" s="131">
        <f t="shared" si="34"/>
        <v>229199.46418769556</v>
      </c>
      <c r="BA71" s="131">
        <f t="shared" si="34"/>
        <v>229963.46240165454</v>
      </c>
      <c r="BB71" s="131">
        <f t="shared" si="34"/>
        <v>230730.00727632674</v>
      </c>
      <c r="BC71" s="131">
        <f t="shared" si="34"/>
        <v>231499.10730058115</v>
      </c>
      <c r="BD71" s="131">
        <f t="shared" si="34"/>
        <v>232270.77099158315</v>
      </c>
      <c r="BE71" s="131">
        <f t="shared" si="34"/>
        <v>233045.00689488841</v>
      </c>
      <c r="BF71" s="131">
        <f t="shared" si="34"/>
        <v>233821.8235845381</v>
      </c>
      <c r="BG71" s="131">
        <f t="shared" si="34"/>
        <v>234601.22966315318</v>
      </c>
      <c r="BH71" s="131">
        <f t="shared" si="34"/>
        <v>235383.23376203037</v>
      </c>
      <c r="BI71" s="131">
        <f t="shared" si="34"/>
        <v>236167.84454123719</v>
      </c>
      <c r="BJ71" s="131">
        <f t="shared" si="34"/>
        <v>236955.07068970799</v>
      </c>
      <c r="BK71" s="131">
        <f t="shared" si="34"/>
        <v>237744.92092534035</v>
      </c>
      <c r="BL71" s="131">
        <f t="shared" si="34"/>
        <v>238537.4039950915</v>
      </c>
      <c r="BM71" s="131">
        <f t="shared" si="34"/>
        <v>239332.52867507513</v>
      </c>
      <c r="BO71" s="94">
        <f>SUM(F71:BM71)</f>
        <v>12450691.131197385</v>
      </c>
      <c r="BP71" s="94">
        <f t="shared" si="8"/>
        <v>1815600</v>
      </c>
      <c r="BQ71" s="94">
        <f t="shared" si="9"/>
        <v>2501693.7014467642</v>
      </c>
      <c r="BR71" s="94">
        <f t="shared" si="10"/>
        <v>2603616.5627564271</v>
      </c>
      <c r="BS71" s="94">
        <f t="shared" si="11"/>
        <v>2709691.9186946461</v>
      </c>
      <c r="BT71" s="94">
        <f t="shared" si="12"/>
        <v>2820088.9482995532</v>
      </c>
      <c r="BU71" s="94">
        <f t="shared" si="13"/>
        <v>12450691.131197389</v>
      </c>
    </row>
    <row r="72" spans="1:73">
      <c r="C72" s="27" t="s">
        <v>210</v>
      </c>
      <c r="D72" s="29" t="s">
        <v>109</v>
      </c>
      <c r="E72" s="40"/>
      <c r="F72" s="91">
        <v>1.1000000000000001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</row>
    <row r="73" spans="1:73">
      <c r="C73" s="41"/>
      <c r="D73" s="29"/>
      <c r="E73" s="40"/>
      <c r="F73" s="91">
        <v>2.1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</row>
    <row r="74" spans="1:73">
      <c r="C74" s="41"/>
      <c r="D74" s="42"/>
      <c r="Q74" s="95"/>
      <c r="AC74" s="95"/>
      <c r="AO74" s="95"/>
      <c r="BA74" s="95"/>
    </row>
    <row r="75" spans="1:73">
      <c r="A75" s="138"/>
      <c r="B75" s="138"/>
      <c r="C75" s="108" t="s">
        <v>203</v>
      </c>
      <c r="D75" s="139"/>
      <c r="E75" s="139"/>
      <c r="F75" s="131">
        <f>(F48+F54+F57+F62+F64+F68+F71)*'Вход и предположения'!$E$25</f>
        <v>20016.036599999999</v>
      </c>
      <c r="G75" s="131">
        <f>(G48+G54+G57+G62+G64+G68+G71)*'Вход и предположения'!$E$25</f>
        <v>19468.681564999999</v>
      </c>
      <c r="H75" s="131">
        <f>(H48+H54+H57+H62+H64+H68+H71)*'Вход и предположения'!$E$25</f>
        <v>20168.090380520833</v>
      </c>
      <c r="I75" s="131">
        <f>(I48+I54+I57+I62+I64+I68+I71)*'Вход и предположения'!$E$25</f>
        <v>20867.577973439671</v>
      </c>
      <c r="J75" s="131">
        <f>(J48+J54+J57+J62+J64+J68+J71)*'Вход и предположения'!$E$25</f>
        <v>20886.642431995668</v>
      </c>
      <c r="K75" s="131">
        <f>(K48+K54+K57+K62+K64+K68+K71)*'Вход и предположения'!$E$25</f>
        <v>20905.786325795652</v>
      </c>
      <c r="L75" s="131">
        <f>(L48+L54+L57+L62+L64+L68+L71)*'Вход и предположения'!$E$25</f>
        <v>20925.009985819801</v>
      </c>
      <c r="M75" s="131">
        <f>(M48+M54+M57+M62+M64+M68+M71)*'Вход и предположения'!$E$25</f>
        <v>20944.313744427385</v>
      </c>
      <c r="N75" s="131">
        <f>(N48+N54+N57+N62+N64+N68+N71)*'Вход и предположения'!$E$25</f>
        <v>20969.213855362497</v>
      </c>
      <c r="O75" s="131">
        <f>(O48+O54+O57+O62+O64+O68+O71)*'Вход и предположения'!$E$25</f>
        <v>20983.162893759843</v>
      </c>
      <c r="P75" s="131">
        <f>(P48+P54+P57+P62+P64+P68+P71)*'Вход и предположения'!$E$25</f>
        <v>21008.224876150507</v>
      </c>
      <c r="Q75" s="131">
        <f>(Q48+Q54+Q57+Q62+Q64+Q68+Q71)*'Вход и предположения'!$E$25</f>
        <v>21027.852380467797</v>
      </c>
      <c r="R75" s="131">
        <f>(R48+R54+R57+R62+R64+R68+R71)*'Вход и предположения'!$E$25</f>
        <v>22456.103934053081</v>
      </c>
      <c r="S75" s="131">
        <f>(S48+S54+S57+S62+S64+S68+S71)*'Вход и предположения'!$E$25</f>
        <v>22529.12589535497</v>
      </c>
      <c r="T75" s="131">
        <f>(T48+T54+T57+T62+T64+T68+T71)*'Вход и предположения'!$E$25</f>
        <v>22609.349109368741</v>
      </c>
      <c r="U75" s="131">
        <f>(U48+U54+U57+U62+U64+U68+U71)*'Вход и предположения'!$E$25</f>
        <v>22675.950451142216</v>
      </c>
      <c r="V75" s="131">
        <f>(V48+V54+V57+V62+V64+V68+V71)*'Вход и предположения'!$E$25</f>
        <v>22756.742625283165</v>
      </c>
      <c r="W75" s="131">
        <f>(W48+W54+W57+W62+W64+W68+W71)*'Вход и предположения'!$E$25</f>
        <v>22823.822101878632</v>
      </c>
      <c r="X75" s="131">
        <f>(X48+X54+X57+X62+X64+X68+X71)*'Вход и предположения'!$E$25</f>
        <v>22905.187313174352</v>
      </c>
      <c r="Y75" s="131">
        <f>(Y48+Y54+Y57+Y62+Y64+Y68+Y71)*'Вход и предположения'!$E$25</f>
        <v>22972.748396265026</v>
      </c>
      <c r="Z75" s="131">
        <f>(Z48+Z54+Z57+Z62+Z64+Z68+Z71)*'Вход и предположения'!$E$25</f>
        <v>23054.690751287089</v>
      </c>
      <c r="AA75" s="131">
        <f>(AA48+AA54+AA57+AA62+AA64+AA68+AA71)*'Вход и предположения'!$E$25</f>
        <v>23122.736938057387</v>
      </c>
      <c r="AB75" s="131">
        <f>(AB48+AB54+AB57+AB62+AB64+AB68+AB71)*'Вход и предположения'!$E$25</f>
        <v>23205.260573137948</v>
      </c>
      <c r="AC75" s="131">
        <f>(AC48+AC54+AC57+AC62+AC64+AC68+AC71)*'Вход и предположения'!$E$25</f>
        <v>23273.795386473281</v>
      </c>
      <c r="AD75" s="131">
        <f>(AD48+AD54+AD57+AD62+AD64+AD68+AD71)*'Вход и предположения'!$E$25</f>
        <v>23349.728234436534</v>
      </c>
      <c r="AE75" s="131">
        <f>(AE48+AE54+AE57+AE62+AE64+AE68+AE71)*'Вход и предположения'!$E$25</f>
        <v>23425.931456601371</v>
      </c>
      <c r="AF75" s="131">
        <f>(AF48+AF54+AF57+AF62+AF64+AF68+AF71)*'Вход и предположения'!$E$25</f>
        <v>23509.630180930741</v>
      </c>
      <c r="AG75" s="131">
        <f>(AG48+AG54+AG57+AG62+AG64+AG68+AG71)*'Вход и предположения'!$E$25</f>
        <v>23579.152919813951</v>
      </c>
      <c r="AH75" s="131">
        <f>(AH48+AH54+AH57+AH62+AH64+AH68+AH71)*'Вход и предположения'!$E$25</f>
        <v>23656.173117873048</v>
      </c>
      <c r="AI75" s="131">
        <f>(AI48+AI54+AI57+AI62+AI64+AI68+AI71)*'Вход и предположения'!$E$25</f>
        <v>23733.467604182584</v>
      </c>
      <c r="AJ75" s="131">
        <f>(AJ48+AJ54+AJ57+AJ62+AJ64+AJ68+AJ71)*'Вход и предположения'!$E$25</f>
        <v>23825.679285228503</v>
      </c>
      <c r="AK75" s="131">
        <f>(AK48+AK54+AK57+AK62+AK64+AK68+AK71)*'Вход и предположения'!$E$25</f>
        <v>23888.883394896839</v>
      </c>
      <c r="AL75" s="131">
        <f>(AL48+AL54+AL57+AL62+AL64+AL68+AL71)*'Вход и предположения'!$E$25</f>
        <v>23967.006684977277</v>
      </c>
      <c r="AM75" s="131">
        <f>(AM48+AM54+AM57+AM62+AM64+AM68+AM71)*'Вход и предположения'!$E$25</f>
        <v>24045.408234686165</v>
      </c>
      <c r="AN75" s="131">
        <f>(AN48+AN54+AN57+AN62+AN64+AN68+AN71)*'Вход и предположения'!$E$25</f>
        <v>24131.508107392652</v>
      </c>
      <c r="AO75" s="131">
        <f>(AO48+AO54+AO57+AO62+AO64+AO68+AO71)*'Вход и предположения'!$E$25</f>
        <v>24210.493915917432</v>
      </c>
      <c r="AP75" s="131">
        <f>(AP48+AP54+AP57+AP62+AP64+AP68+AP71)*'Вход и предположения'!$E$25</f>
        <v>24282.292478859898</v>
      </c>
      <c r="AQ75" s="131">
        <f>(AQ48+AQ54+AQ57+AQ62+AQ64+AQ68+AQ71)*'Вход и предположения'!$E$25</f>
        <v>24369.310622319685</v>
      </c>
      <c r="AR75" s="131">
        <f>(AR48+AR54+AR57+AR62+AR64+AR68+AR71)*'Вход и предположения'!$E$25</f>
        <v>24441.625072227496</v>
      </c>
      <c r="AS75" s="131">
        <f>(AS48+AS54+AS57+AS62+AS64+AS68+AS71)*'Вход и предположения'!$E$25</f>
        <v>24521.717347845046</v>
      </c>
      <c r="AT75" s="131">
        <f>(AT48+AT54+AT57+AT62+AT64+AT68+AT71)*'Вход и предположения'!$E$25</f>
        <v>24609.663658231424</v>
      </c>
      <c r="AU75" s="131">
        <f>(AU48+AU54+AU57+AU62+AU64+AU68+AU71)*'Вход и предположения'!$E$25</f>
        <v>24682.758976969541</v>
      </c>
      <c r="AV75" s="131">
        <f>(AV48+AV54+AV57+AV62+AV64+AV68+AV71)*'Вход и предположения'!$E$25</f>
        <v>24763.710389686636</v>
      </c>
      <c r="AW75" s="131">
        <f>(AW48+AW54+AW57+AW62+AW64+AW68+AW71)*'Вход и предположения'!$E$25</f>
        <v>24844.950246902208</v>
      </c>
      <c r="AX75" s="131">
        <f>(AX48+AX54+AX57+AX62+AX64+AX68+AX71)*'Вход и предположения'!$E$25</f>
        <v>24926.479587624821</v>
      </c>
      <c r="AY75" s="131">
        <f>(AY48+AY54+AY57+AY62+AY64+AY68+AY71)*'Вход и предположения'!$E$25</f>
        <v>25008.299454649416</v>
      </c>
      <c r="AZ75" s="131">
        <f>(AZ48+AZ54+AZ57+AZ62+AZ64+AZ68+AZ71)*'Вход и предположения'!$E$25</f>
        <v>25090.410894571316</v>
      </c>
      <c r="BA75" s="131">
        <f>(BA48+BA54+BA57+BA62+BA64+BA68+BA71)*'Вход и предположения'!$E$25</f>
        <v>25172.814957800205</v>
      </c>
      <c r="BB75" s="131">
        <f>(BB48+BB54+BB57+BB62+BB64+BB68+BB71)*'Вход и предположения'!$E$25</f>
        <v>25255.512698574228</v>
      </c>
      <c r="BC75" s="131">
        <f>(BC48+BC54+BC57+BC62+BC64+BC68+BC71)*'Вход и предположения'!$E$25</f>
        <v>25338.505174974074</v>
      </c>
      <c r="BD75" s="131">
        <f>(BD48+BD54+BD57+BD62+BD64+BD68+BD71)*'Вход и предположения'!$E$25</f>
        <v>25421.793448937216</v>
      </c>
      <c r="BE75" s="131">
        <f>(BE48+BE54+BE57+BE62+BE64+BE68+BE71)*'Вход и предположения'!$E$25</f>
        <v>25513.229461298492</v>
      </c>
      <c r="BF75" s="131">
        <f>(BF48+BF54+BF57+BF62+BF64+BF68+BF71)*'Вход и предположения'!$E$25</f>
        <v>25589.261656672425</v>
      </c>
      <c r="BG75" s="131">
        <f>(BG48+BG54+BG57+BG62+BG64+BG68+BG71)*'Вход и предположения'!$E$25</f>
        <v>25681.347035156683</v>
      </c>
      <c r="BH75" s="131">
        <f>(BH48+BH54+BH57+BH62+BH64+BH68+BH71)*'Вход и предположения'!$E$25</f>
        <v>25757.925894956621</v>
      </c>
      <c r="BI75" s="131">
        <f>(BI48+BI54+BI57+BI62+BI64+BI68+BI71)*'Вход и предположения'!$E$25</f>
        <v>25842.70922178352</v>
      </c>
      <c r="BJ75" s="131">
        <f>(BJ48+BJ54+BJ57+BJ62+BJ64+BJ68+BJ71)*'Вход и предположения'!$E$25</f>
        <v>25943.759995941913</v>
      </c>
      <c r="BK75" s="131">
        <f>(BK48+BK54+BK57+BK62+BK64+BK68+BK71)*'Вход и предположения'!$E$25</f>
        <v>26013.183717714775</v>
      </c>
      <c r="BL75" s="131">
        <f>(BL48+BL54+BL57+BL62+BL64+BL68+BL71)*'Вход и предположения'!$E$25</f>
        <v>26106.912973655748</v>
      </c>
      <c r="BM75" s="131">
        <f>(BM48+BM54+BM57+BM62+BM64+BM68+BM71)*'Вход и предположения'!$E$25</f>
        <v>26184.875952132072</v>
      </c>
      <c r="BO75" s="94">
        <f t="shared" ref="BO75:BO93" si="35">SUM(F75:BM75)</f>
        <v>1413242.2205446383</v>
      </c>
      <c r="BP75" s="94">
        <f t="shared" ref="BP75:BP93" si="36">SUM(F75:Q75)</f>
        <v>248170.59301273967</v>
      </c>
      <c r="BQ75" s="94">
        <f t="shared" ref="BQ75:BQ109" si="37">SUM(R75:AC75)</f>
        <v>274385.51347547595</v>
      </c>
      <c r="BR75" s="94">
        <f t="shared" ref="BR75:BR109" si="38">SUM(AD75:AO75)</f>
        <v>285323.06313693704</v>
      </c>
      <c r="BS75" s="94">
        <f t="shared" ref="BS75:BS109" si="39">SUM(AP75:BA75)</f>
        <v>296714.03368768771</v>
      </c>
      <c r="BT75" s="94">
        <f t="shared" ref="BT75:BT109" si="40">SUM(BB75:BM75)</f>
        <v>308649.01723179774</v>
      </c>
      <c r="BU75" s="94">
        <f t="shared" ref="BU75:BU93" si="41">SUM(BP75:BT75)</f>
        <v>1413242.2205446381</v>
      </c>
    </row>
    <row r="76" spans="1:73">
      <c r="C76" s="41"/>
      <c r="D76" s="42"/>
      <c r="Q76" s="95"/>
      <c r="AC76" s="95"/>
      <c r="AO76" s="95"/>
      <c r="BA76" s="95"/>
    </row>
    <row r="77" spans="1:73">
      <c r="A77" s="138"/>
      <c r="B77" s="138"/>
      <c r="C77" s="108" t="s">
        <v>204</v>
      </c>
      <c r="D77" s="139"/>
      <c r="E77" s="139"/>
      <c r="F77" s="131">
        <f>$F$78*$F$79*F42</f>
        <v>3737.28</v>
      </c>
      <c r="G77" s="131">
        <f t="shared" ref="G77:BM77" si="42">$F$78*$F$79*G42</f>
        <v>5545.92</v>
      </c>
      <c r="H77" s="131">
        <f t="shared" si="42"/>
        <v>6450.2399999999989</v>
      </c>
      <c r="I77" s="131">
        <f t="shared" si="42"/>
        <v>7354.56</v>
      </c>
      <c r="J77" s="131">
        <f t="shared" si="42"/>
        <v>7354.56</v>
      </c>
      <c r="K77" s="131">
        <f t="shared" si="42"/>
        <v>7354.56</v>
      </c>
      <c r="L77" s="131">
        <f t="shared" si="42"/>
        <v>7354.56</v>
      </c>
      <c r="M77" s="131">
        <f t="shared" si="42"/>
        <v>7354.56</v>
      </c>
      <c r="N77" s="131">
        <f t="shared" si="42"/>
        <v>7354.56</v>
      </c>
      <c r="O77" s="131">
        <f t="shared" si="42"/>
        <v>7354.56</v>
      </c>
      <c r="P77" s="131">
        <f t="shared" si="42"/>
        <v>7354.56</v>
      </c>
      <c r="Q77" s="131">
        <f t="shared" si="42"/>
        <v>7354.56</v>
      </c>
      <c r="R77" s="131">
        <f t="shared" si="42"/>
        <v>9193.7440000000006</v>
      </c>
      <c r="S77" s="131">
        <f t="shared" si="42"/>
        <v>9224.3898133333369</v>
      </c>
      <c r="T77" s="131">
        <f t="shared" si="42"/>
        <v>9255.1377793777829</v>
      </c>
      <c r="U77" s="131">
        <f t="shared" si="42"/>
        <v>9285.9882386423742</v>
      </c>
      <c r="V77" s="131">
        <f t="shared" si="42"/>
        <v>9316.9415327711831</v>
      </c>
      <c r="W77" s="131">
        <f t="shared" si="42"/>
        <v>9347.9980045470911</v>
      </c>
      <c r="X77" s="131">
        <f t="shared" si="42"/>
        <v>9379.1579978955797</v>
      </c>
      <c r="Y77" s="131">
        <f t="shared" si="42"/>
        <v>9410.4218578885666</v>
      </c>
      <c r="Z77" s="131">
        <f t="shared" si="42"/>
        <v>9441.7899307481948</v>
      </c>
      <c r="AA77" s="131">
        <f t="shared" si="42"/>
        <v>9473.2625638506906</v>
      </c>
      <c r="AB77" s="131">
        <f t="shared" si="42"/>
        <v>9504.8401057301908</v>
      </c>
      <c r="AC77" s="131">
        <f t="shared" si="42"/>
        <v>9536.5229060826241</v>
      </c>
      <c r="AD77" s="131">
        <f t="shared" si="42"/>
        <v>9568.311315769568</v>
      </c>
      <c r="AE77" s="131">
        <f t="shared" si="42"/>
        <v>9600.2056868221352</v>
      </c>
      <c r="AF77" s="131">
        <f t="shared" si="42"/>
        <v>9632.2063724448763</v>
      </c>
      <c r="AG77" s="131">
        <f t="shared" si="42"/>
        <v>9664.3137270196912</v>
      </c>
      <c r="AH77" s="131">
        <f t="shared" si="42"/>
        <v>9696.5281061097612</v>
      </c>
      <c r="AI77" s="131">
        <f t="shared" si="42"/>
        <v>9728.849866463459</v>
      </c>
      <c r="AJ77" s="131">
        <f t="shared" si="42"/>
        <v>9761.2793660183379</v>
      </c>
      <c r="AK77" s="131">
        <f t="shared" si="42"/>
        <v>9793.8169639050684</v>
      </c>
      <c r="AL77" s="131">
        <f t="shared" si="42"/>
        <v>9826.463020451416</v>
      </c>
      <c r="AM77" s="131">
        <f t="shared" si="42"/>
        <v>9859.2178971862577</v>
      </c>
      <c r="AN77" s="131">
        <f t="shared" si="42"/>
        <v>9892.0819568435436</v>
      </c>
      <c r="AO77" s="131">
        <f t="shared" si="42"/>
        <v>9925.0555633663553</v>
      </c>
      <c r="AP77" s="131">
        <f t="shared" si="42"/>
        <v>9958.139081910911</v>
      </c>
      <c r="AQ77" s="131">
        <f t="shared" si="42"/>
        <v>9991.3328788506151</v>
      </c>
      <c r="AR77" s="131">
        <f t="shared" si="42"/>
        <v>10024.637321780117</v>
      </c>
      <c r="AS77" s="131">
        <f t="shared" si="42"/>
        <v>10058.052779519385</v>
      </c>
      <c r="AT77" s="131">
        <f t="shared" si="42"/>
        <v>10091.579622117784</v>
      </c>
      <c r="AU77" s="131">
        <f t="shared" si="42"/>
        <v>10125.218220858178</v>
      </c>
      <c r="AV77" s="131">
        <f t="shared" si="42"/>
        <v>10158.968948261039</v>
      </c>
      <c r="AW77" s="131">
        <f t="shared" si="42"/>
        <v>10192.832178088578</v>
      </c>
      <c r="AX77" s="131">
        <f t="shared" si="42"/>
        <v>10226.808285348876</v>
      </c>
      <c r="AY77" s="131">
        <f t="shared" si="42"/>
        <v>10260.897646300038</v>
      </c>
      <c r="AZ77" s="131">
        <f t="shared" si="42"/>
        <v>10295.100638454374</v>
      </c>
      <c r="BA77" s="131">
        <f t="shared" si="42"/>
        <v>10329.417640582555</v>
      </c>
      <c r="BB77" s="131">
        <f t="shared" si="42"/>
        <v>10363.849032717832</v>
      </c>
      <c r="BC77" s="131">
        <f t="shared" si="42"/>
        <v>10398.395196160223</v>
      </c>
      <c r="BD77" s="131">
        <f t="shared" si="42"/>
        <v>10433.056513480758</v>
      </c>
      <c r="BE77" s="131">
        <f t="shared" si="42"/>
        <v>10467.833368525693</v>
      </c>
      <c r="BF77" s="131">
        <f t="shared" si="42"/>
        <v>10502.72614642078</v>
      </c>
      <c r="BG77" s="131">
        <f t="shared" si="42"/>
        <v>10537.735233575517</v>
      </c>
      <c r="BH77" s="131">
        <f t="shared" si="42"/>
        <v>10572.861017687437</v>
      </c>
      <c r="BI77" s="131">
        <f t="shared" si="42"/>
        <v>10608.103887746398</v>
      </c>
      <c r="BJ77" s="131">
        <f t="shared" si="42"/>
        <v>10643.464234038884</v>
      </c>
      <c r="BK77" s="131">
        <f t="shared" si="42"/>
        <v>10678.942448152347</v>
      </c>
      <c r="BL77" s="131">
        <f t="shared" si="42"/>
        <v>10714.53892297952</v>
      </c>
      <c r="BM77" s="131">
        <f t="shared" si="42"/>
        <v>10750.254052722787</v>
      </c>
      <c r="BO77" s="94">
        <f t="shared" si="35"/>
        <v>559627.74986954872</v>
      </c>
      <c r="BP77" s="94">
        <f t="shared" si="36"/>
        <v>81924.479999999996</v>
      </c>
      <c r="BQ77" s="94">
        <f t="shared" si="37"/>
        <v>112370.19473086763</v>
      </c>
      <c r="BR77" s="94">
        <f t="shared" si="38"/>
        <v>116948.32984240048</v>
      </c>
      <c r="BS77" s="94">
        <f t="shared" si="39"/>
        <v>121712.98524207245</v>
      </c>
      <c r="BT77" s="94">
        <f t="shared" si="40"/>
        <v>126671.76005420818</v>
      </c>
      <c r="BU77" s="94">
        <f t="shared" si="41"/>
        <v>559627.74986954872</v>
      </c>
    </row>
    <row r="78" spans="1:73">
      <c r="C78" s="41" t="s">
        <v>133</v>
      </c>
      <c r="D78" s="42" t="s">
        <v>109</v>
      </c>
      <c r="F78" s="91">
        <f>'Вход и предположения'!E34</f>
        <v>0.4</v>
      </c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</row>
    <row r="79" spans="1:73">
      <c r="C79" s="27" t="s">
        <v>134</v>
      </c>
      <c r="D79" s="42" t="s">
        <v>109</v>
      </c>
      <c r="F79" s="91">
        <f>'Вход и предположения'!E35</f>
        <v>0.02</v>
      </c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</row>
    <row r="80" spans="1:73">
      <c r="C80" s="41"/>
      <c r="D80" s="42"/>
      <c r="Q80" s="95"/>
      <c r="AC80" s="95"/>
      <c r="AO80" s="95"/>
      <c r="BA80" s="95"/>
    </row>
    <row r="81" spans="1:73">
      <c r="A81" s="138"/>
      <c r="B81" s="138"/>
      <c r="C81" s="108" t="s">
        <v>205</v>
      </c>
      <c r="D81" s="139"/>
      <c r="E81" s="139"/>
      <c r="F81" s="131">
        <f>F6*'Вход и предположения'!$E$37</f>
        <v>1500</v>
      </c>
      <c r="G81" s="131">
        <f>G6*'Вход и предположения'!$E$37</f>
        <v>1500</v>
      </c>
      <c r="H81" s="131">
        <f>H6*'Вход и предположения'!$E$37</f>
        <v>1500</v>
      </c>
      <c r="I81" s="131">
        <f>I6*'Вход и предположения'!$E$37</f>
        <v>1500</v>
      </c>
      <c r="J81" s="131">
        <f>J6*'Вход и предположения'!$E$37</f>
        <v>1500</v>
      </c>
      <c r="K81" s="131">
        <f>K6*'Вход и предположения'!$E$37</f>
        <v>1500</v>
      </c>
      <c r="L81" s="131">
        <f>L6*'Вход и предположения'!$E$37</f>
        <v>1500</v>
      </c>
      <c r="M81" s="131">
        <f>M6*'Вход и предположения'!$E$37</f>
        <v>1500</v>
      </c>
      <c r="N81" s="131">
        <f>N6*'Вход и предположения'!$E$37</f>
        <v>1500</v>
      </c>
      <c r="O81" s="131">
        <f>O6*'Вход и предположения'!$E$37</f>
        <v>1500</v>
      </c>
      <c r="P81" s="131">
        <f>P6*'Вход и предположения'!$E$37</f>
        <v>1500</v>
      </c>
      <c r="Q81" s="131">
        <f>Q6*'Вход и предположения'!$E$37</f>
        <v>1500</v>
      </c>
      <c r="R81" s="131">
        <f>R6*'Вход и предположения'!$E$37</f>
        <v>1505.0000000000002</v>
      </c>
      <c r="S81" s="131">
        <f>S6*'Вход и предположения'!$E$37</f>
        <v>1510.0166666666671</v>
      </c>
      <c r="T81" s="131">
        <f>T6*'Вход и предположения'!$E$37</f>
        <v>1515.0500555555561</v>
      </c>
      <c r="U81" s="131">
        <f>U6*'Вход и предположения'!$E$37</f>
        <v>1520.1002224074082</v>
      </c>
      <c r="V81" s="131">
        <f>V6*'Вход и предположения'!$E$37</f>
        <v>1525.1672231487664</v>
      </c>
      <c r="W81" s="131">
        <f>W6*'Вход и предположения'!$E$37</f>
        <v>1530.2511138925959</v>
      </c>
      <c r="X81" s="131">
        <f>X6*'Вход и предположения'!$E$37</f>
        <v>1535.3519509389046</v>
      </c>
      <c r="Y81" s="131">
        <f>Y6*'Вход и предположения'!$E$37</f>
        <v>1540.4697907753678</v>
      </c>
      <c r="Z81" s="131">
        <f>Z6*'Вход и предположения'!$E$37</f>
        <v>1545.6046900779522</v>
      </c>
      <c r="AA81" s="131">
        <f>AA6*'Вход и предположения'!$E$37</f>
        <v>1550.7567057115455</v>
      </c>
      <c r="AB81" s="131">
        <f>AB6*'Вход и предположения'!$E$37</f>
        <v>1555.9258947305839</v>
      </c>
      <c r="AC81" s="131">
        <f>AC6*'Вход и предположения'!$E$37</f>
        <v>1561.1123143796858</v>
      </c>
      <c r="AD81" s="131">
        <f>AD6*'Вход и предположения'!$E$37</f>
        <v>1566.316022094285</v>
      </c>
      <c r="AE81" s="131">
        <f>AE6*'Вход и предположения'!$E$37</f>
        <v>1571.5370755012661</v>
      </c>
      <c r="AF81" s="131">
        <f>AF6*'Вход и предположения'!$E$37</f>
        <v>1576.7755324196037</v>
      </c>
      <c r="AG81" s="131">
        <f>AG6*'Вход и предположения'!$E$37</f>
        <v>1582.0314508610024</v>
      </c>
      <c r="AH81" s="131">
        <f>AH6*'Вход и предположения'!$E$37</f>
        <v>1587.3048890305395</v>
      </c>
      <c r="AI81" s="131">
        <f>AI6*'Вход и предположения'!$E$37</f>
        <v>1592.5959053273079</v>
      </c>
      <c r="AJ81" s="131">
        <f>AJ6*'Вход и предположения'!$E$37</f>
        <v>1597.9045583450657</v>
      </c>
      <c r="AK81" s="131">
        <f>AK6*'Вход и предположения'!$E$37</f>
        <v>1603.2309068728825</v>
      </c>
      <c r="AL81" s="131">
        <f>AL6*'Вход и предположения'!$E$37</f>
        <v>1608.5750098957924</v>
      </c>
      <c r="AM81" s="131">
        <f>AM6*'Вход и предположения'!$E$37</f>
        <v>1613.9369265954451</v>
      </c>
      <c r="AN81" s="131">
        <f>AN6*'Вход и предположения'!$E$37</f>
        <v>1619.3167163507635</v>
      </c>
      <c r="AO81" s="131">
        <f>AO6*'Вход и предположения'!$E$37</f>
        <v>1624.7144387385993</v>
      </c>
      <c r="AP81" s="131">
        <f>AP6*'Вход и предположения'!$E$37</f>
        <v>1630.1301535343948</v>
      </c>
      <c r="AQ81" s="131">
        <f>AQ6*'Вход и предположения'!$E$37</f>
        <v>1635.5639207128429</v>
      </c>
      <c r="AR81" s="131">
        <f>AR6*'Вход и предположения'!$E$37</f>
        <v>1641.0158004485522</v>
      </c>
      <c r="AS81" s="131">
        <f>AS6*'Вход и предположения'!$E$37</f>
        <v>1646.4858531167145</v>
      </c>
      <c r="AT81" s="131">
        <f>AT6*'Вход и предположения'!$E$37</f>
        <v>1651.9741392937701</v>
      </c>
      <c r="AU81" s="131">
        <f>AU6*'Вход и предположения'!$E$37</f>
        <v>1657.4807197580831</v>
      </c>
      <c r="AV81" s="131">
        <f>AV6*'Вход и предположения'!$E$37</f>
        <v>1663.0056554906103</v>
      </c>
      <c r="AW81" s="131">
        <f>AW6*'Вход и предположения'!$E$37</f>
        <v>1668.5490076755791</v>
      </c>
      <c r="AX81" s="131">
        <f>AX6*'Вход и предположения'!$E$37</f>
        <v>1674.1108377011647</v>
      </c>
      <c r="AY81" s="131">
        <f>AY6*'Вход и предположения'!$E$37</f>
        <v>1679.6912071601687</v>
      </c>
      <c r="AZ81" s="131">
        <f>AZ6*'Вход и предположения'!$E$37</f>
        <v>1685.2901778507028</v>
      </c>
      <c r="BA81" s="131">
        <f>BA6*'Вход и предположения'!$E$37</f>
        <v>1690.9078117768718</v>
      </c>
      <c r="BB81" s="131">
        <f>BB6*'Вход и предположения'!$E$37</f>
        <v>1696.5441711494614</v>
      </c>
      <c r="BC81" s="131">
        <f>BC6*'Вход и предположения'!$E$37</f>
        <v>1702.1993183866264</v>
      </c>
      <c r="BD81" s="131">
        <f>BD6*'Вход и предположения'!$E$37</f>
        <v>1707.8733161145817</v>
      </c>
      <c r="BE81" s="131">
        <f>BE6*'Вход и предположения'!$E$37</f>
        <v>1713.5662271682972</v>
      </c>
      <c r="BF81" s="131">
        <f>BF6*'Вход и предположения'!$E$37</f>
        <v>1719.2781145921917</v>
      </c>
      <c r="BG81" s="131">
        <f>BG6*'Вход и предположения'!$E$37</f>
        <v>1725.0090416408325</v>
      </c>
      <c r="BH81" s="131">
        <f>BH6*'Вход и предположения'!$E$37</f>
        <v>1730.7590717796354</v>
      </c>
      <c r="BI81" s="131">
        <f>BI6*'Вход и предположения'!$E$37</f>
        <v>1736.5282686855676</v>
      </c>
      <c r="BJ81" s="131">
        <f>BJ6*'Вход и предположения'!$E$37</f>
        <v>1742.3166962478529</v>
      </c>
      <c r="BK81" s="131">
        <f>BK6*'Вход и предположения'!$E$37</f>
        <v>1748.1244185686792</v>
      </c>
      <c r="BL81" s="131">
        <f>BL6*'Вход и предположения'!$E$37</f>
        <v>1753.9514999639082</v>
      </c>
      <c r="BM81" s="131">
        <f>BM6*'Вход и предположения'!$E$37</f>
        <v>1759.7980049637879</v>
      </c>
      <c r="BO81" s="94">
        <f t="shared" si="35"/>
        <v>96199.199494098459</v>
      </c>
      <c r="BP81" s="94">
        <f t="shared" si="36"/>
        <v>18000</v>
      </c>
      <c r="BQ81" s="94">
        <f t="shared" si="37"/>
        <v>18394.806628285034</v>
      </c>
      <c r="BR81" s="94">
        <f t="shared" si="38"/>
        <v>19144.239432032555</v>
      </c>
      <c r="BS81" s="94">
        <f t="shared" si="39"/>
        <v>19924.205284519456</v>
      </c>
      <c r="BT81" s="94">
        <f t="shared" si="40"/>
        <v>20735.948149261425</v>
      </c>
      <c r="BU81" s="94">
        <f t="shared" si="41"/>
        <v>96199.199494098473</v>
      </c>
    </row>
    <row r="82" spans="1:73">
      <c r="C82" s="41"/>
      <c r="D82" s="42"/>
      <c r="Q82" s="95"/>
      <c r="AC82" s="95"/>
      <c r="AO82" s="95"/>
      <c r="BA82" s="95"/>
    </row>
    <row r="83" spans="1:73">
      <c r="A83" s="138"/>
      <c r="B83" s="138"/>
      <c r="C83" s="108" t="s">
        <v>231</v>
      </c>
      <c r="D83" s="139" t="s">
        <v>113</v>
      </c>
      <c r="E83" s="139"/>
      <c r="F83" s="131">
        <f>Нач.инв.!$G$15+Нач.инв.!$G$31+Нач.инв.!$H$47+Нач.инв.!$H$57</f>
        <v>3014.0000000000005</v>
      </c>
      <c r="G83" s="131">
        <f>Нач.инв.!$G$15+Нач.инв.!$G$31+Нач.инв.!$H$47+Нач.инв.!$H$57</f>
        <v>3014.0000000000005</v>
      </c>
      <c r="H83" s="131">
        <f>Нач.инв.!$G$15+Нач.инв.!$G$31+Нач.инв.!$H$47+Нач.инв.!$H$57</f>
        <v>3014.0000000000005</v>
      </c>
      <c r="I83" s="131">
        <f>Нач.инв.!$G$15+Нач.инв.!$G$31+Нач.инв.!$H$47+Нач.инв.!$H$57</f>
        <v>3014.0000000000005</v>
      </c>
      <c r="J83" s="131">
        <f>Нач.инв.!$G$15+Нач.инв.!$G$31+Нач.инв.!$H$47+Нач.инв.!$H$57</f>
        <v>3014.0000000000005</v>
      </c>
      <c r="K83" s="131">
        <f>Нач.инв.!$G$15+Нач.инв.!$G$31+Нач.инв.!$H$47+Нач.инв.!$H$57</f>
        <v>3014.0000000000005</v>
      </c>
      <c r="L83" s="131">
        <f>Нач.инв.!$G$15+Нач.инв.!$G$31+Нач.инв.!$H$47+Нач.инв.!$H$57</f>
        <v>3014.0000000000005</v>
      </c>
      <c r="M83" s="131">
        <f>Нач.инв.!$G$15+Нач.инв.!$G$31+Нач.инв.!$H$47+Нач.инв.!$H$57</f>
        <v>3014.0000000000005</v>
      </c>
      <c r="N83" s="131">
        <f>Нач.инв.!$G$15+Нач.инв.!$G$31+Нач.инв.!$H$47+Нач.инв.!$H$57</f>
        <v>3014.0000000000005</v>
      </c>
      <c r="O83" s="131">
        <f>Нач.инв.!$G$15+Нач.инв.!$G$31+Нач.инв.!$H$47+Нач.инв.!$H$57</f>
        <v>3014.0000000000005</v>
      </c>
      <c r="P83" s="131">
        <f>Нач.инв.!$G$15+Нач.инв.!$G$31+Нач.инв.!$H$47+Нач.инв.!$H$57</f>
        <v>3014.0000000000005</v>
      </c>
      <c r="Q83" s="131">
        <f>Нач.инв.!$G$15+Нач.инв.!$G$31+Нач.инв.!$H$47+Нач.инв.!$H$57</f>
        <v>3014.0000000000005</v>
      </c>
      <c r="R83" s="131">
        <f>Нач.инв.!$G$15+Нач.инв.!$G$31+Нач.инв.!$H$47+Нач.инв.!$H$57</f>
        <v>3014.0000000000005</v>
      </c>
      <c r="S83" s="131">
        <f>Нач.инв.!$G$15+Нач.инв.!$G$31+Нач.инв.!$H$47+Нач.инв.!$H$57</f>
        <v>3014.0000000000005</v>
      </c>
      <c r="T83" s="131">
        <f>Нач.инв.!$G$15+Нач.инв.!$G$31+Нач.инв.!$H$47+Нач.инв.!$H$57</f>
        <v>3014.0000000000005</v>
      </c>
      <c r="U83" s="131">
        <f>Нач.инв.!$G$15+Нач.инв.!$G$31+Нач.инв.!$H$47+Нач.инв.!$H$57</f>
        <v>3014.0000000000005</v>
      </c>
      <c r="V83" s="131">
        <f>Нач.инв.!$G$15+Нач.инв.!$G$31+Нач.инв.!$H$47+Нач.инв.!$H$57</f>
        <v>3014.0000000000005</v>
      </c>
      <c r="W83" s="131">
        <f>Нач.инв.!$G$15+Нач.инв.!$G$31+Нач.инв.!$H$47+Нач.инв.!$H$57</f>
        <v>3014.0000000000005</v>
      </c>
      <c r="X83" s="131">
        <f>Нач.инв.!$G$15+Нач.инв.!$G$31+Нач.инв.!$H$47+Нач.инв.!$H$57</f>
        <v>3014.0000000000005</v>
      </c>
      <c r="Y83" s="131">
        <f>Нач.инв.!$G$15+Нач.инв.!$G$31+Нач.инв.!$H$47+Нач.инв.!$H$57</f>
        <v>3014.0000000000005</v>
      </c>
      <c r="Z83" s="131">
        <f>Нач.инв.!$G$15+Нач.инв.!$G$31+Нач.инв.!$H$47+Нач.инв.!$H$57</f>
        <v>3014.0000000000005</v>
      </c>
      <c r="AA83" s="131">
        <f>Нач.инв.!$G$15+Нач.инв.!$G$31+Нач.инв.!$H$47+Нач.инв.!$H$57</f>
        <v>3014.0000000000005</v>
      </c>
      <c r="AB83" s="131">
        <f>Нач.инв.!$G$15+Нач.инв.!$G$31+Нач.инв.!$H$47+Нач.инв.!$H$57</f>
        <v>3014.0000000000005</v>
      </c>
      <c r="AC83" s="131">
        <f>Нач.инв.!$G$15+Нач.инв.!$G$31+Нач.инв.!$H$47+Нач.инв.!$H$57</f>
        <v>3014.0000000000005</v>
      </c>
      <c r="AD83" s="131">
        <f>Нач.инв.!$G$15+Нач.инв.!$G$31+Нач.инв.!$H$47+Нач.инв.!$H$57</f>
        <v>3014.0000000000005</v>
      </c>
      <c r="AE83" s="131">
        <f>Нач.инв.!$G$15+Нач.инв.!$G$31+Нач.инв.!$H$47+Нач.инв.!$H$57</f>
        <v>3014.0000000000005</v>
      </c>
      <c r="AF83" s="131">
        <f>Нач.инв.!$G$15+Нач.инв.!$G$31+Нач.инв.!$H$47+Нач.инв.!$H$57</f>
        <v>3014.0000000000005</v>
      </c>
      <c r="AG83" s="131">
        <f>Нач.инв.!$G$15+Нач.инв.!$G$31+Нач.инв.!$H$47+Нач.инв.!$H$57</f>
        <v>3014.0000000000005</v>
      </c>
      <c r="AH83" s="131">
        <f>Нач.инв.!$G$15+Нач.инв.!$G$31+Нач.инв.!$H$47+Нач.инв.!$H$57</f>
        <v>3014.0000000000005</v>
      </c>
      <c r="AI83" s="131">
        <f>Нач.инв.!$G$15+Нач.инв.!$G$31+Нач.инв.!$H$47+Нач.инв.!$H$57</f>
        <v>3014.0000000000005</v>
      </c>
      <c r="AJ83" s="131">
        <f>Нач.инв.!$G$15+Нач.инв.!$G$31+Нач.инв.!$H$47+Нач.инв.!$H$57</f>
        <v>3014.0000000000005</v>
      </c>
      <c r="AK83" s="131">
        <f>Нач.инв.!$G$15+Нач.инв.!$G$31+Нач.инв.!$H$47+Нач.инв.!$H$57</f>
        <v>3014.0000000000005</v>
      </c>
      <c r="AL83" s="131">
        <f>Нач.инв.!$G$15+Нач.инв.!$G$31+Нач.инв.!$H$47+Нач.инв.!$H$57</f>
        <v>3014.0000000000005</v>
      </c>
      <c r="AM83" s="131">
        <f>Нач.инв.!$G$15+Нач.инв.!$G$31+Нач.инв.!$H$47+Нач.инв.!$H$57</f>
        <v>3014.0000000000005</v>
      </c>
      <c r="AN83" s="131">
        <f>Нач.инв.!$G$15+Нач.инв.!$G$31+Нач.инв.!$H$47+Нач.инв.!$H$57</f>
        <v>3014.0000000000005</v>
      </c>
      <c r="AO83" s="131">
        <f>Нач.инв.!$G$15+Нач.инв.!$G$31+Нач.инв.!$H$47+Нач.инв.!$H$57</f>
        <v>3014.0000000000005</v>
      </c>
      <c r="AP83" s="131">
        <f>Нач.инв.!$G$15+Нач.инв.!$G$31+Нач.инв.!$H$47+Нач.инв.!$H$57</f>
        <v>3014.0000000000005</v>
      </c>
      <c r="AQ83" s="131">
        <f>Нач.инв.!$G$15+Нач.инв.!$G$31+Нач.инв.!$H$47+Нач.инв.!$H$57</f>
        <v>3014.0000000000005</v>
      </c>
      <c r="AR83" s="131">
        <f>Нач.инв.!$G$15+Нач.инв.!$G$31+Нач.инв.!$H$47+Нач.инв.!$H$57</f>
        <v>3014.0000000000005</v>
      </c>
      <c r="AS83" s="131">
        <f>Нач.инв.!$G$15+Нач.инв.!$G$31+Нач.инв.!$H$47+Нач.инв.!$H$57</f>
        <v>3014.0000000000005</v>
      </c>
      <c r="AT83" s="131">
        <f>Нач.инв.!$G$15+Нач.инв.!$G$31+Нач.инв.!$H$47+Нач.инв.!$H$57</f>
        <v>3014.0000000000005</v>
      </c>
      <c r="AU83" s="131">
        <f>Нач.инв.!$G$15+Нач.инв.!$G$31+Нач.инв.!$H$47+Нач.инв.!$H$57</f>
        <v>3014.0000000000005</v>
      </c>
      <c r="AV83" s="131">
        <f>Нач.инв.!$G$15+Нач.инв.!$G$31+Нач.инв.!$H$47+Нач.инв.!$H$57</f>
        <v>3014.0000000000005</v>
      </c>
      <c r="AW83" s="131">
        <f>Нач.инв.!$G$15+Нач.инв.!$G$31+Нач.инв.!$H$47+Нач.инв.!$H$57</f>
        <v>3014.0000000000005</v>
      </c>
      <c r="AX83" s="131">
        <f>Нач.инв.!$G$15+Нач.инв.!$G$31+Нач.инв.!$H$47+Нач.инв.!$H$57</f>
        <v>3014.0000000000005</v>
      </c>
      <c r="AY83" s="131">
        <f>Нач.инв.!$G$15+Нач.инв.!$G$31+Нач.инв.!$H$47+Нач.инв.!$H$57</f>
        <v>3014.0000000000005</v>
      </c>
      <c r="AZ83" s="131">
        <f>Нач.инв.!$G$15+Нач.инв.!$G$31+Нач.инв.!$H$47+Нач.инв.!$H$57</f>
        <v>3014.0000000000005</v>
      </c>
      <c r="BA83" s="131">
        <f>Нач.инв.!$G$15+Нач.инв.!$G$31+Нач.инв.!$H$47+Нач.инв.!$H$57</f>
        <v>3014.0000000000005</v>
      </c>
      <c r="BB83" s="131">
        <f>Нач.инв.!$G$15+Нач.инв.!$G$31+Нач.инв.!$H$47+Нач.инв.!$H$57</f>
        <v>3014.0000000000005</v>
      </c>
      <c r="BC83" s="131">
        <f>Нач.инв.!$G$15+Нач.инв.!$G$31+Нач.инв.!$H$47+Нач.инв.!$H$57</f>
        <v>3014.0000000000005</v>
      </c>
      <c r="BD83" s="131">
        <f>Нач.инв.!$G$15+Нач.инв.!$G$31+Нач.инв.!$H$47+Нач.инв.!$H$57</f>
        <v>3014.0000000000005</v>
      </c>
      <c r="BE83" s="131">
        <f>Нач.инв.!$G$15+Нач.инв.!$G$31+Нач.инв.!$H$47+Нач.инв.!$H$57</f>
        <v>3014.0000000000005</v>
      </c>
      <c r="BF83" s="131">
        <f>Нач.инв.!$G$15+Нач.инв.!$G$31+Нач.инв.!$H$47+Нач.инв.!$H$57</f>
        <v>3014.0000000000005</v>
      </c>
      <c r="BG83" s="131">
        <f>Нач.инв.!$G$15+Нач.инв.!$G$31+Нач.инв.!$H$47+Нач.инв.!$H$57</f>
        <v>3014.0000000000005</v>
      </c>
      <c r="BH83" s="131">
        <f>Нач.инв.!$G$15+Нач.инв.!$G$31+Нач.инв.!$H$47+Нач.инв.!$H$57</f>
        <v>3014.0000000000005</v>
      </c>
      <c r="BI83" s="131">
        <f>Нач.инв.!$G$15+Нач.инв.!$G$31+Нач.инв.!$H$47+Нач.инв.!$H$57</f>
        <v>3014.0000000000005</v>
      </c>
      <c r="BJ83" s="131">
        <f>Нач.инв.!$G$15+Нач.инв.!$G$31+Нач.инв.!$H$47+Нач.инв.!$H$57</f>
        <v>3014.0000000000005</v>
      </c>
      <c r="BK83" s="131">
        <f>Нач.инв.!$G$15+Нач.инв.!$G$31+Нач.инв.!$H$47+Нач.инв.!$H$57</f>
        <v>3014.0000000000005</v>
      </c>
      <c r="BL83" s="131">
        <f>Нач.инв.!$G$15+Нач.инв.!$G$31+Нач.инв.!$H$47+Нач.инв.!$H$57</f>
        <v>3014.0000000000005</v>
      </c>
      <c r="BM83" s="131">
        <f>Нач.инв.!$G$15+Нач.инв.!$G$31+Нач.инв.!$H$47+Нач.инв.!$H$57</f>
        <v>3014.0000000000005</v>
      </c>
      <c r="BO83" s="94">
        <f t="shared" si="35"/>
        <v>180840.00000000003</v>
      </c>
      <c r="BP83" s="94">
        <f t="shared" si="36"/>
        <v>36168.000000000007</v>
      </c>
      <c r="BQ83" s="94">
        <f t="shared" si="37"/>
        <v>36168.000000000007</v>
      </c>
      <c r="BR83" s="94">
        <f t="shared" si="38"/>
        <v>36168.000000000007</v>
      </c>
      <c r="BS83" s="94">
        <f t="shared" si="39"/>
        <v>36168.000000000007</v>
      </c>
      <c r="BT83" s="94">
        <f t="shared" si="40"/>
        <v>36168.000000000007</v>
      </c>
      <c r="BU83" s="94">
        <f t="shared" si="41"/>
        <v>180840.00000000003</v>
      </c>
    </row>
    <row r="84" spans="1:73">
      <c r="C84" s="41"/>
      <c r="D84" s="42"/>
      <c r="Q84" s="95"/>
      <c r="AC84" s="95"/>
      <c r="AO84" s="95"/>
      <c r="BA84" s="95"/>
    </row>
    <row r="85" spans="1:73">
      <c r="A85" s="138"/>
      <c r="B85" s="138"/>
      <c r="C85" s="108" t="s">
        <v>240</v>
      </c>
      <c r="D85" s="139" t="s">
        <v>113</v>
      </c>
      <c r="E85" s="139"/>
      <c r="F85" s="179">
        <f>'Вход и предположения'!E55</f>
        <v>6250</v>
      </c>
      <c r="G85" s="179">
        <f>'Вход и предположения'!F55</f>
        <v>6076.3888888888896</v>
      </c>
      <c r="H85" s="179">
        <f>'Вход и предположения'!G55</f>
        <v>5902.7777777777774</v>
      </c>
      <c r="I85" s="179">
        <f>'Вход и предположения'!H55</f>
        <v>5729.166666666667</v>
      </c>
      <c r="J85" s="179">
        <f>'Вход и предположения'!I55</f>
        <v>5555.5555555555557</v>
      </c>
      <c r="K85" s="179">
        <f>'Вход и предположения'!J55</f>
        <v>5381.9444444444453</v>
      </c>
      <c r="L85" s="179">
        <f>'Вход и предположения'!K55</f>
        <v>5208.3333333333339</v>
      </c>
      <c r="M85" s="179">
        <f>'Вход и предположения'!L55</f>
        <v>5034.7222222222235</v>
      </c>
      <c r="N85" s="179">
        <f>'Вход и предположения'!M55</f>
        <v>4861.1111111111122</v>
      </c>
      <c r="O85" s="179">
        <f>'Вход и предположения'!N55</f>
        <v>4687.5000000000009</v>
      </c>
      <c r="P85" s="179">
        <f>'Вход и предположения'!O55</f>
        <v>4513.8888888888905</v>
      </c>
      <c r="Q85" s="179">
        <f>'Вход и предположения'!P55</f>
        <v>4340.2777777777792</v>
      </c>
      <c r="R85" s="179">
        <f>'Вход и предположения'!Q55</f>
        <v>4166.6666666666688</v>
      </c>
      <c r="S85" s="179">
        <f>'Вход и предположения'!R55</f>
        <v>3993.0555555555579</v>
      </c>
      <c r="T85" s="179">
        <f>'Вход и предположения'!S55</f>
        <v>3819.4444444444466</v>
      </c>
      <c r="U85" s="179">
        <f>'Вход и предположения'!T55</f>
        <v>3645.8333333333358</v>
      </c>
      <c r="V85" s="179">
        <f>'Вход и предположения'!U55</f>
        <v>3472.2222222222244</v>
      </c>
      <c r="W85" s="179">
        <f>'Вход и предположения'!V55</f>
        <v>3298.6111111111136</v>
      </c>
      <c r="X85" s="179">
        <f>'Вход и предположения'!W55</f>
        <v>3125.0000000000032</v>
      </c>
      <c r="Y85" s="179">
        <f>'Вход и предположения'!X55</f>
        <v>2951.3888888888919</v>
      </c>
      <c r="Z85" s="179">
        <f>'Вход и предположения'!Y55</f>
        <v>2777.777777777781</v>
      </c>
      <c r="AA85" s="179">
        <f>'Вход и предположения'!Z55</f>
        <v>2604.1666666666702</v>
      </c>
      <c r="AB85" s="179">
        <f>'Вход и предположения'!AA55</f>
        <v>2430.5555555555588</v>
      </c>
      <c r="AC85" s="179">
        <f>'Вход и предположения'!AB55</f>
        <v>2256.944444444448</v>
      </c>
      <c r="AD85" s="179">
        <f>'Вход и предположения'!AC55</f>
        <v>2083.3333333333371</v>
      </c>
      <c r="AE85" s="179">
        <f>'Вход и предположения'!AD55</f>
        <v>1909.7222222222263</v>
      </c>
      <c r="AF85" s="179">
        <f>'Вход и предположения'!AE55</f>
        <v>1736.1111111111152</v>
      </c>
      <c r="AG85" s="179">
        <f>'Вход и предположения'!AF55</f>
        <v>1562.5000000000043</v>
      </c>
      <c r="AH85" s="179">
        <f>'Вход и предположения'!AG55</f>
        <v>1388.888888888893</v>
      </c>
      <c r="AI85" s="179">
        <f>'Вход и предположения'!AH55</f>
        <v>1215.2777777777819</v>
      </c>
      <c r="AJ85" s="179">
        <f>'Вход и предположения'!AI55</f>
        <v>1041.6666666666708</v>
      </c>
      <c r="AK85" s="179">
        <f>'Вход и предположения'!AJ55</f>
        <v>868.05555555555964</v>
      </c>
      <c r="AL85" s="179">
        <f>'Вход и предположения'!AK55</f>
        <v>694.44444444444844</v>
      </c>
      <c r="AM85" s="179">
        <f>'Вход и предположения'!AL55</f>
        <v>520.83333333333735</v>
      </c>
      <c r="AN85" s="179">
        <f>'Вход и предположения'!AM55</f>
        <v>347.22222222222626</v>
      </c>
      <c r="AO85" s="179">
        <f>'Вход и предположения'!AN55</f>
        <v>173.61111111111515</v>
      </c>
      <c r="AP85" s="179">
        <v>0</v>
      </c>
      <c r="AQ85" s="179">
        <v>0</v>
      </c>
      <c r="AR85" s="179">
        <v>0</v>
      </c>
      <c r="AS85" s="179">
        <v>0</v>
      </c>
      <c r="AT85" s="179">
        <v>0</v>
      </c>
      <c r="AU85" s="179">
        <v>0</v>
      </c>
      <c r="AV85" s="179">
        <v>0</v>
      </c>
      <c r="AW85" s="179">
        <v>0</v>
      </c>
      <c r="AX85" s="179">
        <v>0</v>
      </c>
      <c r="AY85" s="179">
        <v>0</v>
      </c>
      <c r="AZ85" s="179">
        <v>0</v>
      </c>
      <c r="BA85" s="179">
        <v>0</v>
      </c>
      <c r="BB85" s="179">
        <v>0</v>
      </c>
      <c r="BC85" s="179">
        <v>0</v>
      </c>
      <c r="BD85" s="179">
        <v>0</v>
      </c>
      <c r="BE85" s="179">
        <v>0</v>
      </c>
      <c r="BF85" s="179">
        <v>0</v>
      </c>
      <c r="BG85" s="179">
        <v>0</v>
      </c>
      <c r="BH85" s="179">
        <v>0</v>
      </c>
      <c r="BI85" s="179">
        <v>0</v>
      </c>
      <c r="BJ85" s="179">
        <v>0</v>
      </c>
      <c r="BK85" s="179">
        <v>0</v>
      </c>
      <c r="BL85" s="179">
        <v>0</v>
      </c>
      <c r="BM85" s="179">
        <v>0</v>
      </c>
      <c r="BO85" s="94">
        <f>SUM(F85:BM85)</f>
        <v>115625.00000000007</v>
      </c>
      <c r="BP85" s="94">
        <f>SUM(F85:Q85)</f>
        <v>63541.666666666679</v>
      </c>
      <c r="BQ85" s="94">
        <f t="shared" si="37"/>
        <v>38541.666666666701</v>
      </c>
      <c r="BR85" s="94">
        <f t="shared" si="38"/>
        <v>13541.666666666717</v>
      </c>
      <c r="BS85" s="94">
        <f t="shared" si="39"/>
        <v>0</v>
      </c>
      <c r="BT85" s="94">
        <f t="shared" si="40"/>
        <v>0</v>
      </c>
      <c r="BU85" s="94">
        <f>SUM(BP85:BT85)</f>
        <v>115625.00000000009</v>
      </c>
    </row>
    <row r="86" spans="1:73">
      <c r="D86" s="3"/>
    </row>
    <row r="87" spans="1:73">
      <c r="C87" s="108" t="s">
        <v>208</v>
      </c>
      <c r="D87" s="139"/>
      <c r="E87" s="139"/>
      <c r="F87" s="130">
        <f>IF(F42&gt;(F48+F54+F57+F64+F68+F71+F75+F77+F81+F83+F85),(F42-F48-F54-F57-F64-F68-F71-F75-F77-F81-F83-F85)*F88,F42*0.01)</f>
        <v>4671.6000000000004</v>
      </c>
      <c r="G87" s="130">
        <f t="shared" ref="G87:BM87" si="43">IF(G42&gt;(G48+G54+G57+G64+G68+G71+G75+G77+G81+G83+G85),(G42-G48-G54-G57-G64-G68-G71-G75-G77-G81-G83-G85)*G88,G42*0.01)</f>
        <v>9986.8436069166746</v>
      </c>
      <c r="H87" s="130">
        <f t="shared" si="43"/>
        <v>23231.281873651027</v>
      </c>
      <c r="I87" s="130">
        <f t="shared" si="43"/>
        <v>36475.314436785688</v>
      </c>
      <c r="J87" s="130">
        <f t="shared" si="43"/>
        <v>36403.17414188898</v>
      </c>
      <c r="K87" s="130">
        <f t="shared" si="43"/>
        <v>36330.624755485725</v>
      </c>
      <c r="L87" s="130">
        <f t="shared" si="43"/>
        <v>36257.664573028029</v>
      </c>
      <c r="M87" s="130">
        <f t="shared" si="43"/>
        <v>36184.291882865647</v>
      </c>
      <c r="N87" s="130">
        <f t="shared" si="43"/>
        <v>36082.097978216465</v>
      </c>
      <c r="O87" s="130">
        <f t="shared" si="43"/>
        <v>36036.302097136817</v>
      </c>
      <c r="P87" s="130">
        <f t="shared" si="43"/>
        <v>35933.274554491552</v>
      </c>
      <c r="Q87" s="130">
        <f t="shared" si="43"/>
        <v>35858.234573924172</v>
      </c>
      <c r="R87" s="130">
        <f t="shared" si="43"/>
        <v>62736.853139626612</v>
      </c>
      <c r="S87" s="130">
        <f t="shared" si="43"/>
        <v>62956.091333588614</v>
      </c>
      <c r="T87" s="130">
        <f t="shared" si="43"/>
        <v>63140.140608177731</v>
      </c>
      <c r="U87" s="130">
        <f t="shared" si="43"/>
        <v>63396.246382004625</v>
      </c>
      <c r="V87" s="130">
        <f t="shared" si="43"/>
        <v>63581.179572530069</v>
      </c>
      <c r="W87" s="130">
        <f t="shared" si="43"/>
        <v>63838.649726150383</v>
      </c>
      <c r="X87" s="130">
        <f t="shared" si="43"/>
        <v>64024.471305368992</v>
      </c>
      <c r="Y87" s="130">
        <f t="shared" si="43"/>
        <v>64283.313514012792</v>
      </c>
      <c r="Z87" s="130">
        <f t="shared" si="43"/>
        <v>64470.02797260954</v>
      </c>
      <c r="AA87" s="130">
        <f t="shared" si="43"/>
        <v>64730.249950770551</v>
      </c>
      <c r="AB87" s="130">
        <f t="shared" si="43"/>
        <v>64917.861797378187</v>
      </c>
      <c r="AC87" s="130">
        <f t="shared" si="43"/>
        <v>65179.47129897579</v>
      </c>
      <c r="AD87" s="130">
        <f t="shared" si="43"/>
        <v>65404.942662651643</v>
      </c>
      <c r="AE87" s="130">
        <f t="shared" si="43"/>
        <v>65630.989878736116</v>
      </c>
      <c r="AF87" s="130">
        <f t="shared" si="43"/>
        <v>65820.410099151763</v>
      </c>
      <c r="AG87" s="130">
        <f t="shared" si="43"/>
        <v>66084.818067895263</v>
      </c>
      <c r="AH87" s="130">
        <f t="shared" si="43"/>
        <v>66312.602149907427</v>
      </c>
      <c r="AI87" s="130">
        <f t="shared" si="43"/>
        <v>66540.968302214242</v>
      </c>
      <c r="AJ87" s="130">
        <f t="shared" si="43"/>
        <v>66694.512205262537</v>
      </c>
      <c r="AK87" s="130">
        <f t="shared" si="43"/>
        <v>66999.453075551239</v>
      </c>
      <c r="AL87" s="130">
        <f t="shared" si="43"/>
        <v>67229.5748346123</v>
      </c>
      <c r="AM87" s="130">
        <f t="shared" si="43"/>
        <v>67460.284940041282</v>
      </c>
      <c r="AN87" s="130">
        <f t="shared" si="43"/>
        <v>67653.376803431762</v>
      </c>
      <c r="AO87" s="130">
        <f t="shared" si="43"/>
        <v>67885.140979161952</v>
      </c>
      <c r="AP87" s="130">
        <f t="shared" si="43"/>
        <v>68155.961134384313</v>
      </c>
      <c r="AQ87" s="130">
        <f t="shared" si="43"/>
        <v>68324.407253568119</v>
      </c>
      <c r="AR87" s="130">
        <f t="shared" si="43"/>
        <v>68570.632693071326</v>
      </c>
      <c r="AS87" s="130">
        <f t="shared" si="43"/>
        <v>68778.864479691023</v>
      </c>
      <c r="AT87" s="130">
        <f t="shared" si="43"/>
        <v>68948.717010604916</v>
      </c>
      <c r="AU87" s="130">
        <f t="shared" si="43"/>
        <v>69197.128068605249</v>
      </c>
      <c r="AV87" s="130">
        <f t="shared" si="43"/>
        <v>69407.16308244555</v>
      </c>
      <c r="AW87" s="130">
        <f t="shared" si="43"/>
        <v>69617.802389749821</v>
      </c>
      <c r="AX87" s="130">
        <f t="shared" si="43"/>
        <v>69829.047605566069</v>
      </c>
      <c r="AY87" s="130">
        <f t="shared" si="43"/>
        <v>70040.90034866218</v>
      </c>
      <c r="AZ87" s="130">
        <f t="shared" si="43"/>
        <v>70253.36224153146</v>
      </c>
      <c r="BA87" s="130">
        <f t="shared" si="43"/>
        <v>70466.434910397875</v>
      </c>
      <c r="BB87" s="130">
        <f t="shared" si="43"/>
        <v>70680.119985221972</v>
      </c>
      <c r="BC87" s="130">
        <f t="shared" si="43"/>
        <v>70894.419099705701</v>
      </c>
      <c r="BD87" s="130">
        <f t="shared" si="43"/>
        <v>71109.333891298244</v>
      </c>
      <c r="BE87" s="130">
        <f t="shared" si="43"/>
        <v>71284.433994815408</v>
      </c>
      <c r="BF87" s="130">
        <f t="shared" si="43"/>
        <v>71541.017074374671</v>
      </c>
      <c r="BG87" s="130">
        <f t="shared" si="43"/>
        <v>71717.08675720157</v>
      </c>
      <c r="BH87" s="130">
        <f t="shared" si="43"/>
        <v>71975.182709192755</v>
      </c>
      <c r="BI87" s="130">
        <f t="shared" si="43"/>
        <v>72193.200579595039</v>
      </c>
      <c r="BJ87" s="130">
        <f t="shared" si="43"/>
        <v>72329.623269585194</v>
      </c>
      <c r="BK87" s="130">
        <f t="shared" si="43"/>
        <v>72631.114726617263</v>
      </c>
      <c r="BL87" s="130">
        <f t="shared" si="43"/>
        <v>72809.629428097353</v>
      </c>
      <c r="BM87" s="130">
        <f t="shared" si="43"/>
        <v>73071.544526419049</v>
      </c>
      <c r="BO87" s="94">
        <f t="shared" si="35"/>
        <v>3624249.4623346054</v>
      </c>
      <c r="BP87" s="94">
        <f t="shared" si="36"/>
        <v>363450.70447439078</v>
      </c>
      <c r="BQ87" s="94">
        <f t="shared" si="37"/>
        <v>767254.55660119385</v>
      </c>
      <c r="BR87" s="94">
        <f t="shared" si="38"/>
        <v>799717.07399861747</v>
      </c>
      <c r="BS87" s="94">
        <f t="shared" si="39"/>
        <v>831590.421218278</v>
      </c>
      <c r="BT87" s="94">
        <f t="shared" si="40"/>
        <v>862236.70604212419</v>
      </c>
      <c r="BU87" s="94">
        <f t="shared" si="41"/>
        <v>3624249.462334604</v>
      </c>
    </row>
    <row r="88" spans="1:73">
      <c r="C88" s="27" t="s">
        <v>209</v>
      </c>
      <c r="D88" s="29" t="s">
        <v>211</v>
      </c>
      <c r="F88" s="91">
        <f>1%</f>
        <v>0.01</v>
      </c>
      <c r="G88" s="91">
        <f>'Вход и предположения'!$E$28</f>
        <v>0.15</v>
      </c>
      <c r="H88" s="91">
        <f>'Вход и предположения'!$E$28</f>
        <v>0.15</v>
      </c>
      <c r="I88" s="91">
        <f>'Вход и предположения'!$E$28</f>
        <v>0.15</v>
      </c>
      <c r="J88" s="91">
        <f>'Вход и предположения'!$E$28</f>
        <v>0.15</v>
      </c>
      <c r="K88" s="91">
        <f>'Вход и предположения'!$E$28</f>
        <v>0.15</v>
      </c>
      <c r="L88" s="91">
        <f>'Вход и предположения'!$E$28</f>
        <v>0.15</v>
      </c>
      <c r="M88" s="91">
        <f>'Вход и предположения'!$E$28</f>
        <v>0.15</v>
      </c>
      <c r="N88" s="91">
        <f>'Вход и предположения'!$E$28</f>
        <v>0.15</v>
      </c>
      <c r="O88" s="91">
        <f>'Вход и предположения'!$E$28</f>
        <v>0.15</v>
      </c>
      <c r="P88" s="91">
        <f>'Вход и предположения'!$E$28</f>
        <v>0.15</v>
      </c>
      <c r="Q88" s="91">
        <f>'Вход и предположения'!$E$28</f>
        <v>0.15</v>
      </c>
      <c r="R88" s="91">
        <f>'Вход и предположения'!$E$28</f>
        <v>0.15</v>
      </c>
      <c r="S88" s="91">
        <f>'Вход и предположения'!$E$28</f>
        <v>0.15</v>
      </c>
      <c r="T88" s="91">
        <f>'Вход и предположения'!$E$28</f>
        <v>0.15</v>
      </c>
      <c r="U88" s="91">
        <f>'Вход и предположения'!$E$28</f>
        <v>0.15</v>
      </c>
      <c r="V88" s="91">
        <f>'Вход и предположения'!$E$28</f>
        <v>0.15</v>
      </c>
      <c r="W88" s="91">
        <f>'Вход и предположения'!$E$28</f>
        <v>0.15</v>
      </c>
      <c r="X88" s="91">
        <f>'Вход и предположения'!$E$28</f>
        <v>0.15</v>
      </c>
      <c r="Y88" s="91">
        <f>'Вход и предположения'!$E$28</f>
        <v>0.15</v>
      </c>
      <c r="Z88" s="91">
        <f>'Вход и предположения'!$E$28</f>
        <v>0.15</v>
      </c>
      <c r="AA88" s="91">
        <f>'Вход и предположения'!$E$28</f>
        <v>0.15</v>
      </c>
      <c r="AB88" s="91">
        <f>'Вход и предположения'!$E$28</f>
        <v>0.15</v>
      </c>
      <c r="AC88" s="91">
        <f>'Вход и предположения'!$E$28</f>
        <v>0.15</v>
      </c>
      <c r="AD88" s="91">
        <f>'Вход и предположения'!$E$28</f>
        <v>0.15</v>
      </c>
      <c r="AE88" s="91">
        <f>'Вход и предположения'!$E$28</f>
        <v>0.15</v>
      </c>
      <c r="AF88" s="91">
        <f>'Вход и предположения'!$E$28</f>
        <v>0.15</v>
      </c>
      <c r="AG88" s="91">
        <f>'Вход и предположения'!$E$28</f>
        <v>0.15</v>
      </c>
      <c r="AH88" s="91">
        <f>'Вход и предположения'!$E$28</f>
        <v>0.15</v>
      </c>
      <c r="AI88" s="91">
        <f>'Вход и предположения'!$E$28</f>
        <v>0.15</v>
      </c>
      <c r="AJ88" s="91">
        <f>'Вход и предположения'!$E$28</f>
        <v>0.15</v>
      </c>
      <c r="AK88" s="91">
        <f>'Вход и предположения'!$E$28</f>
        <v>0.15</v>
      </c>
      <c r="AL88" s="91">
        <f>'Вход и предположения'!$E$28</f>
        <v>0.15</v>
      </c>
      <c r="AM88" s="91">
        <f>'Вход и предположения'!$E$28</f>
        <v>0.15</v>
      </c>
      <c r="AN88" s="91">
        <f>'Вход и предположения'!$E$28</f>
        <v>0.15</v>
      </c>
      <c r="AO88" s="91">
        <f>'Вход и предположения'!$E$28</f>
        <v>0.15</v>
      </c>
      <c r="AP88" s="91">
        <f>'Вход и предположения'!$E$28</f>
        <v>0.15</v>
      </c>
      <c r="AQ88" s="91">
        <f>'Вход и предположения'!$E$28</f>
        <v>0.15</v>
      </c>
      <c r="AR88" s="91">
        <f>'Вход и предположения'!$E$28</f>
        <v>0.15</v>
      </c>
      <c r="AS88" s="91">
        <f>'Вход и предположения'!$E$28</f>
        <v>0.15</v>
      </c>
      <c r="AT88" s="91">
        <f>'Вход и предположения'!$E$28</f>
        <v>0.15</v>
      </c>
      <c r="AU88" s="91">
        <f>'Вход и предположения'!$E$28</f>
        <v>0.15</v>
      </c>
      <c r="AV88" s="91">
        <f>'Вход и предположения'!$E$28</f>
        <v>0.15</v>
      </c>
      <c r="AW88" s="91">
        <f>'Вход и предположения'!$E$28</f>
        <v>0.15</v>
      </c>
      <c r="AX88" s="91">
        <f>'Вход и предположения'!$E$28</f>
        <v>0.15</v>
      </c>
      <c r="AY88" s="91">
        <f>'Вход и предположения'!$E$28</f>
        <v>0.15</v>
      </c>
      <c r="AZ88" s="91">
        <f>'Вход и предположения'!$E$28</f>
        <v>0.15</v>
      </c>
      <c r="BA88" s="91">
        <f>'Вход и предположения'!$E$28</f>
        <v>0.15</v>
      </c>
      <c r="BB88" s="91">
        <f>'Вход и предположения'!$E$28</f>
        <v>0.15</v>
      </c>
      <c r="BC88" s="91">
        <f>'Вход и предположения'!$E$28</f>
        <v>0.15</v>
      </c>
      <c r="BD88" s="91">
        <f>'Вход и предположения'!$E$28</f>
        <v>0.15</v>
      </c>
      <c r="BE88" s="91">
        <f>'Вход и предположения'!$E$28</f>
        <v>0.15</v>
      </c>
      <c r="BF88" s="91">
        <f>'Вход и предположения'!$E$28</f>
        <v>0.15</v>
      </c>
      <c r="BG88" s="91">
        <f>'Вход и предположения'!$E$28</f>
        <v>0.15</v>
      </c>
      <c r="BH88" s="91">
        <f>'Вход и предположения'!$E$28</f>
        <v>0.15</v>
      </c>
      <c r="BI88" s="91">
        <f>'Вход и предположения'!$E$28</f>
        <v>0.15</v>
      </c>
      <c r="BJ88" s="91">
        <f>'Вход и предположения'!$E$28</f>
        <v>0.15</v>
      </c>
      <c r="BK88" s="91">
        <f>'Вход и предположения'!$E$28</f>
        <v>0.15</v>
      </c>
      <c r="BL88" s="91">
        <f>'Вход и предположения'!$E$28</f>
        <v>0.15</v>
      </c>
      <c r="BM88" s="91">
        <f>'Вход и предположения'!$E$28</f>
        <v>0.15</v>
      </c>
    </row>
    <row r="89" spans="1:73">
      <c r="D89" s="3"/>
    </row>
    <row r="90" spans="1:73" ht="15.75" thickBot="1">
      <c r="A90" s="129"/>
      <c r="B90" s="129"/>
      <c r="C90" s="129" t="s">
        <v>206</v>
      </c>
      <c r="D90" s="177"/>
      <c r="E90" s="129"/>
      <c r="F90" s="132">
        <f>F48+F54+F57+F64+F68+F71+F75+F77+F81+F87+F83+F85</f>
        <v>648490.13659999997</v>
      </c>
      <c r="G90" s="132">
        <f t="shared" ref="G90:BM90" si="44">G48+G54+G57+G64+G68+G71+G75+G77+G81+G87+G83+G85</f>
        <v>636647.88622747222</v>
      </c>
      <c r="H90" s="132">
        <f t="shared" si="44"/>
        <v>674636.06938264403</v>
      </c>
      <c r="I90" s="132">
        <f t="shared" si="44"/>
        <v>712626.55152488104</v>
      </c>
      <c r="J90" s="132">
        <f t="shared" si="44"/>
        <v>713035.3465292959</v>
      </c>
      <c r="K90" s="132">
        <f t="shared" si="44"/>
        <v>713446.45971891435</v>
      </c>
      <c r="L90" s="132">
        <f t="shared" si="44"/>
        <v>713859.90075284126</v>
      </c>
      <c r="M90" s="132">
        <f t="shared" si="44"/>
        <v>714275.67933042813</v>
      </c>
      <c r="N90" s="132">
        <f t="shared" si="44"/>
        <v>714854.7781234401</v>
      </c>
      <c r="O90" s="132">
        <f t="shared" si="44"/>
        <v>715114.28811622481</v>
      </c>
      <c r="P90" s="132">
        <f t="shared" si="44"/>
        <v>715698.11085788114</v>
      </c>
      <c r="Q90" s="132">
        <f t="shared" si="44"/>
        <v>716123.33741442976</v>
      </c>
      <c r="R90" s="132">
        <f t="shared" si="44"/>
        <v>793709.16554211557</v>
      </c>
      <c r="S90" s="132">
        <f t="shared" si="44"/>
        <v>796297.54244299815</v>
      </c>
      <c r="T90" s="132">
        <f t="shared" si="44"/>
        <v>799098.0923092158</v>
      </c>
      <c r="U90" s="132">
        <f t="shared" si="44"/>
        <v>801503.13366560382</v>
      </c>
      <c r="V90" s="132">
        <f t="shared" si="44"/>
        <v>804324.34068539436</v>
      </c>
      <c r="W90" s="132">
        <f t="shared" si="44"/>
        <v>806747.4021202008</v>
      </c>
      <c r="X90" s="132">
        <f t="shared" si="44"/>
        <v>809589.41233985638</v>
      </c>
      <c r="Y90" s="132">
        <f t="shared" si="44"/>
        <v>812030.62232333154</v>
      </c>
      <c r="Z90" s="132">
        <f t="shared" si="44"/>
        <v>814893.58283207007</v>
      </c>
      <c r="AA90" s="132">
        <f t="shared" si="44"/>
        <v>817353.07076030306</v>
      </c>
      <c r="AB90" s="132">
        <f t="shared" si="44"/>
        <v>820237.12969779735</v>
      </c>
      <c r="AC90" s="132">
        <f t="shared" si="44"/>
        <v>822715.0258994652</v>
      </c>
      <c r="AD90" s="132">
        <f t="shared" si="44"/>
        <v>825410.90604950325</v>
      </c>
      <c r="AE90" s="132">
        <f t="shared" si="44"/>
        <v>828116.76820659556</v>
      </c>
      <c r="AF90" s="132">
        <f t="shared" si="44"/>
        <v>831043.47266041616</v>
      </c>
      <c r="AG90" s="132">
        <f t="shared" si="44"/>
        <v>833558.58015938837</v>
      </c>
      <c r="AH90" s="132">
        <f t="shared" si="44"/>
        <v>836294.60108091112</v>
      </c>
      <c r="AI90" s="132">
        <f t="shared" si="44"/>
        <v>839040.74626205163</v>
      </c>
      <c r="AJ90" s="132">
        <f t="shared" si="44"/>
        <v>842224.35158913792</v>
      </c>
      <c r="AK90" s="132">
        <f t="shared" si="44"/>
        <v>844563.55306000961</v>
      </c>
      <c r="AL90" s="132">
        <f t="shared" si="44"/>
        <v>847340.28682695725</v>
      </c>
      <c r="AM90" s="132">
        <f t="shared" si="44"/>
        <v>850127.28915471467</v>
      </c>
      <c r="AN90" s="132">
        <f t="shared" si="44"/>
        <v>853141.10938599601</v>
      </c>
      <c r="AO90" s="132">
        <f t="shared" si="44"/>
        <v>855949.47987221018</v>
      </c>
      <c r="AP90" s="132">
        <f t="shared" si="44"/>
        <v>858550.27214401937</v>
      </c>
      <c r="AQ90" s="132">
        <f t="shared" si="44"/>
        <v>861744.96875277418</v>
      </c>
      <c r="AR90" s="132">
        <f t="shared" si="44"/>
        <v>864512.74662844394</v>
      </c>
      <c r="AS90" s="132">
        <f t="shared" si="44"/>
        <v>867509.69872167369</v>
      </c>
      <c r="AT90" s="132">
        <f t="shared" si="44"/>
        <v>870738.05637129536</v>
      </c>
      <c r="AU90" s="132">
        <f t="shared" si="44"/>
        <v>873535.21855184238</v>
      </c>
      <c r="AV90" s="132">
        <f t="shared" si="44"/>
        <v>876563.86106543837</v>
      </c>
      <c r="AW90" s="132">
        <f t="shared" si="44"/>
        <v>879603.14205248991</v>
      </c>
      <c r="AX90" s="132">
        <f t="shared" si="44"/>
        <v>882653.09923706832</v>
      </c>
      <c r="AY90" s="132">
        <f t="shared" si="44"/>
        <v>885713.77047841914</v>
      </c>
      <c r="AZ90" s="132">
        <f t="shared" si="44"/>
        <v>888785.19377145194</v>
      </c>
      <c r="BA90" s="132">
        <f t="shared" si="44"/>
        <v>891867.40724723099</v>
      </c>
      <c r="BB90" s="132">
        <f t="shared" si="44"/>
        <v>894960.44917347108</v>
      </c>
      <c r="BC90" s="132">
        <f t="shared" si="44"/>
        <v>898064.357955029</v>
      </c>
      <c r="BD90" s="132">
        <f t="shared" si="44"/>
        <v>901179.17213440465</v>
      </c>
      <c r="BE90" s="132">
        <f t="shared" si="44"/>
        <v>904534.04509509099</v>
      </c>
      <c r="BF90" s="132">
        <f t="shared" si="44"/>
        <v>907441.67154780775</v>
      </c>
      <c r="BG90" s="132">
        <f t="shared" si="44"/>
        <v>910820.07923946413</v>
      </c>
      <c r="BH90" s="132">
        <f t="shared" si="44"/>
        <v>913748.25852550392</v>
      </c>
      <c r="BI90" s="132">
        <f t="shared" si="44"/>
        <v>916918.18268392782</v>
      </c>
      <c r="BJ90" s="132">
        <f t="shared" si="44"/>
        <v>920565.16406054434</v>
      </c>
      <c r="BK90" s="132">
        <f t="shared" si="44"/>
        <v>923291.4892348788</v>
      </c>
      <c r="BL90" s="132">
        <f t="shared" si="44"/>
        <v>926729.46527988813</v>
      </c>
      <c r="BM90" s="132">
        <f t="shared" si="44"/>
        <v>929709.67094064015</v>
      </c>
      <c r="BN90" s="210"/>
      <c r="BO90" s="211">
        <f t="shared" si="35"/>
        <v>49623857.650397509</v>
      </c>
      <c r="BP90" s="211">
        <f t="shared" si="36"/>
        <v>8388808.5445784535</v>
      </c>
      <c r="BQ90" s="211">
        <f t="shared" si="37"/>
        <v>9698498.520618353</v>
      </c>
      <c r="BR90" s="211">
        <f t="shared" si="38"/>
        <v>10086811.144307893</v>
      </c>
      <c r="BS90" s="211">
        <f t="shared" si="39"/>
        <v>10501777.435022147</v>
      </c>
      <c r="BT90" s="211">
        <f t="shared" si="40"/>
        <v>10947962.005870651</v>
      </c>
      <c r="BU90" s="211">
        <f t="shared" si="41"/>
        <v>49623857.650397494</v>
      </c>
    </row>
    <row r="91" spans="1:73">
      <c r="D91" s="3"/>
    </row>
    <row r="92" spans="1:73">
      <c r="D92" s="3"/>
    </row>
    <row r="93" spans="1:73" ht="16.5" thickBot="1">
      <c r="A93" s="133"/>
      <c r="B93" s="133"/>
      <c r="C93" s="147" t="s">
        <v>212</v>
      </c>
      <c r="D93" s="61"/>
      <c r="E93" s="61"/>
      <c r="F93" s="148">
        <f>F42-F90</f>
        <v>-181330.13659999997</v>
      </c>
      <c r="G93" s="148">
        <f t="shared" ref="G93:BM93" si="45">G42-G90</f>
        <v>56592.11377252778</v>
      </c>
      <c r="H93" s="148">
        <f t="shared" si="45"/>
        <v>131643.93061735586</v>
      </c>
      <c r="I93" s="148">
        <f t="shared" si="45"/>
        <v>206693.44847511896</v>
      </c>
      <c r="J93" s="148">
        <f t="shared" si="45"/>
        <v>206284.6534707041</v>
      </c>
      <c r="K93" s="148">
        <f t="shared" si="45"/>
        <v>205873.54028108565</v>
      </c>
      <c r="L93" s="148">
        <f t="shared" si="45"/>
        <v>205460.09924715874</v>
      </c>
      <c r="M93" s="148">
        <f t="shared" si="45"/>
        <v>205044.32066957187</v>
      </c>
      <c r="N93" s="148">
        <f t="shared" si="45"/>
        <v>204465.2218765599</v>
      </c>
      <c r="O93" s="148">
        <f t="shared" si="45"/>
        <v>204205.71188377519</v>
      </c>
      <c r="P93" s="148">
        <f t="shared" si="45"/>
        <v>203621.88914211886</v>
      </c>
      <c r="Q93" s="148">
        <f t="shared" si="45"/>
        <v>203196.66258557024</v>
      </c>
      <c r="R93" s="148">
        <f t="shared" si="45"/>
        <v>355508.83445788443</v>
      </c>
      <c r="S93" s="148">
        <f t="shared" si="45"/>
        <v>356751.18422366888</v>
      </c>
      <c r="T93" s="148">
        <f t="shared" si="45"/>
        <v>357794.13011300704</v>
      </c>
      <c r="U93" s="148">
        <f t="shared" si="45"/>
        <v>359245.39616469294</v>
      </c>
      <c r="V93" s="148">
        <f t="shared" si="45"/>
        <v>360293.35091100354</v>
      </c>
      <c r="W93" s="148">
        <f t="shared" si="45"/>
        <v>361752.3484481856</v>
      </c>
      <c r="X93" s="148">
        <f t="shared" si="45"/>
        <v>362805.33739709109</v>
      </c>
      <c r="Y93" s="148">
        <f t="shared" si="45"/>
        <v>364272.10991273925</v>
      </c>
      <c r="Z93" s="148">
        <f t="shared" si="45"/>
        <v>365330.15851145424</v>
      </c>
      <c r="AA93" s="148">
        <f t="shared" si="45"/>
        <v>366804.74972103315</v>
      </c>
      <c r="AB93" s="148">
        <f t="shared" si="45"/>
        <v>367867.8835184765</v>
      </c>
      <c r="AC93" s="148">
        <f t="shared" si="45"/>
        <v>369350.33736086288</v>
      </c>
      <c r="AD93" s="148">
        <f t="shared" si="45"/>
        <v>370628.00842169276</v>
      </c>
      <c r="AE93" s="148">
        <f t="shared" si="45"/>
        <v>371908.94264617132</v>
      </c>
      <c r="AF93" s="148">
        <f t="shared" si="45"/>
        <v>372982.32389519329</v>
      </c>
      <c r="AG93" s="148">
        <f t="shared" si="45"/>
        <v>374480.63571807311</v>
      </c>
      <c r="AH93" s="148">
        <f t="shared" si="45"/>
        <v>375771.41218280897</v>
      </c>
      <c r="AI93" s="148">
        <f t="shared" si="45"/>
        <v>377065.48704588064</v>
      </c>
      <c r="AJ93" s="148">
        <f t="shared" si="45"/>
        <v>377935.56916315435</v>
      </c>
      <c r="AK93" s="148">
        <f t="shared" si="45"/>
        <v>379663.5674281239</v>
      </c>
      <c r="AL93" s="148">
        <f t="shared" si="45"/>
        <v>380967.59072946967</v>
      </c>
      <c r="AM93" s="148">
        <f t="shared" si="45"/>
        <v>382274.94799356745</v>
      </c>
      <c r="AN93" s="148">
        <f t="shared" si="45"/>
        <v>383369.13521944697</v>
      </c>
      <c r="AO93" s="148">
        <f t="shared" si="45"/>
        <v>384682.46554858424</v>
      </c>
      <c r="AP93" s="148">
        <f t="shared" si="45"/>
        <v>386217.11309484439</v>
      </c>
      <c r="AQ93" s="148">
        <f t="shared" si="45"/>
        <v>387171.64110355265</v>
      </c>
      <c r="AR93" s="148">
        <f t="shared" si="45"/>
        <v>388566.91859407071</v>
      </c>
      <c r="AS93" s="148">
        <f t="shared" si="45"/>
        <v>389746.8987182494</v>
      </c>
      <c r="AT93" s="148">
        <f t="shared" si="45"/>
        <v>390709.39639342763</v>
      </c>
      <c r="AU93" s="148">
        <f t="shared" si="45"/>
        <v>392117.05905542977</v>
      </c>
      <c r="AV93" s="148">
        <f t="shared" si="45"/>
        <v>393307.25746719155</v>
      </c>
      <c r="AW93" s="148">
        <f t="shared" si="45"/>
        <v>394500.88020858227</v>
      </c>
      <c r="AX93" s="148">
        <f t="shared" si="45"/>
        <v>395697.93643154111</v>
      </c>
      <c r="AY93" s="148">
        <f t="shared" si="45"/>
        <v>396898.43530908565</v>
      </c>
      <c r="AZ93" s="148">
        <f t="shared" si="45"/>
        <v>398102.3860353448</v>
      </c>
      <c r="BA93" s="148">
        <f t="shared" si="45"/>
        <v>399309.79782558826</v>
      </c>
      <c r="BB93" s="148">
        <f t="shared" si="45"/>
        <v>400520.67991625785</v>
      </c>
      <c r="BC93" s="148">
        <f t="shared" si="45"/>
        <v>401735.04156499892</v>
      </c>
      <c r="BD93" s="148">
        <f t="shared" si="45"/>
        <v>402952.89205069013</v>
      </c>
      <c r="BE93" s="148">
        <f t="shared" si="45"/>
        <v>403945.12597062066</v>
      </c>
      <c r="BF93" s="148">
        <f t="shared" si="45"/>
        <v>405399.09675478982</v>
      </c>
      <c r="BG93" s="148">
        <f t="shared" si="45"/>
        <v>406396.82495747553</v>
      </c>
      <c r="BH93" s="148">
        <f t="shared" si="45"/>
        <v>407859.36868542561</v>
      </c>
      <c r="BI93" s="148">
        <f t="shared" si="45"/>
        <v>409094.80328437185</v>
      </c>
      <c r="BJ93" s="148">
        <f t="shared" si="45"/>
        <v>409867.86519431614</v>
      </c>
      <c r="BK93" s="148">
        <f t="shared" si="45"/>
        <v>411576.31678416452</v>
      </c>
      <c r="BL93" s="148">
        <f t="shared" si="45"/>
        <v>412587.90009255195</v>
      </c>
      <c r="BM93" s="148">
        <f t="shared" si="45"/>
        <v>414072.08564970805</v>
      </c>
      <c r="BN93" s="193"/>
      <c r="BO93" s="209">
        <f t="shared" si="35"/>
        <v>20329611.083296094</v>
      </c>
      <c r="BP93" s="209">
        <f t="shared" si="36"/>
        <v>1851751.4554215472</v>
      </c>
      <c r="BQ93" s="209">
        <f t="shared" si="37"/>
        <v>4347775.8207400991</v>
      </c>
      <c r="BR93" s="209">
        <f t="shared" si="38"/>
        <v>4531730.0859921649</v>
      </c>
      <c r="BS93" s="209">
        <f t="shared" si="39"/>
        <v>4712345.7202369077</v>
      </c>
      <c r="BT93" s="209">
        <f t="shared" si="40"/>
        <v>4886008.0009053713</v>
      </c>
      <c r="BU93" s="209">
        <f t="shared" si="41"/>
        <v>20329611.08329609</v>
      </c>
    </row>
    <row r="94" spans="1:73" ht="16.5" thickTop="1">
      <c r="C94" s="149" t="s">
        <v>213</v>
      </c>
      <c r="D94" s="3"/>
      <c r="F94" s="150">
        <f>F93/F42</f>
        <v>-0.38815424394211828</v>
      </c>
      <c r="G94" s="150">
        <f t="shared" ref="G94:BM94" si="46">G93/G42</f>
        <v>8.1634230241370634E-2</v>
      </c>
      <c r="H94" s="150">
        <f t="shared" si="46"/>
        <v>0.16327321850641946</v>
      </c>
      <c r="I94" s="150">
        <f t="shared" si="46"/>
        <v>0.22483297271365679</v>
      </c>
      <c r="J94" s="150">
        <f t="shared" si="46"/>
        <v>0.22438830164763532</v>
      </c>
      <c r="K94" s="150">
        <f t="shared" si="46"/>
        <v>0.22394110895127448</v>
      </c>
      <c r="L94" s="150">
        <f t="shared" si="46"/>
        <v>0.22349138411778133</v>
      </c>
      <c r="M94" s="150">
        <f t="shared" si="46"/>
        <v>0.22303911659658429</v>
      </c>
      <c r="N94" s="150">
        <f t="shared" si="46"/>
        <v>0.22240919579315135</v>
      </c>
      <c r="O94" s="150">
        <f t="shared" si="46"/>
        <v>0.2221269110688065</v>
      </c>
      <c r="P94" s="150">
        <f t="shared" si="46"/>
        <v>0.22149185174054611</v>
      </c>
      <c r="Q94" s="150">
        <f t="shared" si="46"/>
        <v>0.2210293070808535</v>
      </c>
      <c r="R94" s="150">
        <f t="shared" si="46"/>
        <v>0.30934847388213937</v>
      </c>
      <c r="S94" s="150">
        <f t="shared" si="46"/>
        <v>0.3093981858468341</v>
      </c>
      <c r="T94" s="150">
        <f t="shared" si="46"/>
        <v>0.30927179142399441</v>
      </c>
      <c r="U94" s="150">
        <f t="shared" si="46"/>
        <v>0.30949459502413945</v>
      </c>
      <c r="V94" s="150">
        <f t="shared" si="46"/>
        <v>0.30936620103815526</v>
      </c>
      <c r="W94" s="150">
        <f t="shared" si="46"/>
        <v>0.30958701383737613</v>
      </c>
      <c r="X94" s="150">
        <f t="shared" si="46"/>
        <v>0.30945663777366322</v>
      </c>
      <c r="Y94" s="150">
        <f t="shared" si="46"/>
        <v>0.30967547717948674</v>
      </c>
      <c r="Z94" s="150">
        <f t="shared" si="46"/>
        <v>0.30954313636800385</v>
      </c>
      <c r="AA94" s="150">
        <f t="shared" si="46"/>
        <v>0.30976001963313848</v>
      </c>
      <c r="AB94" s="150">
        <f t="shared" si="46"/>
        <v>0.30962573124966064</v>
      </c>
      <c r="AC94" s="150">
        <f t="shared" si="46"/>
        <v>0.30984067547326483</v>
      </c>
      <c r="AD94" s="150">
        <f t="shared" si="46"/>
        <v>0.30987955654064842</v>
      </c>
      <c r="AE94" s="150">
        <f t="shared" si="46"/>
        <v>0.30991747866958946</v>
      </c>
      <c r="AF94" s="150">
        <f t="shared" si="46"/>
        <v>0.30977934605902491</v>
      </c>
      <c r="AG94" s="150">
        <f t="shared" si="46"/>
        <v>0.30999046288912768</v>
      </c>
      <c r="AH94" s="150">
        <f t="shared" si="46"/>
        <v>0.31002553332138438</v>
      </c>
      <c r="AI94" s="150">
        <f t="shared" si="46"/>
        <v>0.31005966149867048</v>
      </c>
      <c r="AJ94" s="150">
        <f t="shared" si="46"/>
        <v>0.30974265154532971</v>
      </c>
      <c r="AK94" s="150">
        <f t="shared" si="46"/>
        <v>0.31012510756724737</v>
      </c>
      <c r="AL94" s="150">
        <f t="shared" si="46"/>
        <v>0.31015643365192735</v>
      </c>
      <c r="AM94" s="150">
        <f t="shared" si="46"/>
        <v>0.31018683386856938</v>
      </c>
      <c r="AN94" s="150">
        <f t="shared" si="46"/>
        <v>0.31004121226814091</v>
      </c>
      <c r="AO94" s="150">
        <f t="shared" si="46"/>
        <v>0.31006977288345466</v>
      </c>
      <c r="AP94" s="150">
        <f t="shared" si="46"/>
        <v>0.31027251972924363</v>
      </c>
      <c r="AQ94" s="150">
        <f t="shared" si="46"/>
        <v>0.31000599883773844</v>
      </c>
      <c r="AR94" s="150">
        <f t="shared" si="46"/>
        <v>0.31008955725498205</v>
      </c>
      <c r="AS94" s="150">
        <f t="shared" si="46"/>
        <v>0.30999789502943781</v>
      </c>
      <c r="AT94" s="150">
        <f t="shared" si="46"/>
        <v>0.30973101220911514</v>
      </c>
      <c r="AU94" s="150">
        <f t="shared" si="46"/>
        <v>0.30981420884157129</v>
      </c>
      <c r="AV94" s="150">
        <f t="shared" si="46"/>
        <v>0.30972218497391185</v>
      </c>
      <c r="AW94" s="150">
        <f t="shared" si="46"/>
        <v>0.30963004065279254</v>
      </c>
      <c r="AX94" s="150">
        <f t="shared" si="46"/>
        <v>0.30953777592442067</v>
      </c>
      <c r="AY94" s="150">
        <f t="shared" si="46"/>
        <v>0.30944539083455541</v>
      </c>
      <c r="AZ94" s="150">
        <f t="shared" si="46"/>
        <v>0.30935288542851025</v>
      </c>
      <c r="BA94" s="150">
        <f t="shared" si="46"/>
        <v>0.30926025975115334</v>
      </c>
      <c r="BB94" s="150">
        <f t="shared" si="46"/>
        <v>0.30916751384690883</v>
      </c>
      <c r="BC94" s="150">
        <f t="shared" si="46"/>
        <v>0.30907464775975901</v>
      </c>
      <c r="BD94" s="150">
        <f t="shared" si="46"/>
        <v>0.30898166153324425</v>
      </c>
      <c r="BE94" s="150">
        <f t="shared" si="46"/>
        <v>0.30871345521046478</v>
      </c>
      <c r="BF94" s="150">
        <f t="shared" si="46"/>
        <v>0.30879532883408228</v>
      </c>
      <c r="BG94" s="150">
        <f t="shared" si="46"/>
        <v>0.30852688244632059</v>
      </c>
      <c r="BH94" s="150">
        <f t="shared" si="46"/>
        <v>0.308608516088967</v>
      </c>
      <c r="BI94" s="150">
        <f t="shared" si="46"/>
        <v>0.30851492980337364</v>
      </c>
      <c r="BJ94" s="150">
        <f t="shared" si="46"/>
        <v>0.30807102363045813</v>
      </c>
      <c r="BK94" s="150">
        <f t="shared" si="46"/>
        <v>0.30832739761070616</v>
      </c>
      <c r="BL94" s="150">
        <f t="shared" si="46"/>
        <v>0.30805835178417079</v>
      </c>
      <c r="BM94" s="150">
        <f t="shared" si="46"/>
        <v>0.30813938619047493</v>
      </c>
    </row>
    <row r="95" spans="1:73">
      <c r="D95" s="3"/>
      <c r="Q95" s="95"/>
      <c r="AC95" s="95"/>
      <c r="AO95" s="95"/>
      <c r="BA95" s="95"/>
    </row>
    <row r="96" spans="1:73">
      <c r="D96" s="3"/>
    </row>
    <row r="97" spans="1:73" ht="15.75" thickBot="1">
      <c r="A97" s="133"/>
      <c r="B97" s="133"/>
      <c r="C97" s="60" t="s">
        <v>214</v>
      </c>
      <c r="D97" s="61"/>
      <c r="E97" s="61"/>
      <c r="F97" s="151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3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3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3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3"/>
      <c r="BB97" s="152"/>
      <c r="BC97" s="152"/>
      <c r="BD97" s="152"/>
      <c r="BE97" s="152"/>
      <c r="BF97" s="152"/>
      <c r="BG97" s="152"/>
      <c r="BH97" s="152"/>
      <c r="BI97" s="152"/>
      <c r="BJ97" s="152"/>
      <c r="BK97" s="152"/>
      <c r="BL97" s="152"/>
      <c r="BM97" s="152"/>
    </row>
    <row r="98" spans="1:73" ht="15.75" thickTop="1">
      <c r="C98" t="s">
        <v>215</v>
      </c>
      <c r="D98" s="5">
        <f>Инв.расчет!G28</f>
        <v>3622300</v>
      </c>
    </row>
    <row r="99" spans="1:73">
      <c r="D99" s="3"/>
      <c r="Q99" s="95"/>
      <c r="AC99" s="95"/>
      <c r="AO99" s="95"/>
      <c r="BA99" s="95"/>
    </row>
    <row r="100" spans="1:73" ht="15.75" thickBot="1">
      <c r="A100" s="129"/>
      <c r="B100" s="129"/>
      <c r="C100" s="129" t="s">
        <v>216</v>
      </c>
      <c r="D100" s="178">
        <f>D98</f>
        <v>3622300</v>
      </c>
      <c r="E100" s="129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5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5"/>
      <c r="AD100" s="154"/>
      <c r="AE100" s="154"/>
      <c r="AF100" s="154"/>
      <c r="AG100" s="154"/>
      <c r="AH100" s="154"/>
      <c r="AI100" s="154"/>
      <c r="AJ100" s="154"/>
      <c r="AK100" s="154"/>
      <c r="AL100" s="154"/>
      <c r="AM100" s="154"/>
      <c r="AN100" s="154"/>
      <c r="AO100" s="155"/>
      <c r="AP100" s="154"/>
      <c r="AQ100" s="154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5"/>
      <c r="BB100" s="154"/>
      <c r="BC100" s="154"/>
      <c r="BD100" s="154"/>
      <c r="BE100" s="154"/>
      <c r="BF100" s="154"/>
      <c r="BG100" s="154"/>
      <c r="BH100" s="154"/>
      <c r="BI100" s="154"/>
      <c r="BJ100" s="154"/>
      <c r="BK100" s="154"/>
      <c r="BL100" s="154"/>
      <c r="BM100" s="154"/>
      <c r="BN100" s="210"/>
      <c r="BO100" s="211">
        <f>D100</f>
        <v>3622300</v>
      </c>
      <c r="BP100" s="211">
        <f>SUM(F100:Q100)</f>
        <v>0</v>
      </c>
      <c r="BQ100" s="211">
        <f t="shared" si="37"/>
        <v>0</v>
      </c>
      <c r="BR100" s="211">
        <f t="shared" si="38"/>
        <v>0</v>
      </c>
      <c r="BS100" s="211">
        <f t="shared" si="39"/>
        <v>0</v>
      </c>
      <c r="BT100" s="211">
        <f t="shared" si="40"/>
        <v>0</v>
      </c>
      <c r="BU100" s="211">
        <f>BO100</f>
        <v>3622300</v>
      </c>
    </row>
    <row r="101" spans="1:73">
      <c r="D101" s="3"/>
      <c r="Q101" s="95"/>
      <c r="AC101" s="95"/>
      <c r="AO101" s="95"/>
      <c r="BA101" s="95"/>
    </row>
    <row r="102" spans="1:73">
      <c r="D102" s="3"/>
    </row>
    <row r="103" spans="1:73" ht="15.75" thickBot="1">
      <c r="A103" s="133"/>
      <c r="B103" s="133"/>
      <c r="C103" s="60" t="s">
        <v>217</v>
      </c>
      <c r="D103" s="61"/>
      <c r="E103" s="61"/>
      <c r="F103" s="151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3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3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3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3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2"/>
      <c r="BL103" s="152"/>
      <c r="BM103" s="152"/>
    </row>
    <row r="104" spans="1:73" ht="15.75" thickTop="1">
      <c r="C104" s="28" t="s">
        <v>127</v>
      </c>
      <c r="D104" s="29" t="s">
        <v>109</v>
      </c>
      <c r="E104" s="43">
        <f>'Вход и предположения'!E26</f>
        <v>0.1</v>
      </c>
      <c r="F104" s="156"/>
      <c r="AH104" s="70"/>
    </row>
    <row r="105" spans="1:73">
      <c r="C105" s="28" t="s">
        <v>218</v>
      </c>
      <c r="D105" s="29" t="s">
        <v>219</v>
      </c>
      <c r="E105" s="27"/>
      <c r="F105" s="158">
        <f>$E$104*F42</f>
        <v>46716</v>
      </c>
      <c r="G105" s="158">
        <f t="shared" ref="G105:BM105" si="47">$E$104*G42</f>
        <v>69324</v>
      </c>
      <c r="H105" s="158">
        <f t="shared" si="47"/>
        <v>80628</v>
      </c>
      <c r="I105" s="158">
        <f t="shared" si="47"/>
        <v>91932</v>
      </c>
      <c r="J105" s="158">
        <f t="shared" si="47"/>
        <v>91932</v>
      </c>
      <c r="K105" s="158">
        <f t="shared" si="47"/>
        <v>91932</v>
      </c>
      <c r="L105" s="158">
        <f t="shared" si="47"/>
        <v>91932</v>
      </c>
      <c r="M105" s="158">
        <f t="shared" si="47"/>
        <v>91932</v>
      </c>
      <c r="N105" s="158">
        <f t="shared" si="47"/>
        <v>91932</v>
      </c>
      <c r="O105" s="158">
        <f t="shared" si="47"/>
        <v>91932</v>
      </c>
      <c r="P105" s="158">
        <f t="shared" si="47"/>
        <v>91932</v>
      </c>
      <c r="Q105" s="158">
        <f t="shared" si="47"/>
        <v>91932</v>
      </c>
      <c r="R105" s="158">
        <f t="shared" si="47"/>
        <v>114921.8</v>
      </c>
      <c r="S105" s="158">
        <f t="shared" si="47"/>
        <v>115304.87266666671</v>
      </c>
      <c r="T105" s="158">
        <f t="shared" si="47"/>
        <v>115689.22224222228</v>
      </c>
      <c r="U105" s="158">
        <f t="shared" si="47"/>
        <v>116074.85298302968</v>
      </c>
      <c r="V105" s="158">
        <f t="shared" si="47"/>
        <v>116461.76915963979</v>
      </c>
      <c r="W105" s="158">
        <f t="shared" si="47"/>
        <v>116849.97505683865</v>
      </c>
      <c r="X105" s="158">
        <f t="shared" si="47"/>
        <v>117239.47497369476</v>
      </c>
      <c r="Y105" s="158">
        <f t="shared" si="47"/>
        <v>117630.27322360709</v>
      </c>
      <c r="Z105" s="158">
        <f t="shared" si="47"/>
        <v>118022.37413435243</v>
      </c>
      <c r="AA105" s="158">
        <f t="shared" si="47"/>
        <v>118415.78204813362</v>
      </c>
      <c r="AB105" s="158">
        <f t="shared" si="47"/>
        <v>118810.50132162739</v>
      </c>
      <c r="AC105" s="158">
        <f t="shared" si="47"/>
        <v>119206.53632603282</v>
      </c>
      <c r="AD105" s="158">
        <f t="shared" si="47"/>
        <v>119603.8914471196</v>
      </c>
      <c r="AE105" s="158">
        <f t="shared" si="47"/>
        <v>120002.57108527669</v>
      </c>
      <c r="AF105" s="158">
        <f t="shared" si="47"/>
        <v>120402.57965556096</v>
      </c>
      <c r="AG105" s="158">
        <f t="shared" si="47"/>
        <v>120803.92158774615</v>
      </c>
      <c r="AH105" s="158">
        <f t="shared" si="47"/>
        <v>121206.60132637201</v>
      </c>
      <c r="AI105" s="158">
        <f t="shared" si="47"/>
        <v>121610.62333079323</v>
      </c>
      <c r="AJ105" s="158">
        <f t="shared" si="47"/>
        <v>122015.99207522924</v>
      </c>
      <c r="AK105" s="158">
        <f t="shared" si="47"/>
        <v>122422.71204881335</v>
      </c>
      <c r="AL105" s="158">
        <f t="shared" si="47"/>
        <v>122830.7877556427</v>
      </c>
      <c r="AM105" s="158">
        <f t="shared" si="47"/>
        <v>123240.22371482821</v>
      </c>
      <c r="AN105" s="158">
        <f t="shared" si="47"/>
        <v>123651.0244605443</v>
      </c>
      <c r="AO105" s="158">
        <f t="shared" si="47"/>
        <v>124063.19454207945</v>
      </c>
      <c r="AP105" s="158">
        <f t="shared" si="47"/>
        <v>124476.73852388638</v>
      </c>
      <c r="AQ105" s="158">
        <f t="shared" si="47"/>
        <v>124891.66098563268</v>
      </c>
      <c r="AR105" s="158">
        <f t="shared" si="47"/>
        <v>125307.96652225147</v>
      </c>
      <c r="AS105" s="158">
        <f t="shared" si="47"/>
        <v>125725.65974399232</v>
      </c>
      <c r="AT105" s="158">
        <f t="shared" si="47"/>
        <v>126144.7452764723</v>
      </c>
      <c r="AU105" s="158">
        <f t="shared" si="47"/>
        <v>126565.22776072723</v>
      </c>
      <c r="AV105" s="158">
        <f t="shared" si="47"/>
        <v>126987.11185326299</v>
      </c>
      <c r="AW105" s="158">
        <f t="shared" si="47"/>
        <v>127410.40222610722</v>
      </c>
      <c r="AX105" s="158">
        <f t="shared" si="47"/>
        <v>127835.10356686095</v>
      </c>
      <c r="AY105" s="158">
        <f t="shared" si="47"/>
        <v>128261.22057875048</v>
      </c>
      <c r="AZ105" s="158">
        <f t="shared" si="47"/>
        <v>128688.75798067969</v>
      </c>
      <c r="BA105" s="158">
        <f t="shared" si="47"/>
        <v>129117.72050728193</v>
      </c>
      <c r="BB105" s="158">
        <f t="shared" si="47"/>
        <v>129548.11290897289</v>
      </c>
      <c r="BC105" s="158">
        <f t="shared" si="47"/>
        <v>129979.93995200279</v>
      </c>
      <c r="BD105" s="158">
        <f t="shared" si="47"/>
        <v>130413.20641850948</v>
      </c>
      <c r="BE105" s="158">
        <f t="shared" si="47"/>
        <v>130847.91710657117</v>
      </c>
      <c r="BF105" s="158">
        <f t="shared" si="47"/>
        <v>131284.07683025976</v>
      </c>
      <c r="BG105" s="158">
        <f t="shared" si="47"/>
        <v>131721.69041969397</v>
      </c>
      <c r="BH105" s="158">
        <f t="shared" si="47"/>
        <v>132160.76272109296</v>
      </c>
      <c r="BI105" s="158">
        <f t="shared" si="47"/>
        <v>132601.29859682996</v>
      </c>
      <c r="BJ105" s="158">
        <f t="shared" si="47"/>
        <v>133043.30292548606</v>
      </c>
      <c r="BK105" s="158">
        <f t="shared" si="47"/>
        <v>133486.78060190435</v>
      </c>
      <c r="BL105" s="158">
        <f t="shared" si="47"/>
        <v>133931.73653724403</v>
      </c>
      <c r="BM105" s="158">
        <f t="shared" si="47"/>
        <v>134378.17565903484</v>
      </c>
    </row>
    <row r="106" spans="1:73">
      <c r="C106" s="28" t="s">
        <v>220</v>
      </c>
      <c r="D106" s="29" t="s">
        <v>219</v>
      </c>
      <c r="E106" s="27"/>
      <c r="F106" s="159" t="s">
        <v>4</v>
      </c>
      <c r="G106" s="158">
        <f>G105-F105</f>
        <v>22608</v>
      </c>
      <c r="H106" s="158">
        <f t="shared" ref="H106:BM106" si="48">H105-G105</f>
        <v>11304</v>
      </c>
      <c r="I106" s="158">
        <f t="shared" si="48"/>
        <v>11304</v>
      </c>
      <c r="J106" s="158">
        <f t="shared" si="48"/>
        <v>0</v>
      </c>
      <c r="K106" s="158">
        <f t="shared" si="48"/>
        <v>0</v>
      </c>
      <c r="L106" s="158">
        <f t="shared" si="48"/>
        <v>0</v>
      </c>
      <c r="M106" s="158">
        <f t="shared" si="48"/>
        <v>0</v>
      </c>
      <c r="N106" s="158">
        <f t="shared" si="48"/>
        <v>0</v>
      </c>
      <c r="O106" s="158">
        <f t="shared" si="48"/>
        <v>0</v>
      </c>
      <c r="P106" s="158">
        <f t="shared" si="48"/>
        <v>0</v>
      </c>
      <c r="Q106" s="158">
        <f t="shared" si="48"/>
        <v>0</v>
      </c>
      <c r="R106" s="158">
        <f t="shared" si="48"/>
        <v>22989.800000000003</v>
      </c>
      <c r="S106" s="158">
        <f t="shared" si="48"/>
        <v>383.0726666667033</v>
      </c>
      <c r="T106" s="158">
        <f t="shared" si="48"/>
        <v>384.34957555557776</v>
      </c>
      <c r="U106" s="158">
        <f t="shared" si="48"/>
        <v>385.6307408073917</v>
      </c>
      <c r="V106" s="158">
        <f t="shared" si="48"/>
        <v>386.91617661011696</v>
      </c>
      <c r="W106" s="158">
        <f t="shared" si="48"/>
        <v>388.20589719885902</v>
      </c>
      <c r="X106" s="158">
        <f t="shared" si="48"/>
        <v>389.49991685610439</v>
      </c>
      <c r="Y106" s="158">
        <f t="shared" si="48"/>
        <v>390.79824991233181</v>
      </c>
      <c r="Z106" s="158">
        <f t="shared" si="48"/>
        <v>392.10091074534284</v>
      </c>
      <c r="AA106" s="158">
        <f t="shared" si="48"/>
        <v>393.4079137811932</v>
      </c>
      <c r="AB106" s="158">
        <f t="shared" si="48"/>
        <v>394.71927349377074</v>
      </c>
      <c r="AC106" s="158">
        <f t="shared" si="48"/>
        <v>396.0350044054212</v>
      </c>
      <c r="AD106" s="158">
        <f t="shared" si="48"/>
        <v>397.35512108678813</v>
      </c>
      <c r="AE106" s="158">
        <f t="shared" si="48"/>
        <v>398.67963815708936</v>
      </c>
      <c r="AF106" s="158">
        <f t="shared" si="48"/>
        <v>400.00857028426253</v>
      </c>
      <c r="AG106" s="158">
        <f t="shared" si="48"/>
        <v>401.34193218519795</v>
      </c>
      <c r="AH106" s="158">
        <f t="shared" si="48"/>
        <v>402.67973862585495</v>
      </c>
      <c r="AI106" s="158">
        <f t="shared" si="48"/>
        <v>404.0220044212183</v>
      </c>
      <c r="AJ106" s="158">
        <f t="shared" si="48"/>
        <v>405.36874443601118</v>
      </c>
      <c r="AK106" s="158">
        <f t="shared" si="48"/>
        <v>406.71997358411318</v>
      </c>
      <c r="AL106" s="158">
        <f t="shared" si="48"/>
        <v>408.07570682934602</v>
      </c>
      <c r="AM106" s="158">
        <f t="shared" si="48"/>
        <v>409.43595918551728</v>
      </c>
      <c r="AN106" s="158">
        <f t="shared" si="48"/>
        <v>410.80074571608566</v>
      </c>
      <c r="AO106" s="158">
        <f t="shared" si="48"/>
        <v>412.17008153515053</v>
      </c>
      <c r="AP106" s="158">
        <f t="shared" si="48"/>
        <v>413.54398180692806</v>
      </c>
      <c r="AQ106" s="158">
        <f t="shared" si="48"/>
        <v>414.92246174630418</v>
      </c>
      <c r="AR106" s="158">
        <f t="shared" si="48"/>
        <v>416.30553661879094</v>
      </c>
      <c r="AS106" s="158">
        <f t="shared" si="48"/>
        <v>417.69322174084664</v>
      </c>
      <c r="AT106" s="158">
        <f t="shared" si="48"/>
        <v>419.0855324799777</v>
      </c>
      <c r="AU106" s="158">
        <f t="shared" si="48"/>
        <v>420.48248425492784</v>
      </c>
      <c r="AV106" s="158">
        <f t="shared" si="48"/>
        <v>421.88409253576538</v>
      </c>
      <c r="AW106" s="158">
        <f t="shared" si="48"/>
        <v>423.29037284423248</v>
      </c>
      <c r="AX106" s="158">
        <f t="shared" si="48"/>
        <v>424.70134075373062</v>
      </c>
      <c r="AY106" s="158">
        <f t="shared" si="48"/>
        <v>426.11701188952429</v>
      </c>
      <c r="AZ106" s="158">
        <f t="shared" si="48"/>
        <v>427.53740192920668</v>
      </c>
      <c r="BA106" s="158">
        <f t="shared" si="48"/>
        <v>428.96252660224854</v>
      </c>
      <c r="BB106" s="158">
        <f t="shared" si="48"/>
        <v>430.39240169095865</v>
      </c>
      <c r="BC106" s="158">
        <f t="shared" si="48"/>
        <v>431.82704302990169</v>
      </c>
      <c r="BD106" s="158">
        <f t="shared" si="48"/>
        <v>433.26646650668408</v>
      </c>
      <c r="BE106" s="158">
        <f t="shared" si="48"/>
        <v>434.71068806169205</v>
      </c>
      <c r="BF106" s="158">
        <f t="shared" si="48"/>
        <v>436.15972368858638</v>
      </c>
      <c r="BG106" s="158">
        <f t="shared" si="48"/>
        <v>437.6135894342151</v>
      </c>
      <c r="BH106" s="158">
        <f t="shared" si="48"/>
        <v>439.07230139899184</v>
      </c>
      <c r="BI106" s="158">
        <f t="shared" si="48"/>
        <v>440.5358757369977</v>
      </c>
      <c r="BJ106" s="158">
        <f t="shared" si="48"/>
        <v>442.00432865609764</v>
      </c>
      <c r="BK106" s="158">
        <f t="shared" si="48"/>
        <v>443.47767641828978</v>
      </c>
      <c r="BL106" s="158">
        <f t="shared" si="48"/>
        <v>444.95593533967622</v>
      </c>
      <c r="BM106" s="158">
        <f t="shared" si="48"/>
        <v>446.43912179081235</v>
      </c>
    </row>
    <row r="107" spans="1:73">
      <c r="C107" s="28"/>
      <c r="D107" s="29"/>
      <c r="E107" s="27"/>
      <c r="F107" s="159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8"/>
      <c r="AV107" s="158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</row>
    <row r="108" spans="1:73">
      <c r="D108" s="3"/>
      <c r="E108" s="3">
        <v>0</v>
      </c>
      <c r="F108" s="3">
        <v>1</v>
      </c>
      <c r="G108" s="3">
        <v>2</v>
      </c>
      <c r="H108" s="3">
        <v>3</v>
      </c>
      <c r="I108" s="3">
        <v>4</v>
      </c>
      <c r="J108" s="3">
        <v>5</v>
      </c>
      <c r="K108" s="3">
        <v>6</v>
      </c>
      <c r="L108" s="3">
        <v>7</v>
      </c>
      <c r="M108" s="3">
        <v>8</v>
      </c>
      <c r="N108" s="3">
        <v>9</v>
      </c>
      <c r="O108" s="3">
        <v>10</v>
      </c>
      <c r="P108" s="3">
        <v>11</v>
      </c>
      <c r="Q108" s="3">
        <v>12</v>
      </c>
      <c r="R108" s="3">
        <v>13</v>
      </c>
      <c r="S108" s="3">
        <v>14</v>
      </c>
      <c r="T108" s="3">
        <v>15</v>
      </c>
      <c r="U108" s="3">
        <v>16</v>
      </c>
      <c r="V108" s="3">
        <v>17</v>
      </c>
      <c r="W108" s="3">
        <v>18</v>
      </c>
      <c r="X108" s="3">
        <v>19</v>
      </c>
      <c r="Y108" s="3">
        <v>20</v>
      </c>
      <c r="Z108" s="3">
        <v>21</v>
      </c>
      <c r="AA108" s="3">
        <v>22</v>
      </c>
      <c r="AB108" s="3">
        <v>23</v>
      </c>
      <c r="AC108" s="3">
        <v>24</v>
      </c>
      <c r="AD108" s="3">
        <v>25</v>
      </c>
      <c r="AE108" s="3">
        <v>26</v>
      </c>
      <c r="AF108" s="3">
        <v>27</v>
      </c>
      <c r="AG108" s="3">
        <v>28</v>
      </c>
      <c r="AH108" s="3">
        <v>29</v>
      </c>
      <c r="AI108" s="3">
        <v>30</v>
      </c>
      <c r="AJ108" s="3">
        <v>31</v>
      </c>
      <c r="AK108" s="3">
        <v>32</v>
      </c>
      <c r="AL108" s="3">
        <v>33</v>
      </c>
      <c r="AM108" s="3">
        <v>34</v>
      </c>
      <c r="AN108" s="3">
        <v>35</v>
      </c>
      <c r="AO108" s="3">
        <v>36</v>
      </c>
      <c r="AP108" s="3">
        <v>37</v>
      </c>
      <c r="AQ108" s="3">
        <v>38</v>
      </c>
      <c r="AR108" s="3">
        <v>39</v>
      </c>
      <c r="AS108" s="3">
        <v>40</v>
      </c>
      <c r="AT108" s="3">
        <v>41</v>
      </c>
      <c r="AU108" s="3">
        <v>42</v>
      </c>
      <c r="AV108" s="3">
        <v>43</v>
      </c>
      <c r="AW108" s="3">
        <v>44</v>
      </c>
      <c r="AX108" s="3">
        <v>45</v>
      </c>
      <c r="AY108" s="3">
        <v>46</v>
      </c>
      <c r="AZ108" s="3">
        <v>47</v>
      </c>
      <c r="BA108" s="3">
        <v>48</v>
      </c>
      <c r="BB108" s="3">
        <v>49</v>
      </c>
      <c r="BC108" s="3">
        <v>50</v>
      </c>
      <c r="BD108" s="3">
        <v>51</v>
      </c>
      <c r="BE108" s="3">
        <v>52</v>
      </c>
      <c r="BF108" s="3">
        <v>53</v>
      </c>
      <c r="BG108" s="3">
        <v>54</v>
      </c>
      <c r="BH108" s="3">
        <v>55</v>
      </c>
      <c r="BI108" s="3">
        <v>56</v>
      </c>
      <c r="BJ108" s="3">
        <v>57</v>
      </c>
      <c r="BK108" s="3">
        <v>58</v>
      </c>
      <c r="BL108" s="3">
        <v>59</v>
      </c>
      <c r="BM108" s="3">
        <v>60</v>
      </c>
    </row>
    <row r="109" spans="1:73" ht="15.75" thickBot="1">
      <c r="A109" s="133"/>
      <c r="B109" s="133"/>
      <c r="C109" s="60" t="s">
        <v>221</v>
      </c>
      <c r="D109" s="61"/>
      <c r="E109" s="160">
        <f>-D98</f>
        <v>-3622300</v>
      </c>
      <c r="F109" s="161">
        <f>F42-F90</f>
        <v>-181330.13659999997</v>
      </c>
      <c r="G109" s="162">
        <f>G42-G90+G106</f>
        <v>79200.11377252778</v>
      </c>
      <c r="H109" s="162">
        <f t="shared" ref="H109:BM109" si="49">H42-H90+H106</f>
        <v>142947.93061735586</v>
      </c>
      <c r="I109" s="162">
        <f t="shared" si="49"/>
        <v>217997.44847511896</v>
      </c>
      <c r="J109" s="162">
        <f t="shared" si="49"/>
        <v>206284.6534707041</v>
      </c>
      <c r="K109" s="162">
        <f t="shared" si="49"/>
        <v>205873.54028108565</v>
      </c>
      <c r="L109" s="162">
        <f t="shared" si="49"/>
        <v>205460.09924715874</v>
      </c>
      <c r="M109" s="162">
        <f t="shared" si="49"/>
        <v>205044.32066957187</v>
      </c>
      <c r="N109" s="162">
        <f t="shared" si="49"/>
        <v>204465.2218765599</v>
      </c>
      <c r="O109" s="162">
        <f t="shared" si="49"/>
        <v>204205.71188377519</v>
      </c>
      <c r="P109" s="162">
        <f t="shared" si="49"/>
        <v>203621.88914211886</v>
      </c>
      <c r="Q109" s="162">
        <f t="shared" si="49"/>
        <v>203196.66258557024</v>
      </c>
      <c r="R109" s="162">
        <f t="shared" si="49"/>
        <v>378498.63445788441</v>
      </c>
      <c r="S109" s="162">
        <f t="shared" si="49"/>
        <v>357134.25689033559</v>
      </c>
      <c r="T109" s="162">
        <f t="shared" si="49"/>
        <v>358178.47968856263</v>
      </c>
      <c r="U109" s="162">
        <f t="shared" si="49"/>
        <v>359631.02690550033</v>
      </c>
      <c r="V109" s="162">
        <f t="shared" si="49"/>
        <v>360680.26708761364</v>
      </c>
      <c r="W109" s="162">
        <f t="shared" si="49"/>
        <v>362140.55434538447</v>
      </c>
      <c r="X109" s="162">
        <f t="shared" si="49"/>
        <v>363194.83731394721</v>
      </c>
      <c r="Y109" s="162">
        <f t="shared" si="49"/>
        <v>364662.90816265158</v>
      </c>
      <c r="Z109" s="162">
        <f t="shared" si="49"/>
        <v>365722.25942219957</v>
      </c>
      <c r="AA109" s="162">
        <f t="shared" si="49"/>
        <v>367198.15763481433</v>
      </c>
      <c r="AB109" s="162">
        <f t="shared" si="49"/>
        <v>368262.60279197025</v>
      </c>
      <c r="AC109" s="162">
        <f t="shared" si="49"/>
        <v>369746.3723652683</v>
      </c>
      <c r="AD109" s="162">
        <f t="shared" si="49"/>
        <v>371025.36354277958</v>
      </c>
      <c r="AE109" s="162">
        <f t="shared" si="49"/>
        <v>372307.62228432839</v>
      </c>
      <c r="AF109" s="162">
        <f t="shared" si="49"/>
        <v>373382.33246547752</v>
      </c>
      <c r="AG109" s="162">
        <f t="shared" si="49"/>
        <v>374881.97765025834</v>
      </c>
      <c r="AH109" s="162">
        <f t="shared" si="49"/>
        <v>376174.09192143485</v>
      </c>
      <c r="AI109" s="162">
        <f t="shared" si="49"/>
        <v>377469.50905030186</v>
      </c>
      <c r="AJ109" s="162">
        <f t="shared" si="49"/>
        <v>378340.93790759036</v>
      </c>
      <c r="AK109" s="162">
        <f t="shared" si="49"/>
        <v>380070.28740170802</v>
      </c>
      <c r="AL109" s="162">
        <f t="shared" si="49"/>
        <v>381375.66643629898</v>
      </c>
      <c r="AM109" s="162">
        <f t="shared" si="49"/>
        <v>382684.38395275298</v>
      </c>
      <c r="AN109" s="162">
        <f t="shared" si="49"/>
        <v>383779.93596516305</v>
      </c>
      <c r="AO109" s="162">
        <f t="shared" si="49"/>
        <v>385094.63563011936</v>
      </c>
      <c r="AP109" s="162">
        <f t="shared" si="49"/>
        <v>386630.65707665135</v>
      </c>
      <c r="AQ109" s="162">
        <f t="shared" si="49"/>
        <v>387586.56356529897</v>
      </c>
      <c r="AR109" s="162">
        <f t="shared" si="49"/>
        <v>388983.22413068952</v>
      </c>
      <c r="AS109" s="162">
        <f t="shared" si="49"/>
        <v>390164.59193999023</v>
      </c>
      <c r="AT109" s="162">
        <f t="shared" si="49"/>
        <v>391128.4819259076</v>
      </c>
      <c r="AU109" s="162">
        <f t="shared" si="49"/>
        <v>392537.54153968469</v>
      </c>
      <c r="AV109" s="162">
        <f t="shared" si="49"/>
        <v>393729.14155972732</v>
      </c>
      <c r="AW109" s="162">
        <f t="shared" si="49"/>
        <v>394924.17058142647</v>
      </c>
      <c r="AX109" s="162">
        <f t="shared" si="49"/>
        <v>396122.63777229481</v>
      </c>
      <c r="AY109" s="162">
        <f t="shared" si="49"/>
        <v>397324.55232097517</v>
      </c>
      <c r="AZ109" s="162">
        <f t="shared" si="49"/>
        <v>398529.923437274</v>
      </c>
      <c r="BA109" s="162">
        <f t="shared" si="49"/>
        <v>399738.76035219053</v>
      </c>
      <c r="BB109" s="162">
        <f t="shared" si="49"/>
        <v>400951.0723179488</v>
      </c>
      <c r="BC109" s="162">
        <f t="shared" si="49"/>
        <v>402166.8686080288</v>
      </c>
      <c r="BD109" s="162">
        <f t="shared" si="49"/>
        <v>403386.15851719683</v>
      </c>
      <c r="BE109" s="162">
        <f t="shared" si="49"/>
        <v>404379.83665868232</v>
      </c>
      <c r="BF109" s="162">
        <f t="shared" si="49"/>
        <v>405835.25647847843</v>
      </c>
      <c r="BG109" s="162">
        <f t="shared" si="49"/>
        <v>406834.43854690972</v>
      </c>
      <c r="BH109" s="162">
        <f t="shared" si="49"/>
        <v>408298.44098682457</v>
      </c>
      <c r="BI109" s="162">
        <f t="shared" si="49"/>
        <v>409535.33916010882</v>
      </c>
      <c r="BJ109" s="162">
        <f t="shared" si="49"/>
        <v>410309.86952297227</v>
      </c>
      <c r="BK109" s="162">
        <f t="shared" si="49"/>
        <v>412019.79446058278</v>
      </c>
      <c r="BL109" s="162">
        <f t="shared" si="49"/>
        <v>413032.85602789163</v>
      </c>
      <c r="BM109" s="162">
        <f t="shared" si="49"/>
        <v>414518.52477149887</v>
      </c>
      <c r="BN109" s="193"/>
      <c r="BO109" s="193"/>
      <c r="BP109" s="209">
        <f t="shared" ref="BP109" si="50">SUM(F109:Q109)</f>
        <v>1896967.4554215469</v>
      </c>
      <c r="BQ109" s="209">
        <f t="shared" si="37"/>
        <v>4375050.3570661321</v>
      </c>
      <c r="BR109" s="209">
        <f t="shared" si="38"/>
        <v>4536586.7442082139</v>
      </c>
      <c r="BS109" s="209">
        <f t="shared" si="39"/>
        <v>4717400.2462021103</v>
      </c>
      <c r="BT109" s="209">
        <f t="shared" si="40"/>
        <v>4891268.4560571238</v>
      </c>
      <c r="BU109" s="209">
        <f t="shared" ref="BU109" si="51">SUM(BP109:BT109)</f>
        <v>20417273.258955128</v>
      </c>
    </row>
    <row r="110" spans="1:73" ht="15.75" thickTop="1">
      <c r="C110" t="s">
        <v>222</v>
      </c>
      <c r="D110" s="3"/>
      <c r="E110" s="67">
        <f>E109</f>
        <v>-3622300</v>
      </c>
      <c r="F110" s="67">
        <f>F109+E110</f>
        <v>-3803630.1365999999</v>
      </c>
      <c r="G110" s="67">
        <f t="shared" ref="G110:BM110" si="52">G109+F110</f>
        <v>-3724430.0228274721</v>
      </c>
      <c r="H110" s="67">
        <f t="shared" si="52"/>
        <v>-3581482.0922101163</v>
      </c>
      <c r="I110" s="67">
        <f t="shared" si="52"/>
        <v>-3363484.6437349971</v>
      </c>
      <c r="J110" s="67">
        <f t="shared" si="52"/>
        <v>-3157199.9902642928</v>
      </c>
      <c r="K110" s="67">
        <f t="shared" si="52"/>
        <v>-2951326.449983207</v>
      </c>
      <c r="L110" s="67">
        <f t="shared" si="52"/>
        <v>-2745866.3507360481</v>
      </c>
      <c r="M110" s="67">
        <f t="shared" si="52"/>
        <v>-2540822.0300664762</v>
      </c>
      <c r="N110" s="67">
        <f t="shared" si="52"/>
        <v>-2336356.8081899164</v>
      </c>
      <c r="O110" s="67">
        <f t="shared" si="52"/>
        <v>-2132151.0963061415</v>
      </c>
      <c r="P110" s="67">
        <f t="shared" si="52"/>
        <v>-1928529.2071640226</v>
      </c>
      <c r="Q110" s="67">
        <f t="shared" si="52"/>
        <v>-1725332.5445784524</v>
      </c>
      <c r="R110" s="67">
        <f t="shared" si="52"/>
        <v>-1346833.910120568</v>
      </c>
      <c r="S110" s="67">
        <f t="shared" si="52"/>
        <v>-989699.65323023242</v>
      </c>
      <c r="T110" s="67">
        <f t="shared" si="52"/>
        <v>-631521.17354166973</v>
      </c>
      <c r="U110" s="67">
        <f t="shared" si="52"/>
        <v>-271890.1466361694</v>
      </c>
      <c r="V110" s="67">
        <f t="shared" si="52"/>
        <v>88790.120451444236</v>
      </c>
      <c r="W110" s="67">
        <f t="shared" si="52"/>
        <v>450930.67479682871</v>
      </c>
      <c r="X110" s="67">
        <f t="shared" si="52"/>
        <v>814125.51211077592</v>
      </c>
      <c r="Y110" s="67">
        <f t="shared" si="52"/>
        <v>1178788.4202734274</v>
      </c>
      <c r="Z110" s="67">
        <f t="shared" si="52"/>
        <v>1544510.679695627</v>
      </c>
      <c r="AA110" s="67">
        <f t="shared" si="52"/>
        <v>1911708.8373304412</v>
      </c>
      <c r="AB110" s="67">
        <f t="shared" si="52"/>
        <v>2279971.4401224116</v>
      </c>
      <c r="AC110" s="67">
        <f t="shared" si="52"/>
        <v>2649717.81248768</v>
      </c>
      <c r="AD110" s="67">
        <f t="shared" si="52"/>
        <v>3020743.1760304598</v>
      </c>
      <c r="AE110" s="67">
        <f t="shared" si="52"/>
        <v>3393050.7983147884</v>
      </c>
      <c r="AF110" s="67">
        <f t="shared" si="52"/>
        <v>3766433.1307802657</v>
      </c>
      <c r="AG110" s="67">
        <f t="shared" si="52"/>
        <v>4141315.1084305239</v>
      </c>
      <c r="AH110" s="67">
        <f t="shared" si="52"/>
        <v>4517489.2003519591</v>
      </c>
      <c r="AI110" s="67">
        <f t="shared" si="52"/>
        <v>4894958.7094022613</v>
      </c>
      <c r="AJ110" s="67">
        <f t="shared" si="52"/>
        <v>5273299.6473098518</v>
      </c>
      <c r="AK110" s="67">
        <f t="shared" si="52"/>
        <v>5653369.9347115597</v>
      </c>
      <c r="AL110" s="67">
        <f t="shared" si="52"/>
        <v>6034745.6011478584</v>
      </c>
      <c r="AM110" s="67">
        <f t="shared" si="52"/>
        <v>6417429.9851006111</v>
      </c>
      <c r="AN110" s="67">
        <f t="shared" si="52"/>
        <v>6801209.9210657738</v>
      </c>
      <c r="AO110" s="67">
        <f t="shared" si="52"/>
        <v>7186304.5566958934</v>
      </c>
      <c r="AP110" s="67">
        <f t="shared" si="52"/>
        <v>7572935.2137725446</v>
      </c>
      <c r="AQ110" s="67">
        <f t="shared" si="52"/>
        <v>7960521.7773378436</v>
      </c>
      <c r="AR110" s="67">
        <f t="shared" si="52"/>
        <v>8349505.0014685327</v>
      </c>
      <c r="AS110" s="67">
        <f t="shared" si="52"/>
        <v>8739669.5934085231</v>
      </c>
      <c r="AT110" s="67">
        <f t="shared" si="52"/>
        <v>9130798.0753344316</v>
      </c>
      <c r="AU110" s="67">
        <f t="shared" si="52"/>
        <v>9523335.6168741155</v>
      </c>
      <c r="AV110" s="67">
        <f t="shared" si="52"/>
        <v>9917064.758433843</v>
      </c>
      <c r="AW110" s="67">
        <f t="shared" si="52"/>
        <v>10311988.92901527</v>
      </c>
      <c r="AX110" s="67">
        <f t="shared" si="52"/>
        <v>10708111.566787565</v>
      </c>
      <c r="AY110" s="67">
        <f t="shared" si="52"/>
        <v>11105436.119108541</v>
      </c>
      <c r="AZ110" s="67">
        <f t="shared" si="52"/>
        <v>11503966.042545814</v>
      </c>
      <c r="BA110" s="67">
        <f t="shared" si="52"/>
        <v>11903704.802898005</v>
      </c>
      <c r="BB110" s="67">
        <f t="shared" si="52"/>
        <v>12304655.875215953</v>
      </c>
      <c r="BC110" s="67">
        <f t="shared" si="52"/>
        <v>12706822.743823983</v>
      </c>
      <c r="BD110" s="67">
        <f t="shared" si="52"/>
        <v>13110208.90234118</v>
      </c>
      <c r="BE110" s="67">
        <f t="shared" si="52"/>
        <v>13514588.738999862</v>
      </c>
      <c r="BF110" s="67">
        <f t="shared" si="52"/>
        <v>13920423.995478341</v>
      </c>
      <c r="BG110" s="67">
        <f t="shared" si="52"/>
        <v>14327258.43402525</v>
      </c>
      <c r="BH110" s="67">
        <f t="shared" si="52"/>
        <v>14735556.875012076</v>
      </c>
      <c r="BI110" s="67">
        <f t="shared" si="52"/>
        <v>15145092.214172184</v>
      </c>
      <c r="BJ110" s="67">
        <f t="shared" si="52"/>
        <v>15555402.083695156</v>
      </c>
      <c r="BK110" s="67">
        <f t="shared" si="52"/>
        <v>15967421.87815574</v>
      </c>
      <c r="BL110" s="67">
        <f t="shared" si="52"/>
        <v>16380454.734183632</v>
      </c>
      <c r="BM110" s="67">
        <f t="shared" si="52"/>
        <v>16794973.258955132</v>
      </c>
    </row>
    <row r="111" spans="1:73">
      <c r="D111" s="3"/>
      <c r="E111" s="3">
        <f>IF(E110&lt;0,E3,0)</f>
        <v>1</v>
      </c>
      <c r="F111" s="3">
        <f t="shared" ref="F111:BM111" si="53">IF(F110&lt;0,F3,0)</f>
        <v>1</v>
      </c>
      <c r="G111" s="3">
        <f t="shared" si="53"/>
        <v>1</v>
      </c>
      <c r="H111" s="3">
        <f t="shared" si="53"/>
        <v>1</v>
      </c>
      <c r="I111" s="3">
        <f t="shared" si="53"/>
        <v>1</v>
      </c>
      <c r="J111" s="3">
        <f t="shared" si="53"/>
        <v>1</v>
      </c>
      <c r="K111" s="3">
        <f t="shared" si="53"/>
        <v>1</v>
      </c>
      <c r="L111" s="3">
        <f t="shared" si="53"/>
        <v>1</v>
      </c>
      <c r="M111" s="3">
        <f t="shared" si="53"/>
        <v>1</v>
      </c>
      <c r="N111" s="3">
        <f t="shared" si="53"/>
        <v>1</v>
      </c>
      <c r="O111" s="3">
        <f t="shared" si="53"/>
        <v>1</v>
      </c>
      <c r="P111" s="3">
        <f t="shared" si="53"/>
        <v>1</v>
      </c>
      <c r="Q111" s="3">
        <f t="shared" si="53"/>
        <v>1</v>
      </c>
      <c r="R111" s="3">
        <f t="shared" si="53"/>
        <v>1</v>
      </c>
      <c r="S111" s="3">
        <f t="shared" si="53"/>
        <v>1</v>
      </c>
      <c r="T111" s="3">
        <f t="shared" si="53"/>
        <v>1</v>
      </c>
      <c r="U111" s="3">
        <f t="shared" si="53"/>
        <v>1</v>
      </c>
      <c r="V111" s="3">
        <f t="shared" si="53"/>
        <v>0</v>
      </c>
      <c r="W111" s="3">
        <f t="shared" si="53"/>
        <v>0</v>
      </c>
      <c r="X111" s="3">
        <f t="shared" si="53"/>
        <v>0</v>
      </c>
      <c r="Y111" s="3">
        <f t="shared" si="53"/>
        <v>0</v>
      </c>
      <c r="Z111" s="3">
        <f t="shared" si="53"/>
        <v>0</v>
      </c>
      <c r="AA111" s="3">
        <f t="shared" si="53"/>
        <v>0</v>
      </c>
      <c r="AB111" s="3">
        <f t="shared" si="53"/>
        <v>0</v>
      </c>
      <c r="AC111" s="3">
        <f t="shared" si="53"/>
        <v>0</v>
      </c>
      <c r="AD111" s="3">
        <f t="shared" si="53"/>
        <v>0</v>
      </c>
      <c r="AE111" s="3">
        <f t="shared" si="53"/>
        <v>0</v>
      </c>
      <c r="AF111" s="3">
        <f t="shared" si="53"/>
        <v>0</v>
      </c>
      <c r="AG111" s="3">
        <f t="shared" si="53"/>
        <v>0</v>
      </c>
      <c r="AH111" s="3">
        <f t="shared" si="53"/>
        <v>0</v>
      </c>
      <c r="AI111" s="3">
        <f t="shared" si="53"/>
        <v>0</v>
      </c>
      <c r="AJ111" s="3">
        <f t="shared" si="53"/>
        <v>0</v>
      </c>
      <c r="AK111" s="3">
        <f t="shared" si="53"/>
        <v>0</v>
      </c>
      <c r="AL111" s="3">
        <f t="shared" si="53"/>
        <v>0</v>
      </c>
      <c r="AM111" s="3">
        <f t="shared" si="53"/>
        <v>0</v>
      </c>
      <c r="AN111" s="3">
        <f t="shared" si="53"/>
        <v>0</v>
      </c>
      <c r="AO111" s="3">
        <f t="shared" si="53"/>
        <v>0</v>
      </c>
      <c r="AP111" s="3">
        <f t="shared" si="53"/>
        <v>0</v>
      </c>
      <c r="AQ111" s="3">
        <f t="shared" si="53"/>
        <v>0</v>
      </c>
      <c r="AR111" s="3">
        <f t="shared" si="53"/>
        <v>0</v>
      </c>
      <c r="AS111" s="3">
        <f t="shared" si="53"/>
        <v>0</v>
      </c>
      <c r="AT111" s="3">
        <f t="shared" si="53"/>
        <v>0</v>
      </c>
      <c r="AU111" s="3">
        <f t="shared" si="53"/>
        <v>0</v>
      </c>
      <c r="AV111" s="3">
        <f t="shared" si="53"/>
        <v>0</v>
      </c>
      <c r="AW111" s="3">
        <f t="shared" si="53"/>
        <v>0</v>
      </c>
      <c r="AX111" s="3">
        <f t="shared" si="53"/>
        <v>0</v>
      </c>
      <c r="AY111" s="3">
        <f t="shared" si="53"/>
        <v>0</v>
      </c>
      <c r="AZ111" s="3">
        <f t="shared" si="53"/>
        <v>0</v>
      </c>
      <c r="BA111" s="3">
        <f t="shared" si="53"/>
        <v>0</v>
      </c>
      <c r="BB111" s="3">
        <f t="shared" si="53"/>
        <v>0</v>
      </c>
      <c r="BC111" s="3">
        <f t="shared" si="53"/>
        <v>0</v>
      </c>
      <c r="BD111" s="3">
        <f t="shared" si="53"/>
        <v>0</v>
      </c>
      <c r="BE111" s="3">
        <f t="shared" si="53"/>
        <v>0</v>
      </c>
      <c r="BF111" s="3">
        <f t="shared" si="53"/>
        <v>0</v>
      </c>
      <c r="BG111" s="3">
        <f t="shared" si="53"/>
        <v>0</v>
      </c>
      <c r="BH111" s="3">
        <f t="shared" si="53"/>
        <v>0</v>
      </c>
      <c r="BI111" s="3">
        <f t="shared" si="53"/>
        <v>0</v>
      </c>
      <c r="BJ111" s="3">
        <f t="shared" si="53"/>
        <v>0</v>
      </c>
      <c r="BK111" s="3">
        <f t="shared" si="53"/>
        <v>0</v>
      </c>
      <c r="BL111" s="3">
        <f t="shared" si="53"/>
        <v>0</v>
      </c>
      <c r="BM111" s="3">
        <f t="shared" si="53"/>
        <v>0</v>
      </c>
    </row>
    <row r="112" spans="1:73">
      <c r="D112" s="3"/>
    </row>
    <row r="113" spans="1:65">
      <c r="B113" s="163">
        <f>SUM(E111:BM111)</f>
        <v>17</v>
      </c>
      <c r="C113" s="163">
        <f>B113/12</f>
        <v>1.4166666666666667</v>
      </c>
    </row>
    <row r="114" spans="1:65">
      <c r="D114" s="3"/>
    </row>
    <row r="115" spans="1:65">
      <c r="D115" s="3"/>
    </row>
    <row r="116" spans="1:65" ht="15.75" thickBot="1">
      <c r="A116" s="133"/>
      <c r="B116" s="133"/>
      <c r="C116" s="60" t="s">
        <v>236</v>
      </c>
      <c r="D116" s="61"/>
      <c r="E116" s="61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157"/>
      <c r="AJ116" s="157"/>
      <c r="AK116" s="157"/>
      <c r="AL116" s="157"/>
      <c r="AM116" s="157"/>
      <c r="AN116" s="157"/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157"/>
      <c r="BB116" s="157"/>
      <c r="BC116" s="157"/>
      <c r="BD116" s="157"/>
      <c r="BE116" s="157"/>
      <c r="BF116" s="157"/>
      <c r="BG116" s="157"/>
      <c r="BH116" s="157"/>
      <c r="BI116" s="157"/>
      <c r="BJ116" s="157"/>
      <c r="BK116" s="157"/>
      <c r="BL116" s="157"/>
      <c r="BM116" s="157"/>
    </row>
    <row r="117" spans="1:65" ht="15.75" thickTop="1">
      <c r="C117" t="s">
        <v>224</v>
      </c>
      <c r="D117" s="92">
        <f>C125/12</f>
        <v>1.1266843234961214E-2</v>
      </c>
      <c r="F117" s="70"/>
    </row>
    <row r="118" spans="1:65">
      <c r="C118" t="s">
        <v>225</v>
      </c>
      <c r="D118" s="3"/>
      <c r="E118" s="67">
        <f>E109/(1+$D$117)^E8</f>
        <v>-3622300</v>
      </c>
      <c r="F118" s="67">
        <f t="shared" ref="F118:BM118" si="54">F109/(1+$D$117)^F8</f>
        <v>-179309.88028831189</v>
      </c>
      <c r="G118" s="67">
        <f t="shared" si="54"/>
        <v>77445.157842718792</v>
      </c>
      <c r="H118" s="67">
        <f t="shared" si="54"/>
        <v>138223.08073781795</v>
      </c>
      <c r="I118" s="67">
        <f t="shared" si="54"/>
        <v>208443.4909830369</v>
      </c>
      <c r="J118" s="67">
        <f t="shared" si="54"/>
        <v>195046.4630800935</v>
      </c>
      <c r="K118" s="67">
        <f t="shared" si="54"/>
        <v>192489.00351630678</v>
      </c>
      <c r="L118" s="67">
        <f t="shared" si="54"/>
        <v>189962.16772127119</v>
      </c>
      <c r="M118" s="67">
        <f t="shared" si="54"/>
        <v>187465.60588264704</v>
      </c>
      <c r="N118" s="67">
        <f t="shared" si="54"/>
        <v>184853.43925653931</v>
      </c>
      <c r="O118" s="67">
        <f t="shared" si="54"/>
        <v>182561.92421956084</v>
      </c>
      <c r="P118" s="67">
        <f t="shared" si="54"/>
        <v>180011.81600825093</v>
      </c>
      <c r="Q118" s="67">
        <f t="shared" si="54"/>
        <v>177634.51448347003</v>
      </c>
      <c r="R118" s="67">
        <f t="shared" si="54"/>
        <v>327197.01397323806</v>
      </c>
      <c r="S118" s="67">
        <f t="shared" si="54"/>
        <v>305288.71923453372</v>
      </c>
      <c r="T118" s="67">
        <f t="shared" si="54"/>
        <v>302770.08804536465</v>
      </c>
      <c r="U118" s="67">
        <f t="shared" si="54"/>
        <v>300610.99661170307</v>
      </c>
      <c r="V118" s="67">
        <f t="shared" si="54"/>
        <v>298129.06962982879</v>
      </c>
      <c r="W118" s="67">
        <f t="shared" si="54"/>
        <v>296001.10759391397</v>
      </c>
      <c r="X118" s="67">
        <f t="shared" si="54"/>
        <v>293555.39920082712</v>
      </c>
      <c r="Y118" s="67">
        <f t="shared" si="54"/>
        <v>291458.166810603</v>
      </c>
      <c r="Z118" s="67">
        <f t="shared" si="54"/>
        <v>289048.19647313189</v>
      </c>
      <c r="AA118" s="67">
        <f t="shared" si="54"/>
        <v>286981.29775335675</v>
      </c>
      <c r="AB118" s="67">
        <f t="shared" si="54"/>
        <v>284606.59001067438</v>
      </c>
      <c r="AC118" s="67">
        <f t="shared" si="54"/>
        <v>282569.63276952604</v>
      </c>
      <c r="AD118" s="67">
        <f t="shared" si="54"/>
        <v>280387.98308287497</v>
      </c>
      <c r="AE118" s="67">
        <f t="shared" si="54"/>
        <v>278222.31305256736</v>
      </c>
      <c r="AF118" s="67">
        <f t="shared" si="54"/>
        <v>275916.72433250787</v>
      </c>
      <c r="AG118" s="67">
        <f t="shared" si="54"/>
        <v>273938.48862923915</v>
      </c>
      <c r="AH118" s="67">
        <f t="shared" si="54"/>
        <v>271820.12394757365</v>
      </c>
      <c r="AI118" s="67">
        <f t="shared" si="54"/>
        <v>269717.31834379118</v>
      </c>
      <c r="AJ118" s="67">
        <f t="shared" si="54"/>
        <v>267328.04651656345</v>
      </c>
      <c r="AK118" s="67">
        <f t="shared" si="54"/>
        <v>265557.9698392686</v>
      </c>
      <c r="AL118" s="67">
        <f t="shared" si="54"/>
        <v>263501.22104400053</v>
      </c>
      <c r="AM118" s="67">
        <f t="shared" si="54"/>
        <v>261459.61953605592</v>
      </c>
      <c r="AN118" s="67">
        <f t="shared" si="54"/>
        <v>259286.78473599203</v>
      </c>
      <c r="AO118" s="67">
        <f t="shared" si="54"/>
        <v>257276.3211846156</v>
      </c>
      <c r="AP118" s="67">
        <f t="shared" si="54"/>
        <v>255424.68566297289</v>
      </c>
      <c r="AQ118" s="67">
        <f t="shared" si="54"/>
        <v>253203.39525780431</v>
      </c>
      <c r="AR118" s="67">
        <f t="shared" si="54"/>
        <v>251284.62424818589</v>
      </c>
      <c r="AS118" s="67">
        <f t="shared" si="54"/>
        <v>249239.64824681051</v>
      </c>
      <c r="AT118" s="67">
        <f t="shared" si="54"/>
        <v>247071.66959395935</v>
      </c>
      <c r="AU118" s="67">
        <f t="shared" si="54"/>
        <v>245199.13720824273</v>
      </c>
      <c r="AV118" s="67">
        <f t="shared" si="54"/>
        <v>243203.33798316502</v>
      </c>
      <c r="AW118" s="67">
        <f t="shared" si="54"/>
        <v>241223.66858227938</v>
      </c>
      <c r="AX118" s="67">
        <f t="shared" si="54"/>
        <v>239259.99952913687</v>
      </c>
      <c r="AY118" s="67">
        <f t="shared" si="54"/>
        <v>237312.202379408</v>
      </c>
      <c r="AZ118" s="67">
        <f t="shared" si="54"/>
        <v>235380.14971271882</v>
      </c>
      <c r="BA118" s="67">
        <f t="shared" si="54"/>
        <v>233463.71512454998</v>
      </c>
      <c r="BB118" s="67">
        <f t="shared" si="54"/>
        <v>231562.77321819958</v>
      </c>
      <c r="BC118" s="67">
        <f t="shared" si="54"/>
        <v>229677.19959680966</v>
      </c>
      <c r="BD118" s="67">
        <f t="shared" si="54"/>
        <v>227806.8708554538</v>
      </c>
      <c r="BE118" s="67">
        <f t="shared" si="54"/>
        <v>225823.71671569895</v>
      </c>
      <c r="BF118" s="67">
        <f t="shared" si="54"/>
        <v>224111.45930576255</v>
      </c>
      <c r="BG118" s="67">
        <f t="shared" si="54"/>
        <v>222160.18637727425</v>
      </c>
      <c r="BH118" s="67">
        <f t="shared" si="54"/>
        <v>220475.57087160691</v>
      </c>
      <c r="BI118" s="67">
        <f t="shared" si="54"/>
        <v>218679.64962811032</v>
      </c>
      <c r="BJ118" s="67">
        <f t="shared" si="54"/>
        <v>216652.2389157319</v>
      </c>
      <c r="BK118" s="67">
        <f t="shared" si="54"/>
        <v>215131.2650006063</v>
      </c>
      <c r="BL118" s="67">
        <f t="shared" si="54"/>
        <v>213257.48447583479</v>
      </c>
      <c r="BM118" s="67">
        <f t="shared" si="54"/>
        <v>211640.05098071083</v>
      </c>
    </row>
    <row r="119" spans="1:65">
      <c r="C119" t="s">
        <v>223</v>
      </c>
      <c r="D119" s="3"/>
      <c r="E119" s="67">
        <f>E118</f>
        <v>-3622300</v>
      </c>
      <c r="F119" s="67">
        <f>F118+E119</f>
        <v>-3801609.8802883117</v>
      </c>
      <c r="G119" s="67">
        <f t="shared" ref="G119:BM119" si="55">G118+F119</f>
        <v>-3724164.7224455927</v>
      </c>
      <c r="H119" s="67">
        <f t="shared" si="55"/>
        <v>-3585941.6417077747</v>
      </c>
      <c r="I119" s="67">
        <f t="shared" si="55"/>
        <v>-3377498.1507247379</v>
      </c>
      <c r="J119" s="67">
        <f t="shared" si="55"/>
        <v>-3182451.6876446446</v>
      </c>
      <c r="K119" s="67">
        <f t="shared" si="55"/>
        <v>-2989962.684128338</v>
      </c>
      <c r="L119" s="67">
        <f t="shared" si="55"/>
        <v>-2800000.516407067</v>
      </c>
      <c r="M119" s="67">
        <f t="shared" si="55"/>
        <v>-2612534.91052442</v>
      </c>
      <c r="N119" s="67">
        <f t="shared" si="55"/>
        <v>-2427681.4712678809</v>
      </c>
      <c r="O119" s="67">
        <f t="shared" si="55"/>
        <v>-2245119.5470483201</v>
      </c>
      <c r="P119" s="67">
        <f t="shared" si="55"/>
        <v>-2065107.7310400691</v>
      </c>
      <c r="Q119" s="67">
        <f t="shared" si="55"/>
        <v>-1887473.2165565991</v>
      </c>
      <c r="R119" s="67">
        <f t="shared" si="55"/>
        <v>-1560276.202583361</v>
      </c>
      <c r="S119" s="67">
        <f t="shared" si="55"/>
        <v>-1254987.4833488273</v>
      </c>
      <c r="T119" s="67">
        <f t="shared" si="55"/>
        <v>-952217.39530346263</v>
      </c>
      <c r="U119" s="67">
        <f t="shared" si="55"/>
        <v>-651606.39869175956</v>
      </c>
      <c r="V119" s="67">
        <f t="shared" si="55"/>
        <v>-353477.32906193077</v>
      </c>
      <c r="W119" s="67">
        <f t="shared" si="55"/>
        <v>-57476.221468016796</v>
      </c>
      <c r="X119" s="67">
        <f t="shared" si="55"/>
        <v>236079.17773281032</v>
      </c>
      <c r="Y119" s="67">
        <f t="shared" si="55"/>
        <v>527537.34454341326</v>
      </c>
      <c r="Z119" s="67">
        <f t="shared" si="55"/>
        <v>816585.54101654515</v>
      </c>
      <c r="AA119" s="67">
        <f t="shared" si="55"/>
        <v>1103566.838769902</v>
      </c>
      <c r="AB119" s="67">
        <f t="shared" si="55"/>
        <v>1388173.4287805764</v>
      </c>
      <c r="AC119" s="67">
        <f t="shared" si="55"/>
        <v>1670743.0615501024</v>
      </c>
      <c r="AD119" s="67">
        <f t="shared" si="55"/>
        <v>1951131.0446329773</v>
      </c>
      <c r="AE119" s="67">
        <f t="shared" si="55"/>
        <v>2229353.3576855445</v>
      </c>
      <c r="AF119" s="67">
        <f t="shared" si="55"/>
        <v>2505270.0820180522</v>
      </c>
      <c r="AG119" s="67">
        <f t="shared" si="55"/>
        <v>2779208.5706472914</v>
      </c>
      <c r="AH119" s="67">
        <f t="shared" si="55"/>
        <v>3051028.6945948652</v>
      </c>
      <c r="AI119" s="67">
        <f t="shared" si="55"/>
        <v>3320746.0129386564</v>
      </c>
      <c r="AJ119" s="67">
        <f t="shared" si="55"/>
        <v>3588074.0594552197</v>
      </c>
      <c r="AK119" s="67">
        <f t="shared" si="55"/>
        <v>3853632.029294488</v>
      </c>
      <c r="AL119" s="67">
        <f t="shared" si="55"/>
        <v>4117133.2503384887</v>
      </c>
      <c r="AM119" s="67">
        <f t="shared" si="55"/>
        <v>4378592.8698745444</v>
      </c>
      <c r="AN119" s="67">
        <f t="shared" si="55"/>
        <v>4637879.6546105361</v>
      </c>
      <c r="AO119" s="67">
        <f t="shared" si="55"/>
        <v>4895155.9757951517</v>
      </c>
      <c r="AP119" s="67">
        <f t="shared" si="55"/>
        <v>5150580.6614581244</v>
      </c>
      <c r="AQ119" s="67">
        <f t="shared" si="55"/>
        <v>5403784.0567159289</v>
      </c>
      <c r="AR119" s="67">
        <f t="shared" si="55"/>
        <v>5655068.6809641151</v>
      </c>
      <c r="AS119" s="67">
        <f t="shared" si="55"/>
        <v>5904308.3292109258</v>
      </c>
      <c r="AT119" s="67">
        <f t="shared" si="55"/>
        <v>6151379.998804885</v>
      </c>
      <c r="AU119" s="67">
        <f t="shared" si="55"/>
        <v>6396579.1360131279</v>
      </c>
      <c r="AV119" s="67">
        <f t="shared" si="55"/>
        <v>6639782.4739962928</v>
      </c>
      <c r="AW119" s="67">
        <f t="shared" si="55"/>
        <v>6881006.142578572</v>
      </c>
      <c r="AX119" s="67">
        <f t="shared" si="55"/>
        <v>7120266.1421077093</v>
      </c>
      <c r="AY119" s="67">
        <f t="shared" si="55"/>
        <v>7357578.3444871176</v>
      </c>
      <c r="AZ119" s="67">
        <f t="shared" si="55"/>
        <v>7592958.4941998366</v>
      </c>
      <c r="BA119" s="67">
        <f t="shared" si="55"/>
        <v>7826422.2093243869</v>
      </c>
      <c r="BB119" s="67">
        <f t="shared" si="55"/>
        <v>8057984.9825425865</v>
      </c>
      <c r="BC119" s="67">
        <f t="shared" si="55"/>
        <v>8287662.1821393957</v>
      </c>
      <c r="BD119" s="67">
        <f t="shared" si="55"/>
        <v>8515469.0529948492</v>
      </c>
      <c r="BE119" s="67">
        <f t="shared" si="55"/>
        <v>8741292.7697105482</v>
      </c>
      <c r="BF119" s="67">
        <f t="shared" si="55"/>
        <v>8965404.2290163115</v>
      </c>
      <c r="BG119" s="67">
        <f t="shared" si="55"/>
        <v>9187564.4153935853</v>
      </c>
      <c r="BH119" s="67">
        <f t="shared" si="55"/>
        <v>9408039.9862651918</v>
      </c>
      <c r="BI119" s="67">
        <f t="shared" si="55"/>
        <v>9626719.635893302</v>
      </c>
      <c r="BJ119" s="67">
        <f t="shared" si="55"/>
        <v>9843371.8748090342</v>
      </c>
      <c r="BK119" s="67">
        <f t="shared" si="55"/>
        <v>10058503.13980964</v>
      </c>
      <c r="BL119" s="67">
        <f t="shared" si="55"/>
        <v>10271760.624285474</v>
      </c>
      <c r="BM119" s="67">
        <f t="shared" si="55"/>
        <v>10483400.675266186</v>
      </c>
    </row>
    <row r="120" spans="1:65">
      <c r="D120" s="3"/>
      <c r="E120" s="164">
        <f>IF(E119&lt;0,E3,0)</f>
        <v>1</v>
      </c>
      <c r="F120" s="164">
        <f t="shared" ref="F120:BM120" si="56">IF(F119&lt;0,F3,0)</f>
        <v>1</v>
      </c>
      <c r="G120" s="164">
        <f t="shared" si="56"/>
        <v>1</v>
      </c>
      <c r="H120" s="164">
        <f t="shared" si="56"/>
        <v>1</v>
      </c>
      <c r="I120" s="164">
        <f t="shared" si="56"/>
        <v>1</v>
      </c>
      <c r="J120" s="164">
        <f t="shared" si="56"/>
        <v>1</v>
      </c>
      <c r="K120" s="164">
        <f t="shared" si="56"/>
        <v>1</v>
      </c>
      <c r="L120" s="164">
        <f t="shared" si="56"/>
        <v>1</v>
      </c>
      <c r="M120" s="164">
        <f t="shared" si="56"/>
        <v>1</v>
      </c>
      <c r="N120" s="164">
        <f t="shared" si="56"/>
        <v>1</v>
      </c>
      <c r="O120" s="164">
        <f t="shared" si="56"/>
        <v>1</v>
      </c>
      <c r="P120" s="164">
        <f t="shared" si="56"/>
        <v>1</v>
      </c>
      <c r="Q120" s="164">
        <f t="shared" si="56"/>
        <v>1</v>
      </c>
      <c r="R120" s="164">
        <f t="shared" si="56"/>
        <v>1</v>
      </c>
      <c r="S120" s="164">
        <f t="shared" si="56"/>
        <v>1</v>
      </c>
      <c r="T120" s="164">
        <f t="shared" si="56"/>
        <v>1</v>
      </c>
      <c r="U120" s="164">
        <f t="shared" si="56"/>
        <v>1</v>
      </c>
      <c r="V120" s="164">
        <f t="shared" si="56"/>
        <v>1</v>
      </c>
      <c r="W120" s="164">
        <f t="shared" si="56"/>
        <v>1</v>
      </c>
      <c r="X120" s="164">
        <f t="shared" si="56"/>
        <v>0</v>
      </c>
      <c r="Y120" s="164">
        <f t="shared" si="56"/>
        <v>0</v>
      </c>
      <c r="Z120" s="164">
        <f t="shared" si="56"/>
        <v>0</v>
      </c>
      <c r="AA120" s="164">
        <f t="shared" si="56"/>
        <v>0</v>
      </c>
      <c r="AB120" s="164">
        <f t="shared" si="56"/>
        <v>0</v>
      </c>
      <c r="AC120" s="164">
        <f t="shared" si="56"/>
        <v>0</v>
      </c>
      <c r="AD120" s="164">
        <f t="shared" si="56"/>
        <v>0</v>
      </c>
      <c r="AE120" s="164">
        <f t="shared" si="56"/>
        <v>0</v>
      </c>
      <c r="AF120" s="164">
        <f t="shared" si="56"/>
        <v>0</v>
      </c>
      <c r="AG120" s="164">
        <f t="shared" si="56"/>
        <v>0</v>
      </c>
      <c r="AH120" s="164">
        <f t="shared" si="56"/>
        <v>0</v>
      </c>
      <c r="AI120" s="164">
        <f t="shared" si="56"/>
        <v>0</v>
      </c>
      <c r="AJ120" s="164">
        <f t="shared" si="56"/>
        <v>0</v>
      </c>
      <c r="AK120" s="164">
        <f t="shared" si="56"/>
        <v>0</v>
      </c>
      <c r="AL120" s="164">
        <f t="shared" si="56"/>
        <v>0</v>
      </c>
      <c r="AM120" s="164">
        <f t="shared" si="56"/>
        <v>0</v>
      </c>
      <c r="AN120" s="164">
        <f t="shared" si="56"/>
        <v>0</v>
      </c>
      <c r="AO120" s="164">
        <f t="shared" si="56"/>
        <v>0</v>
      </c>
      <c r="AP120" s="164">
        <f t="shared" si="56"/>
        <v>0</v>
      </c>
      <c r="AQ120" s="164">
        <f t="shared" si="56"/>
        <v>0</v>
      </c>
      <c r="AR120" s="164">
        <f t="shared" si="56"/>
        <v>0</v>
      </c>
      <c r="AS120" s="164">
        <f t="shared" si="56"/>
        <v>0</v>
      </c>
      <c r="AT120" s="164">
        <f t="shared" si="56"/>
        <v>0</v>
      </c>
      <c r="AU120" s="164">
        <f t="shared" si="56"/>
        <v>0</v>
      </c>
      <c r="AV120" s="164">
        <f t="shared" si="56"/>
        <v>0</v>
      </c>
      <c r="AW120" s="164">
        <f t="shared" si="56"/>
        <v>0</v>
      </c>
      <c r="AX120" s="164">
        <f t="shared" si="56"/>
        <v>0</v>
      </c>
      <c r="AY120" s="164">
        <f t="shared" si="56"/>
        <v>0</v>
      </c>
      <c r="AZ120" s="164">
        <f t="shared" si="56"/>
        <v>0</v>
      </c>
      <c r="BA120" s="164">
        <f t="shared" si="56"/>
        <v>0</v>
      </c>
      <c r="BB120" s="164">
        <f t="shared" si="56"/>
        <v>0</v>
      </c>
      <c r="BC120" s="164">
        <f t="shared" si="56"/>
        <v>0</v>
      </c>
      <c r="BD120" s="164">
        <f t="shared" si="56"/>
        <v>0</v>
      </c>
      <c r="BE120" s="164">
        <f t="shared" si="56"/>
        <v>0</v>
      </c>
      <c r="BF120" s="164">
        <f t="shared" si="56"/>
        <v>0</v>
      </c>
      <c r="BG120" s="164">
        <f t="shared" si="56"/>
        <v>0</v>
      </c>
      <c r="BH120" s="164">
        <f t="shared" si="56"/>
        <v>0</v>
      </c>
      <c r="BI120" s="164">
        <f t="shared" si="56"/>
        <v>0</v>
      </c>
      <c r="BJ120" s="164">
        <f t="shared" si="56"/>
        <v>0</v>
      </c>
      <c r="BK120" s="164">
        <f t="shared" si="56"/>
        <v>0</v>
      </c>
      <c r="BL120" s="164">
        <f t="shared" si="56"/>
        <v>0</v>
      </c>
      <c r="BM120" s="164">
        <f t="shared" si="56"/>
        <v>0</v>
      </c>
    </row>
    <row r="121" spans="1:65">
      <c r="D121" s="3"/>
    </row>
    <row r="122" spans="1:65">
      <c r="B122" s="163">
        <f>SUM(E120:BM120)</f>
        <v>19</v>
      </c>
      <c r="C122" s="165">
        <f>B122/12</f>
        <v>1.5833333333333333</v>
      </c>
    </row>
    <row r="123" spans="1:65">
      <c r="D123" s="3"/>
    </row>
    <row r="125" spans="1:65" ht="30">
      <c r="B125" s="182" t="s">
        <v>224</v>
      </c>
      <c r="C125" s="207">
        <f>'Вход и предположения'!M14</f>
        <v>0.13520211881953456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6"/>
  <sheetViews>
    <sheetView topLeftCell="A25" workbookViewId="0">
      <selection activeCell="A45" sqref="A45:F45"/>
    </sheetView>
  </sheetViews>
  <sheetFormatPr defaultRowHeight="15"/>
  <cols>
    <col min="1" max="1" width="48.7109375" customWidth="1"/>
    <col min="2" max="2" width="19.85546875" customWidth="1"/>
    <col min="3" max="3" width="19.7109375" customWidth="1"/>
    <col min="4" max="4" width="20" customWidth="1"/>
    <col min="5" max="5" width="18.42578125" customWidth="1"/>
    <col min="6" max="6" width="18.5703125" customWidth="1"/>
    <col min="7" max="7" width="16.140625" customWidth="1"/>
  </cols>
  <sheetData>
    <row r="1" spans="1:6">
      <c r="A1" s="1" t="s">
        <v>248</v>
      </c>
    </row>
    <row r="2" spans="1:6" ht="18">
      <c r="A2" s="166"/>
      <c r="B2" s="167">
        <v>2021</v>
      </c>
      <c r="C2" s="167">
        <v>2022</v>
      </c>
      <c r="D2" s="167">
        <v>2023</v>
      </c>
      <c r="E2" s="167">
        <v>2024</v>
      </c>
      <c r="F2" s="167">
        <v>2025</v>
      </c>
    </row>
    <row r="3" spans="1:6">
      <c r="A3" s="168" t="s">
        <v>226</v>
      </c>
      <c r="B3" s="171">
        <f>Модель!BP10+Модель!BP17+Модель!BP24</f>
        <v>6247800</v>
      </c>
      <c r="C3" s="171">
        <f>Модель!BQ10+Модель!BQ17+Модель!BQ24</f>
        <v>8608769.5020373948</v>
      </c>
      <c r="D3" s="171">
        <f>Модель!BR10+Модель!BR17+Модель!BR24</f>
        <v>8959504.0541912355</v>
      </c>
      <c r="E3" s="171">
        <f>Модель!BS10+Модель!BS17+Модель!BS24</f>
        <v>9324528.0731551051</v>
      </c>
      <c r="F3" s="171">
        <f>Модель!BT10+Модель!BT17+Модель!BT24</f>
        <v>9704423.733854346</v>
      </c>
    </row>
    <row r="4" spans="1:6">
      <c r="A4" s="168" t="s">
        <v>227</v>
      </c>
      <c r="B4" s="171">
        <f>Модель!BP33</f>
        <v>3812760</v>
      </c>
      <c r="C4" s="171">
        <f>Модель!BQ33</f>
        <v>5253556.7730382057</v>
      </c>
      <c r="D4" s="171">
        <f>Модель!BR33</f>
        <v>5467594.7817884963</v>
      </c>
      <c r="E4" s="171">
        <f>Модель!BS33</f>
        <v>5690353.029258756</v>
      </c>
      <c r="F4" s="171">
        <f>Модель!BT33</f>
        <v>5922186.7914290614</v>
      </c>
    </row>
    <row r="5" spans="1:6">
      <c r="A5" s="169" t="s">
        <v>228</v>
      </c>
      <c r="B5" s="173">
        <f>B3+B4</f>
        <v>10060560</v>
      </c>
      <c r="C5" s="173">
        <f t="shared" ref="C5:F5" si="0">C3+C4</f>
        <v>13862326.2750756</v>
      </c>
      <c r="D5" s="173">
        <f t="shared" si="0"/>
        <v>14427098.835979732</v>
      </c>
      <c r="E5" s="173">
        <f t="shared" si="0"/>
        <v>15014881.102413861</v>
      </c>
      <c r="F5" s="173">
        <f t="shared" si="0"/>
        <v>15626610.525283407</v>
      </c>
    </row>
    <row r="6" spans="1:6" ht="30">
      <c r="A6" s="168" t="s">
        <v>235</v>
      </c>
      <c r="B6" s="171">
        <f>Модель!BP48+Модель!BP54+Модель!BP68</f>
        <v>2479502.6084246542</v>
      </c>
      <c r="C6" s="171">
        <f>Модель!BQ48+Модель!BQ54+Модель!BQ68</f>
        <v>2587944.9039988518</v>
      </c>
      <c r="D6" s="171">
        <f>Модель!BR48+Модель!BR54+Модель!BR68</f>
        <v>2713640.2623924869</v>
      </c>
      <c r="E6" s="171">
        <f>Модель!BS48+Модель!BS54+Модель!BS68</f>
        <v>2845493.1064222329</v>
      </c>
      <c r="F6" s="171">
        <f>Модель!BT48+Модель!BT54+Модель!BT68</f>
        <v>2983807.3289572075</v>
      </c>
    </row>
    <row r="7" spans="1:6">
      <c r="A7" s="168" t="s">
        <v>229</v>
      </c>
      <c r="B7" s="175">
        <f>Модель!BP71</f>
        <v>1815600</v>
      </c>
      <c r="C7" s="175">
        <f>Модель!BQ71</f>
        <v>2501693.7014467642</v>
      </c>
      <c r="D7" s="175">
        <f>Модель!BR71</f>
        <v>2603616.5627564271</v>
      </c>
      <c r="E7" s="175">
        <f>Модель!BS71</f>
        <v>2709691.9186946461</v>
      </c>
      <c r="F7" s="175">
        <f>Модель!BT71</f>
        <v>2820088.9482995532</v>
      </c>
    </row>
    <row r="8" spans="1:6">
      <c r="A8" s="168" t="s">
        <v>230</v>
      </c>
      <c r="B8" s="171">
        <f>Модель!BP57+Модель!BP64+Модель!BP81+Модель!BP77</f>
        <v>3382374.9720000001</v>
      </c>
      <c r="C8" s="171">
        <f>Модель!BQ57+Модель!BQ64+Модель!BQ81+Модель!BQ77</f>
        <v>3492510.1784293996</v>
      </c>
      <c r="D8" s="171">
        <f>Модель!BR57+Модель!BR64+Модель!BR81+Модель!BR77</f>
        <v>3634804.5153567558</v>
      </c>
      <c r="E8" s="171">
        <f>Модель!BS57+Модель!BS64+Модель!BS81+Модель!BS77</f>
        <v>3782119.9549993034</v>
      </c>
      <c r="F8" s="171">
        <f>Модель!BT57+Модель!BT64+Модель!BT81+Модель!BT77</f>
        <v>3937012.0053399685</v>
      </c>
    </row>
    <row r="9" spans="1:6" ht="30">
      <c r="A9" s="169" t="s">
        <v>244</v>
      </c>
      <c r="B9" s="173">
        <f>B5-B6-B7-B8</f>
        <v>2383082.4195753457</v>
      </c>
      <c r="C9" s="173">
        <f t="shared" ref="C9:F9" si="1">C5-C6-C7-C8</f>
        <v>5280177.491200584</v>
      </c>
      <c r="D9" s="173">
        <f t="shared" si="1"/>
        <v>5475037.4954740619</v>
      </c>
      <c r="E9" s="173">
        <f t="shared" si="1"/>
        <v>5677576.12229768</v>
      </c>
      <c r="F9" s="173">
        <f t="shared" si="1"/>
        <v>5885702.2426866777</v>
      </c>
    </row>
    <row r="10" spans="1:6">
      <c r="A10" s="168" t="s">
        <v>231</v>
      </c>
      <c r="B10" s="171">
        <f>Нач.инв.!$G$14+Нач.инв.!$G$30+Нач.инв.!$H$46+Нач.инв.!$H$56</f>
        <v>90420</v>
      </c>
      <c r="C10" s="171">
        <f>Нач.инв.!$G$14+Нач.инв.!$G$30+Нач.инв.!$H$46+Нач.инв.!$H$56</f>
        <v>90420</v>
      </c>
      <c r="D10" s="171">
        <f>Нач.инв.!$G$14+Нач.инв.!$G$30+Нач.инв.!$H$46+Нач.инв.!$H$56</f>
        <v>90420</v>
      </c>
      <c r="E10" s="171">
        <f>Нач.инв.!$G$14+Нач.инв.!$G$30+Нач.инв.!$H$46+Нач.инв.!$H$56</f>
        <v>90420</v>
      </c>
      <c r="F10" s="171">
        <f>Нач.инв.!$G$14+Нач.инв.!$G$30+Нач.инв.!$H$46+Нач.инв.!$H$56</f>
        <v>90420</v>
      </c>
    </row>
    <row r="11" spans="1:6">
      <c r="A11" s="169" t="s">
        <v>245</v>
      </c>
      <c r="B11" s="173">
        <f>B9-B10</f>
        <v>2292662.4195753457</v>
      </c>
      <c r="C11" s="173">
        <f t="shared" ref="C11:F11" si="2">C9-C10</f>
        <v>5189757.491200584</v>
      </c>
      <c r="D11" s="173">
        <f t="shared" si="2"/>
        <v>5384617.4954740619</v>
      </c>
      <c r="E11" s="173">
        <f t="shared" si="2"/>
        <v>5587156.12229768</v>
      </c>
      <c r="F11" s="173">
        <f t="shared" si="2"/>
        <v>5795282.2426866777</v>
      </c>
    </row>
    <row r="12" spans="1:6">
      <c r="A12" s="168" t="s">
        <v>232</v>
      </c>
      <c r="B12" s="175">
        <f>Модель!BP85</f>
        <v>63541.666666666679</v>
      </c>
      <c r="C12" s="175">
        <f>Модель!BQ85</f>
        <v>38541.666666666701</v>
      </c>
      <c r="D12" s="175">
        <f>Модель!BR85</f>
        <v>13541.666666666717</v>
      </c>
      <c r="E12" s="175">
        <f>Модель!BS85</f>
        <v>0</v>
      </c>
      <c r="F12" s="175">
        <f>Модель!BT85</f>
        <v>0</v>
      </c>
    </row>
    <row r="13" spans="1:6">
      <c r="A13" s="168" t="s">
        <v>118</v>
      </c>
      <c r="B13" s="174">
        <f>Модель!BP38</f>
        <v>180000</v>
      </c>
      <c r="C13" s="174">
        <f>Модель!BQ38</f>
        <v>183948.06628285037</v>
      </c>
      <c r="D13" s="174">
        <f>Модель!BR38</f>
        <v>191442.39432032552</v>
      </c>
      <c r="E13" s="174">
        <f>Модель!BS38</f>
        <v>199242.05284519453</v>
      </c>
      <c r="F13" s="174">
        <f>Модель!BT38</f>
        <v>207359.4814926142</v>
      </c>
    </row>
    <row r="14" spans="1:6">
      <c r="A14" s="169" t="s">
        <v>246</v>
      </c>
      <c r="B14" s="180">
        <f>B11-B12+B13</f>
        <v>2409120.7529086792</v>
      </c>
      <c r="C14" s="180">
        <f t="shared" ref="C14:F14" si="3">C11-C12+C13</f>
        <v>5335163.8908167677</v>
      </c>
      <c r="D14" s="180">
        <f t="shared" si="3"/>
        <v>5562518.2231277209</v>
      </c>
      <c r="E14" s="180">
        <f t="shared" si="3"/>
        <v>5786398.1751428749</v>
      </c>
      <c r="F14" s="180">
        <f t="shared" si="3"/>
        <v>6002641.7241792921</v>
      </c>
    </row>
    <row r="15" spans="1:6">
      <c r="A15" s="168" t="s">
        <v>233</v>
      </c>
      <c r="B15" s="174">
        <f>Модель!BP87</f>
        <v>363450.70447439078</v>
      </c>
      <c r="C15" s="174">
        <f>Модель!BQ87</f>
        <v>767254.55660119385</v>
      </c>
      <c r="D15" s="174">
        <f>Модель!BR87</f>
        <v>799717.07399861747</v>
      </c>
      <c r="E15" s="174">
        <f>Модель!BS87</f>
        <v>831590.421218278</v>
      </c>
      <c r="F15" s="174">
        <f>Модель!BT87</f>
        <v>862236.70604212419</v>
      </c>
    </row>
    <row r="16" spans="1:6">
      <c r="A16" s="169" t="s">
        <v>234</v>
      </c>
      <c r="B16" s="181">
        <f>B14-B15</f>
        <v>2045670.0484342885</v>
      </c>
      <c r="C16" s="181">
        <f t="shared" ref="C16:F16" si="4">C14-C15</f>
        <v>4567909.334215574</v>
      </c>
      <c r="D16" s="181">
        <f t="shared" si="4"/>
        <v>4762801.1491291039</v>
      </c>
      <c r="E16" s="181">
        <f t="shared" si="4"/>
        <v>4954807.7539245971</v>
      </c>
      <c r="F16" s="181">
        <f t="shared" si="4"/>
        <v>5140405.0181371681</v>
      </c>
    </row>
    <row r="20" spans="1:6">
      <c r="A20" s="1" t="s">
        <v>252</v>
      </c>
    </row>
    <row r="21" spans="1:6" ht="18">
      <c r="A21" s="166"/>
      <c r="B21" s="167">
        <v>2021</v>
      </c>
      <c r="C21" s="167">
        <v>2022</v>
      </c>
      <c r="D21" s="167">
        <v>2023</v>
      </c>
      <c r="E21" s="167">
        <v>2024</v>
      </c>
      <c r="F21" s="167">
        <v>2025</v>
      </c>
    </row>
    <row r="22" spans="1:6">
      <c r="A22" t="s">
        <v>253</v>
      </c>
      <c r="B22" s="181">
        <f>Инв.расчет!$G$3+Инв.расчет!$G$10+Инв.расчет!$G$17</f>
        <v>3622300</v>
      </c>
      <c r="C22" s="181">
        <f>Инв.расчет!$G$3+Инв.расчет!$G$10+Инв.расчет!$G$17</f>
        <v>3622300</v>
      </c>
      <c r="D22" s="181">
        <f>Инв.расчет!$G$3+Инв.расчет!$G$10+Инв.расчет!$G$17</f>
        <v>3622300</v>
      </c>
      <c r="E22" s="181">
        <f>Инв.расчет!$G$3+Инв.расчет!$G$10+Инв.расчет!$G$17</f>
        <v>3622300</v>
      </c>
      <c r="F22" s="181">
        <f>Инв.расчет!$G$3+Инв.расчет!$G$10+Инв.расчет!$G$17</f>
        <v>3622300</v>
      </c>
    </row>
    <row r="23" spans="1:6">
      <c r="A23" t="s">
        <v>217</v>
      </c>
      <c r="B23" s="181">
        <f>Модель!$E$104*Модель!BP42</f>
        <v>1024056</v>
      </c>
      <c r="C23" s="181">
        <f>Модель!$E$104*Модель!BQ42</f>
        <v>1404627.4341358452</v>
      </c>
      <c r="D23" s="181">
        <f>Модель!$E$104*Модель!BR42</f>
        <v>1461854.1230300057</v>
      </c>
      <c r="E23" s="181">
        <f>Модель!$E$104*Модель!BS42</f>
        <v>1521412.3155259059</v>
      </c>
      <c r="F23" s="181">
        <f>Модель!$E$104*Модель!BT42</f>
        <v>1583397.0006776021</v>
      </c>
    </row>
    <row r="24" spans="1:6">
      <c r="B24" s="67"/>
      <c r="C24" s="67"/>
      <c r="D24" s="67"/>
      <c r="E24" s="67"/>
      <c r="F24" s="67"/>
    </row>
    <row r="25" spans="1:6">
      <c r="B25" s="183"/>
      <c r="C25" s="183"/>
      <c r="D25" s="183"/>
      <c r="E25" s="183"/>
      <c r="F25" s="183"/>
    </row>
    <row r="29" spans="1:6" ht="15.75" customHeight="1">
      <c r="A29" s="1" t="s">
        <v>255</v>
      </c>
      <c r="B29" s="184"/>
    </row>
    <row r="30" spans="1:6" ht="18">
      <c r="A30" s="166" t="s">
        <v>254</v>
      </c>
      <c r="B30" s="167">
        <v>2021</v>
      </c>
      <c r="C30" s="167">
        <v>2022</v>
      </c>
      <c r="D30" s="167">
        <v>2023</v>
      </c>
      <c r="E30" s="167">
        <v>2024</v>
      </c>
      <c r="F30" s="167">
        <v>2025</v>
      </c>
    </row>
    <row r="31" spans="1:6">
      <c r="A31" s="168" t="s">
        <v>226</v>
      </c>
      <c r="B31" s="174">
        <f t="shared" ref="B31:B39" si="5">B3</f>
        <v>6247800</v>
      </c>
      <c r="C31" s="174">
        <f t="shared" ref="C31:F31" si="6">C3</f>
        <v>8608769.5020373948</v>
      </c>
      <c r="D31" s="174">
        <f t="shared" si="6"/>
        <v>8959504.0541912355</v>
      </c>
      <c r="E31" s="174">
        <f t="shared" si="6"/>
        <v>9324528.0731551051</v>
      </c>
      <c r="F31" s="174">
        <f t="shared" si="6"/>
        <v>9704423.733854346</v>
      </c>
    </row>
    <row r="32" spans="1:6">
      <c r="A32" s="168" t="s">
        <v>227</v>
      </c>
      <c r="B32" s="174">
        <f t="shared" si="5"/>
        <v>3812760</v>
      </c>
      <c r="C32" s="174">
        <f t="shared" ref="C32:F32" si="7">C4</f>
        <v>5253556.7730382057</v>
      </c>
      <c r="D32" s="174">
        <f t="shared" si="7"/>
        <v>5467594.7817884963</v>
      </c>
      <c r="E32" s="174">
        <f t="shared" si="7"/>
        <v>5690353.029258756</v>
      </c>
      <c r="F32" s="174">
        <f t="shared" si="7"/>
        <v>5922186.7914290614</v>
      </c>
    </row>
    <row r="33" spans="1:6">
      <c r="A33" s="169" t="s">
        <v>228</v>
      </c>
      <c r="B33" s="180">
        <f t="shared" si="5"/>
        <v>10060560</v>
      </c>
      <c r="C33" s="180">
        <f t="shared" ref="C33:F33" si="8">C5</f>
        <v>13862326.2750756</v>
      </c>
      <c r="D33" s="180">
        <f t="shared" si="8"/>
        <v>14427098.835979732</v>
      </c>
      <c r="E33" s="180">
        <f t="shared" si="8"/>
        <v>15014881.102413861</v>
      </c>
      <c r="F33" s="180">
        <f t="shared" si="8"/>
        <v>15626610.525283407</v>
      </c>
    </row>
    <row r="34" spans="1:6" ht="30">
      <c r="A34" s="168" t="s">
        <v>235</v>
      </c>
      <c r="B34" s="174">
        <f t="shared" si="5"/>
        <v>2479502.6084246542</v>
      </c>
      <c r="C34" s="174">
        <f t="shared" ref="C34:F34" si="9">C6</f>
        <v>2587944.9039988518</v>
      </c>
      <c r="D34" s="174">
        <f t="shared" si="9"/>
        <v>2713640.2623924869</v>
      </c>
      <c r="E34" s="174">
        <f t="shared" si="9"/>
        <v>2845493.1064222329</v>
      </c>
      <c r="F34" s="174">
        <f t="shared" si="9"/>
        <v>2983807.3289572075</v>
      </c>
    </row>
    <row r="35" spans="1:6">
      <c r="A35" s="168" t="s">
        <v>229</v>
      </c>
      <c r="B35" s="174">
        <f t="shared" si="5"/>
        <v>1815600</v>
      </c>
      <c r="C35" s="174">
        <f t="shared" ref="C35:F35" si="10">C7</f>
        <v>2501693.7014467642</v>
      </c>
      <c r="D35" s="174">
        <f t="shared" si="10"/>
        <v>2603616.5627564271</v>
      </c>
      <c r="E35" s="174">
        <f t="shared" si="10"/>
        <v>2709691.9186946461</v>
      </c>
      <c r="F35" s="174">
        <f t="shared" si="10"/>
        <v>2820088.9482995532</v>
      </c>
    </row>
    <row r="36" spans="1:6">
      <c r="A36" s="168" t="s">
        <v>230</v>
      </c>
      <c r="B36" s="174">
        <f t="shared" si="5"/>
        <v>3382374.9720000001</v>
      </c>
      <c r="C36" s="174">
        <f t="shared" ref="C36:F36" si="11">C8</f>
        <v>3492510.1784293996</v>
      </c>
      <c r="D36" s="174">
        <f t="shared" si="11"/>
        <v>3634804.5153567558</v>
      </c>
      <c r="E36" s="174">
        <f t="shared" si="11"/>
        <v>3782119.9549993034</v>
      </c>
      <c r="F36" s="174">
        <f t="shared" si="11"/>
        <v>3937012.0053399685</v>
      </c>
    </row>
    <row r="37" spans="1:6" ht="30">
      <c r="A37" s="169" t="s">
        <v>244</v>
      </c>
      <c r="B37" s="180">
        <f t="shared" si="5"/>
        <v>2383082.4195753457</v>
      </c>
      <c r="C37" s="180">
        <f t="shared" ref="C37:F37" si="12">C9</f>
        <v>5280177.491200584</v>
      </c>
      <c r="D37" s="180">
        <f t="shared" si="12"/>
        <v>5475037.4954740619</v>
      </c>
      <c r="E37" s="180">
        <f t="shared" si="12"/>
        <v>5677576.12229768</v>
      </c>
      <c r="F37" s="180">
        <f t="shared" si="12"/>
        <v>5885702.2426866777</v>
      </c>
    </row>
    <row r="38" spans="1:6">
      <c r="A38" s="168" t="s">
        <v>231</v>
      </c>
      <c r="B38" s="174">
        <f t="shared" si="5"/>
        <v>90420</v>
      </c>
      <c r="C38" s="174">
        <f t="shared" ref="C38:F38" si="13">C10</f>
        <v>90420</v>
      </c>
      <c r="D38" s="174">
        <f t="shared" si="13"/>
        <v>90420</v>
      </c>
      <c r="E38" s="174">
        <f t="shared" si="13"/>
        <v>90420</v>
      </c>
      <c r="F38" s="174">
        <f t="shared" si="13"/>
        <v>90420</v>
      </c>
    </row>
    <row r="39" spans="1:6">
      <c r="A39" s="169" t="s">
        <v>245</v>
      </c>
      <c r="B39" s="180">
        <f t="shared" si="5"/>
        <v>2292662.4195753457</v>
      </c>
      <c r="C39" s="180">
        <f t="shared" ref="C39:F39" si="14">C11</f>
        <v>5189757.491200584</v>
      </c>
      <c r="D39" s="180">
        <f t="shared" si="14"/>
        <v>5384617.4954740619</v>
      </c>
      <c r="E39" s="180">
        <f t="shared" si="14"/>
        <v>5587156.12229768</v>
      </c>
      <c r="F39" s="180">
        <f t="shared" si="14"/>
        <v>5795282.2426866777</v>
      </c>
    </row>
    <row r="40" spans="1:6" ht="30">
      <c r="A40" s="187" t="s">
        <v>250</v>
      </c>
    </row>
    <row r="41" spans="1:6" ht="30">
      <c r="A41" s="188" t="s">
        <v>249</v>
      </c>
      <c r="B41" s="180">
        <f>B39-B15</f>
        <v>1929211.715100955</v>
      </c>
      <c r="C41" s="180">
        <f t="shared" ref="C41:F41" si="15">C39-C15</f>
        <v>4422502.9345993903</v>
      </c>
      <c r="D41" s="180">
        <f t="shared" si="15"/>
        <v>4584900.421475444</v>
      </c>
      <c r="E41" s="180">
        <f t="shared" si="15"/>
        <v>4755565.7010794021</v>
      </c>
      <c r="F41" s="180">
        <f t="shared" si="15"/>
        <v>4933045.5366445538</v>
      </c>
    </row>
    <row r="42" spans="1:6">
      <c r="A42" s="187" t="s">
        <v>231</v>
      </c>
      <c r="B42" s="174">
        <f>B10</f>
        <v>90420</v>
      </c>
      <c r="C42" s="174">
        <f t="shared" ref="C42:F42" si="16">C10</f>
        <v>90420</v>
      </c>
      <c r="D42" s="174">
        <f t="shared" si="16"/>
        <v>90420</v>
      </c>
      <c r="E42" s="174">
        <f t="shared" si="16"/>
        <v>90420</v>
      </c>
      <c r="F42" s="174">
        <f t="shared" si="16"/>
        <v>90420</v>
      </c>
    </row>
    <row r="43" spans="1:6">
      <c r="A43" s="182" t="s">
        <v>256</v>
      </c>
      <c r="B43" s="185">
        <v>0</v>
      </c>
      <c r="C43" s="174">
        <f>C23-B23</f>
        <v>380571.43413584516</v>
      </c>
      <c r="D43" s="174">
        <f t="shared" ref="D43:F43" si="17">D23-C23</f>
        <v>57226.688894160558</v>
      </c>
      <c r="E43" s="174">
        <f t="shared" si="17"/>
        <v>59558.192495900206</v>
      </c>
      <c r="F43" s="174">
        <f t="shared" si="17"/>
        <v>61984.685151696205</v>
      </c>
    </row>
    <row r="44" spans="1:6">
      <c r="A44" s="187" t="s">
        <v>251</v>
      </c>
      <c r="B44" s="174">
        <f>Модель!D98</f>
        <v>3622300</v>
      </c>
      <c r="C44" s="174">
        <f>'Вход и предположения'!$E$39*Модель!BP42</f>
        <v>204811.2</v>
      </c>
      <c r="D44" s="174">
        <f>'Вход и предположения'!$E$39*Модель!BQ42</f>
        <v>280925.48682716902</v>
      </c>
      <c r="E44" s="174">
        <f>'Вход и предположения'!$E$39*Модель!BR42</f>
        <v>292370.82460600114</v>
      </c>
      <c r="F44" s="174">
        <f>'Вход и предположения'!$E$39*Модель!BS42</f>
        <v>304282.46310518117</v>
      </c>
    </row>
    <row r="45" spans="1:6" ht="30">
      <c r="A45" s="188" t="s">
        <v>258</v>
      </c>
      <c r="B45" s="180">
        <f>B41+B42-B43-B44</f>
        <v>-1602668.284899045</v>
      </c>
      <c r="C45" s="180">
        <f t="shared" ref="C45:E45" si="18">C41+C42-C43-C44</f>
        <v>3927540.3004635451</v>
      </c>
      <c r="D45" s="180">
        <f t="shared" si="18"/>
        <v>4337168.2457541153</v>
      </c>
      <c r="E45" s="180">
        <f t="shared" si="18"/>
        <v>4494056.6839775005</v>
      </c>
      <c r="F45" s="180">
        <f>F41+F42-F43-F44</f>
        <v>4657198.3883876763</v>
      </c>
    </row>
    <row r="46" spans="1:6">
      <c r="A46" s="235"/>
      <c r="B46" s="235"/>
      <c r="D46" s="235"/>
      <c r="E46" s="235"/>
    </row>
  </sheetData>
  <mergeCells count="2">
    <mergeCell ref="A46:B46"/>
    <mergeCell ref="D46:E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0"/>
  <sheetViews>
    <sheetView topLeftCell="A7" workbookViewId="0">
      <selection activeCell="B32" sqref="B32:C40"/>
    </sheetView>
  </sheetViews>
  <sheetFormatPr defaultRowHeight="15"/>
  <cols>
    <col min="1" max="1" width="36.85546875" customWidth="1"/>
    <col min="2" max="2" width="27.28515625" customWidth="1"/>
    <col min="3" max="3" width="19.5703125" customWidth="1"/>
    <col min="4" max="4" width="53.85546875" customWidth="1"/>
  </cols>
  <sheetData>
    <row r="1" spans="1:8">
      <c r="A1" s="1" t="s">
        <v>259</v>
      </c>
    </row>
    <row r="2" spans="1:8">
      <c r="A2" t="s">
        <v>263</v>
      </c>
    </row>
    <row r="3" spans="1:8">
      <c r="A3" t="s">
        <v>264</v>
      </c>
      <c r="F3" t="s">
        <v>280</v>
      </c>
    </row>
    <row r="5" spans="1:8">
      <c r="A5" s="190"/>
    </row>
    <row r="6" spans="1:8">
      <c r="A6" s="190"/>
    </row>
    <row r="7" spans="1:8">
      <c r="A7" s="190" t="s">
        <v>260</v>
      </c>
    </row>
    <row r="8" spans="1:8">
      <c r="A8" t="s">
        <v>261</v>
      </c>
    </row>
    <row r="9" spans="1:8">
      <c r="A9" s="219" t="s">
        <v>266</v>
      </c>
    </row>
    <row r="10" spans="1:8">
      <c r="A10" t="s">
        <v>265</v>
      </c>
    </row>
    <row r="11" spans="1:8">
      <c r="A11" t="s">
        <v>277</v>
      </c>
    </row>
    <row r="12" spans="1:8">
      <c r="A12" t="s">
        <v>262</v>
      </c>
      <c r="H12" s="56">
        <v>5.6899999999999999E-2</v>
      </c>
    </row>
    <row r="13" spans="1:8">
      <c r="H13" s="56">
        <v>6.0199999999999997E-2</v>
      </c>
    </row>
    <row r="14" spans="1:8">
      <c r="H14" s="56">
        <v>6.2199999999999998E-2</v>
      </c>
    </row>
    <row r="15" spans="1:8">
      <c r="H15" s="56">
        <v>6.4500000000000002E-2</v>
      </c>
    </row>
    <row r="16" spans="1:8">
      <c r="A16" s="172" t="s">
        <v>268</v>
      </c>
      <c r="B16" s="172" t="s">
        <v>269</v>
      </c>
      <c r="C16" s="172" t="s">
        <v>270</v>
      </c>
      <c r="D16" s="172" t="s">
        <v>271</v>
      </c>
      <c r="H16" s="56">
        <v>6.59E-2</v>
      </c>
    </row>
    <row r="17" spans="1:8">
      <c r="A17" s="172" t="s">
        <v>272</v>
      </c>
      <c r="B17" s="172" t="s">
        <v>4</v>
      </c>
      <c r="C17" s="195">
        <f>H24</f>
        <v>6.2449999999999999E-2</v>
      </c>
      <c r="D17" s="172" t="s">
        <v>340</v>
      </c>
      <c r="H17" s="56">
        <v>6.7599999999999993E-2</v>
      </c>
    </row>
    <row r="18" spans="1:8">
      <c r="A18" s="172" t="s">
        <v>273</v>
      </c>
      <c r="B18" s="172" t="s">
        <v>278</v>
      </c>
      <c r="C18" s="196">
        <v>0.03</v>
      </c>
      <c r="D18" s="172" t="s">
        <v>281</v>
      </c>
      <c r="H18" s="56">
        <v>6.9099999999999995E-2</v>
      </c>
    </row>
    <row r="19" spans="1:8" ht="30">
      <c r="A19" s="172" t="s">
        <v>274</v>
      </c>
      <c r="B19" s="172" t="s">
        <v>278</v>
      </c>
      <c r="C19" s="196">
        <v>0.03</v>
      </c>
      <c r="D19" s="197" t="s">
        <v>282</v>
      </c>
      <c r="H19" s="56">
        <v>6.9800000000000001E-2</v>
      </c>
    </row>
    <row r="20" spans="1:8">
      <c r="A20" s="172" t="s">
        <v>275</v>
      </c>
      <c r="B20" s="172" t="s">
        <v>278</v>
      </c>
      <c r="C20" s="196">
        <v>0.03</v>
      </c>
      <c r="D20" s="172" t="s">
        <v>283</v>
      </c>
      <c r="H20" s="56">
        <v>7.0199999999999999E-2</v>
      </c>
    </row>
    <row r="21" spans="1:8">
      <c r="A21" s="172" t="s">
        <v>276</v>
      </c>
      <c r="B21" s="172" t="s">
        <v>278</v>
      </c>
      <c r="C21" s="196">
        <v>0.01</v>
      </c>
      <c r="D21" s="172" t="s">
        <v>284</v>
      </c>
      <c r="H21" s="56">
        <v>5.2900000000000003E-2</v>
      </c>
    </row>
    <row r="22" spans="1:8">
      <c r="A22" s="191" t="s">
        <v>279</v>
      </c>
      <c r="B22" s="191" t="s">
        <v>4</v>
      </c>
      <c r="C22" s="198">
        <f>SUM(C17:C21)</f>
        <v>0.16245000000000001</v>
      </c>
      <c r="D22" s="172"/>
      <c r="H22" s="56">
        <v>5.4399999999999997E-2</v>
      </c>
    </row>
    <row r="23" spans="1:8">
      <c r="H23" s="56">
        <v>5.57E-2</v>
      </c>
    </row>
    <row r="24" spans="1:8">
      <c r="H24" s="194">
        <f>AVERAGE(H12:H23)</f>
        <v>6.2449999999999999E-2</v>
      </c>
    </row>
    <row r="25" spans="1:8">
      <c r="A25" s="3"/>
    </row>
    <row r="27" spans="1:8">
      <c r="A27" s="1" t="s">
        <v>286</v>
      </c>
    </row>
    <row r="32" spans="1:8">
      <c r="B32" s="172" t="s">
        <v>287</v>
      </c>
      <c r="C32" s="174">
        <f>Инв.расчет!G28-'Вход и предположения'!D50</f>
        <v>2622300</v>
      </c>
    </row>
    <row r="33" spans="2:3">
      <c r="B33" s="172" t="s">
        <v>288</v>
      </c>
      <c r="C33" s="174">
        <f>'Вход и предположения'!D50</f>
        <v>1000000</v>
      </c>
    </row>
    <row r="34" spans="2:3">
      <c r="B34" s="191" t="s">
        <v>289</v>
      </c>
      <c r="C34" s="180">
        <f>C32+C33</f>
        <v>3622300</v>
      </c>
    </row>
    <row r="35" spans="2:3">
      <c r="B35" s="172" t="s">
        <v>290</v>
      </c>
      <c r="C35" s="195">
        <f>C32/C34</f>
        <v>0.72393230820197108</v>
      </c>
    </row>
    <row r="36" spans="2:3">
      <c r="B36" s="172" t="s">
        <v>291</v>
      </c>
      <c r="C36" s="195">
        <f>C33/C34</f>
        <v>0.27606769179802887</v>
      </c>
    </row>
    <row r="37" spans="2:3">
      <c r="B37" s="172" t="s">
        <v>279</v>
      </c>
      <c r="C37" s="195">
        <f>'Вход и предположения'!M13</f>
        <v>0.16245000000000001</v>
      </c>
    </row>
    <row r="38" spans="2:3">
      <c r="B38" s="172" t="s">
        <v>237</v>
      </c>
      <c r="C38" s="195">
        <f>'Вход и предположения'!M12</f>
        <v>7.4999999999999997E-2</v>
      </c>
    </row>
    <row r="39" spans="2:3">
      <c r="B39" s="172" t="s">
        <v>141</v>
      </c>
      <c r="C39" s="195">
        <f>'Вход и предположения'!M10</f>
        <v>0.15</v>
      </c>
    </row>
    <row r="40" spans="2:3">
      <c r="B40" s="191" t="s">
        <v>292</v>
      </c>
      <c r="C40" s="198">
        <f>C35*C37+C36*C38*(1-C39)</f>
        <v>0.13520211881953456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1"/>
  <sheetViews>
    <sheetView topLeftCell="A43" workbookViewId="0">
      <selection activeCell="A58" sqref="A58"/>
    </sheetView>
  </sheetViews>
  <sheetFormatPr defaultRowHeight="15"/>
  <cols>
    <col min="1" max="1" width="34.7109375" customWidth="1"/>
    <col min="2" max="2" width="14.5703125" customWidth="1"/>
    <col min="3" max="3" width="14.5703125" bestFit="1" customWidth="1"/>
    <col min="4" max="4" width="15.5703125" bestFit="1" customWidth="1"/>
    <col min="5" max="6" width="14.5703125" bestFit="1" customWidth="1"/>
    <col min="8" max="8" width="19.85546875" customWidth="1"/>
    <col min="9" max="9" width="19.140625" customWidth="1"/>
    <col min="10" max="10" width="16.28515625" customWidth="1"/>
    <col min="11" max="11" width="21.7109375" customWidth="1"/>
  </cols>
  <sheetData>
    <row r="1" spans="1:9">
      <c r="A1" s="1" t="s">
        <v>295</v>
      </c>
    </row>
    <row r="7" spans="1:9">
      <c r="A7" t="s">
        <v>162</v>
      </c>
      <c r="B7" s="172">
        <v>1</v>
      </c>
      <c r="C7" s="172">
        <v>2</v>
      </c>
      <c r="D7" s="172">
        <v>3</v>
      </c>
      <c r="E7" s="172">
        <v>4</v>
      </c>
      <c r="F7" s="172">
        <v>5</v>
      </c>
    </row>
    <row r="8" spans="1:9" ht="45">
      <c r="A8" s="188" t="s">
        <v>258</v>
      </c>
      <c r="B8" s="180">
        <f>Отчетность!B45</f>
        <v>-1602668.284899045</v>
      </c>
      <c r="C8" s="180">
        <f>Отчетность!C45</f>
        <v>3927540.3004635451</v>
      </c>
      <c r="D8" s="180">
        <f>Отчетность!D45</f>
        <v>4337168.2457541153</v>
      </c>
      <c r="E8" s="180">
        <f>Отчетность!E45</f>
        <v>4494056.6839775005</v>
      </c>
      <c r="F8" s="180">
        <f>Отчетность!F45</f>
        <v>4657198.3883876763</v>
      </c>
    </row>
    <row r="9" spans="1:9">
      <c r="A9" t="s">
        <v>296</v>
      </c>
      <c r="B9" s="199">
        <f>$I$9</f>
        <v>0.11760280346741021</v>
      </c>
      <c r="C9" s="199">
        <f>$I$9</f>
        <v>0.11760280346741021</v>
      </c>
      <c r="D9" s="199">
        <f>$I$9</f>
        <v>0.11760280346741021</v>
      </c>
      <c r="E9" s="199">
        <f>$I$9</f>
        <v>0.11760280346741021</v>
      </c>
      <c r="F9" s="199">
        <f>$I$9</f>
        <v>0.11760280346741021</v>
      </c>
      <c r="H9" s="172" t="s">
        <v>296</v>
      </c>
      <c r="I9" s="200">
        <f>'re и wacc'!C35*'re и wacc'!C37</f>
        <v>0.11760280346741021</v>
      </c>
    </row>
    <row r="10" spans="1:9">
      <c r="A10" s="1" t="s">
        <v>297</v>
      </c>
      <c r="B10" s="202">
        <f>B8/(1+B9)^B7</f>
        <v>-1434023.1430403527</v>
      </c>
      <c r="C10" s="202">
        <f t="shared" ref="C10:F10" si="0">C8/(1+C9)^C7</f>
        <v>3144457.1795425005</v>
      </c>
      <c r="D10" s="202">
        <f t="shared" si="0"/>
        <v>3107018.3764748131</v>
      </c>
      <c r="E10" s="202">
        <f t="shared" si="0"/>
        <v>2880637.5386199723</v>
      </c>
      <c r="F10" s="202">
        <f t="shared" si="0"/>
        <v>2671082.6469921004</v>
      </c>
    </row>
    <row r="13" spans="1:9">
      <c r="C13" s="203" t="s">
        <v>298</v>
      </c>
      <c r="D13" s="204">
        <f>SUM(B10:F10)</f>
        <v>10369172.598589033</v>
      </c>
    </row>
    <row r="17" spans="1:4">
      <c r="A17" s="1" t="s">
        <v>299</v>
      </c>
    </row>
    <row r="23" spans="1:4">
      <c r="A23" t="s">
        <v>162</v>
      </c>
      <c r="B23" s="172">
        <v>1</v>
      </c>
      <c r="C23" s="172">
        <v>2</v>
      </c>
      <c r="D23" s="172">
        <v>3</v>
      </c>
    </row>
    <row r="24" spans="1:4">
      <c r="A24" t="s">
        <v>300</v>
      </c>
      <c r="B24" s="174">
        <f>SUM('Вход и предположения'!E55:P55)</f>
        <v>63541.666666666679</v>
      </c>
      <c r="C24" s="174">
        <f>SUM('Вход и предположения'!Q55:AB55)</f>
        <v>38541.666666666701</v>
      </c>
      <c r="D24" s="174">
        <f>SUM('Вход и предположения'!AC55:AN55)</f>
        <v>13541.666666666717</v>
      </c>
    </row>
    <row r="25" spans="1:4">
      <c r="A25" t="s">
        <v>301</v>
      </c>
      <c r="B25" s="195">
        <f>'Вход и предположения'!$M$10</f>
        <v>0.15</v>
      </c>
      <c r="C25" s="195">
        <f>'Вход и предположения'!$M$10</f>
        <v>0.15</v>
      </c>
      <c r="D25" s="195">
        <f>'Вход и предположения'!$M$10</f>
        <v>0.15</v>
      </c>
    </row>
    <row r="26" spans="1:4">
      <c r="A26" t="s">
        <v>302</v>
      </c>
      <c r="B26" s="174">
        <f>B24*B25</f>
        <v>9531.2500000000018</v>
      </c>
      <c r="C26" s="174">
        <f t="shared" ref="C26:D26" si="1">C24*C25</f>
        <v>5781.2500000000045</v>
      </c>
      <c r="D26" s="174">
        <f t="shared" si="1"/>
        <v>2031.2500000000075</v>
      </c>
    </row>
    <row r="27" spans="1:4">
      <c r="A27" t="s">
        <v>224</v>
      </c>
      <c r="B27" s="195">
        <f>'Вход и предположения'!$M$12</f>
        <v>7.4999999999999997E-2</v>
      </c>
      <c r="C27" s="195">
        <f>'Вход и предположения'!$M$12</f>
        <v>7.4999999999999997E-2</v>
      </c>
      <c r="D27" s="195">
        <f>'Вход и предположения'!$M$12</f>
        <v>7.4999999999999997E-2</v>
      </c>
    </row>
    <row r="28" spans="1:4">
      <c r="A28" t="s">
        <v>303</v>
      </c>
      <c r="B28" s="174">
        <f>B26/(1+B27)^B23</f>
        <v>8866.2790697674445</v>
      </c>
      <c r="C28" s="174">
        <f t="shared" ref="C28:D28" si="2">C26/(1+C27)^C23</f>
        <v>5002.7041644132005</v>
      </c>
      <c r="D28" s="174">
        <f t="shared" si="2"/>
        <v>1635.0761568163871</v>
      </c>
    </row>
    <row r="31" spans="1:4">
      <c r="C31" s="203" t="s">
        <v>304</v>
      </c>
      <c r="D31" s="204">
        <f>SUM(B28:D28)</f>
        <v>15504.059390997032</v>
      </c>
    </row>
    <row r="34" spans="1:4">
      <c r="A34" s="1" t="s">
        <v>307</v>
      </c>
    </row>
    <row r="35" spans="1:4">
      <c r="A35" t="s">
        <v>308</v>
      </c>
    </row>
    <row r="37" spans="1:4">
      <c r="B37" s="236" t="s">
        <v>309</v>
      </c>
      <c r="C37" s="236"/>
      <c r="D37" s="204">
        <f>D13+D31</f>
        <v>10384676.65798003</v>
      </c>
    </row>
    <row r="42" spans="1:4">
      <c r="A42" s="1" t="s">
        <v>341</v>
      </c>
    </row>
    <row r="47" spans="1:4">
      <c r="A47" t="s">
        <v>305</v>
      </c>
      <c r="B47" s="174">
        <f>Отчетность!F45</f>
        <v>4657198.3883876763</v>
      </c>
    </row>
    <row r="48" spans="1:4">
      <c r="A48" t="s">
        <v>293</v>
      </c>
      <c r="B48" s="195">
        <f>'Вход и предположения'!M16</f>
        <v>6.5000000000000002E-2</v>
      </c>
    </row>
    <row r="49" spans="1:4">
      <c r="A49" t="s">
        <v>292</v>
      </c>
      <c r="B49" s="195">
        <f>'Вход и предположения'!M14</f>
        <v>0.13520211881953456</v>
      </c>
    </row>
    <row r="52" spans="1:4">
      <c r="C52" s="203" t="s">
        <v>306</v>
      </c>
      <c r="D52" s="204">
        <f>B47*(1+B48)/(B49-B48)</f>
        <v>70651945.653992444</v>
      </c>
    </row>
    <row r="54" spans="1:4">
      <c r="C54" s="203" t="s">
        <v>310</v>
      </c>
      <c r="D54" s="204">
        <f>D52/(1+B49)^5</f>
        <v>37476425.479622073</v>
      </c>
    </row>
    <row r="58" spans="1:4">
      <c r="A58" s="1" t="s">
        <v>311</v>
      </c>
    </row>
    <row r="59" spans="1:4">
      <c r="A59" t="s">
        <v>312</v>
      </c>
    </row>
    <row r="61" spans="1:4">
      <c r="B61" s="237" t="s">
        <v>313</v>
      </c>
      <c r="C61" s="237"/>
      <c r="D61" s="205">
        <f>D37+D54</f>
        <v>47861102.137602106</v>
      </c>
    </row>
  </sheetData>
  <mergeCells count="2">
    <mergeCell ref="B37:C37"/>
    <mergeCell ref="B61:C6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>
      <selection activeCell="B18" sqref="B18"/>
    </sheetView>
  </sheetViews>
  <sheetFormatPr defaultRowHeight="15"/>
  <cols>
    <col min="1" max="1" width="49.140625" bestFit="1" customWidth="1"/>
    <col min="2" max="2" width="14.140625" bestFit="1" customWidth="1"/>
    <col min="3" max="6" width="13.140625" bestFit="1" customWidth="1"/>
    <col min="7" max="7" width="12.85546875" bestFit="1" customWidth="1"/>
    <col min="8" max="8" width="11.85546875" bestFit="1" customWidth="1"/>
    <col min="9" max="9" width="9.85546875" customWidth="1"/>
    <col min="10" max="10" width="22.28515625" customWidth="1"/>
    <col min="11" max="11" width="19.5703125" customWidth="1"/>
    <col min="12" max="12" width="14.140625" bestFit="1" customWidth="1"/>
    <col min="17" max="17" width="11.85546875" bestFit="1" customWidth="1"/>
  </cols>
  <sheetData>
    <row r="1" spans="1:17" s="186" customFormat="1">
      <c r="A1" s="1" t="s">
        <v>327</v>
      </c>
    </row>
    <row r="2" spans="1:17">
      <c r="A2" s="172"/>
      <c r="B2" s="172">
        <v>1</v>
      </c>
      <c r="C2" s="172">
        <v>2</v>
      </c>
      <c r="D2" s="172">
        <v>3</v>
      </c>
      <c r="E2" s="172">
        <v>4</v>
      </c>
      <c r="F2" s="172">
        <v>5</v>
      </c>
      <c r="K2" s="186"/>
      <c r="L2" s="186"/>
      <c r="M2" s="186"/>
      <c r="N2" s="186"/>
      <c r="O2" s="186"/>
      <c r="P2" s="186"/>
      <c r="Q2" s="186"/>
    </row>
    <row r="3" spans="1:17">
      <c r="A3" s="172" t="s">
        <v>316</v>
      </c>
      <c r="B3" s="216">
        <f>Модель!BP109</f>
        <v>1896967.4554215469</v>
      </c>
      <c r="C3" s="216">
        <f>Модель!BQ109</f>
        <v>4375050.3570661321</v>
      </c>
      <c r="D3" s="216">
        <f>Модель!BR109</f>
        <v>4536586.7442082139</v>
      </c>
      <c r="E3" s="216">
        <f>Модель!BS109</f>
        <v>4717400.2462021103</v>
      </c>
      <c r="F3" s="216">
        <f>Модель!BT109</f>
        <v>4891268.4560571238</v>
      </c>
      <c r="H3" s="172" t="s">
        <v>285</v>
      </c>
      <c r="I3" s="200">
        <f>'Вход и предположения'!M14</f>
        <v>0.13520211881953456</v>
      </c>
      <c r="K3" s="186"/>
      <c r="L3" s="186"/>
      <c r="M3" s="186"/>
      <c r="N3" s="186"/>
      <c r="O3" s="186"/>
      <c r="P3" s="186"/>
      <c r="Q3" s="186"/>
    </row>
    <row r="4" spans="1:17">
      <c r="A4" s="172" t="s">
        <v>317</v>
      </c>
      <c r="B4" s="208">
        <f>B3/(1+$I$3)^B2</f>
        <v>1671039.3893504632</v>
      </c>
      <c r="C4" s="208">
        <f>C3/(1+$I$3)^C2</f>
        <v>3394975.6995270653</v>
      </c>
      <c r="D4" s="208">
        <f>D3/(1+$I$3)^D2</f>
        <v>3101056.2238666457</v>
      </c>
      <c r="E4" s="208">
        <f>E3/(1+$I$3)^E2</f>
        <v>2840599.1528062606</v>
      </c>
      <c r="F4" s="208">
        <f>F3/(1+$I$3)^F2</f>
        <v>2594511.1079031192</v>
      </c>
      <c r="K4" s="186"/>
      <c r="L4" s="186"/>
      <c r="M4" s="186"/>
      <c r="N4" s="186"/>
      <c r="O4" s="186"/>
      <c r="P4" s="186"/>
      <c r="Q4" s="186"/>
    </row>
    <row r="5" spans="1:17">
      <c r="B5" s="206"/>
      <c r="K5" s="186"/>
      <c r="L5" s="186"/>
      <c r="M5" s="186"/>
      <c r="N5" s="186"/>
      <c r="O5" s="186"/>
      <c r="P5" s="186"/>
      <c r="Q5" s="186"/>
    </row>
    <row r="6" spans="1:17" s="186" customFormat="1">
      <c r="A6" s="170" t="s">
        <v>319</v>
      </c>
      <c r="B6" s="212">
        <f>SUM(B4:F4)</f>
        <v>13602181.573453553</v>
      </c>
      <c r="C6" s="206"/>
      <c r="D6" s="206"/>
      <c r="E6"/>
      <c r="F6"/>
    </row>
    <row r="7" spans="1:17" s="186" customFormat="1"/>
    <row r="8" spans="1:17" s="186" customFormat="1"/>
    <row r="9" spans="1:17" s="186" customFormat="1">
      <c r="A9" s="1" t="s">
        <v>320</v>
      </c>
    </row>
    <row r="10" spans="1:17" s="186" customFormat="1"/>
    <row r="11" spans="1:17" s="186" customFormat="1"/>
    <row r="12" spans="1:17" s="186" customFormat="1"/>
    <row r="13" spans="1:17" s="186" customFormat="1"/>
    <row r="14" spans="1:17" s="186" customFormat="1">
      <c r="A14" s="1" t="s">
        <v>328</v>
      </c>
    </row>
    <row r="15" spans="1:17" s="186" customFormat="1">
      <c r="A15" s="170" t="s">
        <v>215</v>
      </c>
      <c r="B15" s="214">
        <f>Инв.расчет!G28</f>
        <v>3622300</v>
      </c>
    </row>
    <row r="16" spans="1:17" s="186" customFormat="1">
      <c r="A16" s="170" t="s">
        <v>318</v>
      </c>
      <c r="B16" s="214">
        <f>B6</f>
        <v>13602181.573453553</v>
      </c>
    </row>
    <row r="17" spans="1:8" s="186" customFormat="1">
      <c r="A17" s="170" t="s">
        <v>314</v>
      </c>
      <c r="B17" s="214">
        <f>'Стоимость компании'!D54</f>
        <v>37476425.479622073</v>
      </c>
    </row>
    <row r="18" spans="1:8" s="186" customFormat="1">
      <c r="A18" s="213" t="s">
        <v>315</v>
      </c>
      <c r="B18" s="215">
        <f>B16+B17-B15</f>
        <v>47456307.053075626</v>
      </c>
      <c r="D18" s="206"/>
    </row>
    <row r="19" spans="1:8" s="186" customFormat="1"/>
    <row r="20" spans="1:8" s="186" customFormat="1"/>
    <row r="21" spans="1:8" s="186" customFormat="1">
      <c r="A21" s="1" t="s">
        <v>329</v>
      </c>
    </row>
    <row r="22" spans="1:8" s="186" customFormat="1">
      <c r="A22" s="170" t="s">
        <v>215</v>
      </c>
      <c r="B22" s="214">
        <f>Инв.расчет!G28</f>
        <v>3622300</v>
      </c>
    </row>
    <row r="23" spans="1:8" s="186" customFormat="1">
      <c r="A23" s="170" t="s">
        <v>318</v>
      </c>
      <c r="B23" s="214">
        <f>B6</f>
        <v>13602181.573453553</v>
      </c>
    </row>
    <row r="24" spans="1:8" s="186" customFormat="1">
      <c r="A24" s="213" t="s">
        <v>315</v>
      </c>
      <c r="B24" s="215">
        <f>B23-B22</f>
        <v>9979881.573453553</v>
      </c>
      <c r="D24" s="217"/>
    </row>
    <row r="25" spans="1:8" s="186" customFormat="1"/>
    <row r="26" spans="1:8" s="186" customFormat="1"/>
    <row r="27" spans="1:8" s="186" customFormat="1">
      <c r="A27" s="1" t="s">
        <v>330</v>
      </c>
      <c r="B27"/>
      <c r="C27"/>
    </row>
    <row r="28" spans="1:8" s="186" customFormat="1">
      <c r="A28"/>
      <c r="B28"/>
      <c r="C28"/>
    </row>
    <row r="29" spans="1:8" s="186" customFormat="1">
      <c r="A29"/>
      <c r="B29"/>
      <c r="C29"/>
    </row>
    <row r="30" spans="1:8" s="186" customFormat="1">
      <c r="A30"/>
      <c r="B30"/>
      <c r="C30"/>
    </row>
    <row r="31" spans="1:8" s="186" customFormat="1">
      <c r="A31"/>
      <c r="B31"/>
      <c r="C31"/>
    </row>
    <row r="32" spans="1:8" s="186" customFormat="1">
      <c r="A32" s="172"/>
      <c r="B32" s="172">
        <v>1</v>
      </c>
      <c r="C32" s="172">
        <v>2</v>
      </c>
      <c r="D32" s="172">
        <v>3</v>
      </c>
      <c r="E32" s="172">
        <v>4</v>
      </c>
      <c r="F32" s="172">
        <v>5</v>
      </c>
      <c r="G32" s="172" t="s">
        <v>306</v>
      </c>
      <c r="H32" s="172" t="s">
        <v>331</v>
      </c>
    </row>
    <row r="33" spans="1:9" s="186" customFormat="1">
      <c r="A33" s="172" t="s">
        <v>316</v>
      </c>
      <c r="B33" s="216">
        <f>B3</f>
        <v>1896967.4554215469</v>
      </c>
      <c r="C33" s="216">
        <f t="shared" ref="C33:F33" si="0">C3</f>
        <v>4375050.3570661321</v>
      </c>
      <c r="D33" s="216">
        <f t="shared" si="0"/>
        <v>4536586.7442082139</v>
      </c>
      <c r="E33" s="216">
        <f t="shared" si="0"/>
        <v>4717400.2462021103</v>
      </c>
      <c r="F33" s="216">
        <f t="shared" si="0"/>
        <v>4891268.4560571238</v>
      </c>
      <c r="G33" s="216">
        <f>'Стоимость компании'!D52</f>
        <v>70651945.653992444</v>
      </c>
      <c r="H33" s="216">
        <f>Инв.расчет!G28</f>
        <v>3622300</v>
      </c>
    </row>
    <row r="34" spans="1:9" s="186" customFormat="1">
      <c r="A34" s="172" t="s">
        <v>334</v>
      </c>
      <c r="B34" s="222">
        <f>B33/(1+$B$37)^B32</f>
        <v>844817.03187166387</v>
      </c>
      <c r="C34" s="222">
        <f t="shared" ref="C34:F34" si="1">C33/(1+$B$37)^C32</f>
        <v>867738.00203785498</v>
      </c>
      <c r="D34" s="222">
        <f t="shared" si="1"/>
        <v>400716.81011917</v>
      </c>
      <c r="E34" s="222">
        <f t="shared" si="1"/>
        <v>185572.5981120661</v>
      </c>
      <c r="F34" s="222">
        <f t="shared" si="1"/>
        <v>85691.037896775451</v>
      </c>
      <c r="G34" s="216">
        <f>G33/(1+B37)^5</f>
        <v>1237764.5199620752</v>
      </c>
      <c r="H34" s="216">
        <f>-H33</f>
        <v>-3622300</v>
      </c>
      <c r="I34" s="223">
        <f>SUM(B34:H34)</f>
        <v>-3.9394944906234741E-7</v>
      </c>
    </row>
    <row r="35" spans="1:9" s="186" customFormat="1"/>
    <row r="36" spans="1:9" s="186" customFormat="1">
      <c r="A36" s="1" t="s">
        <v>333</v>
      </c>
      <c r="B36"/>
    </row>
    <row r="37" spans="1:9" s="186" customFormat="1">
      <c r="A37" s="213" t="s">
        <v>332</v>
      </c>
      <c r="B37" s="198">
        <v>1.2454181010281942</v>
      </c>
      <c r="D37" s="70"/>
    </row>
    <row r="38" spans="1:9" s="186" customFormat="1"/>
    <row r="39" spans="1:9" s="186" customFormat="1"/>
    <row r="40" spans="1:9" s="186" customFormat="1">
      <c r="A40" s="172"/>
      <c r="B40" s="172">
        <v>1</v>
      </c>
      <c r="C40" s="172">
        <v>2</v>
      </c>
      <c r="D40" s="172">
        <v>3</v>
      </c>
      <c r="E40" s="172">
        <v>4</v>
      </c>
      <c r="F40" s="172">
        <v>5</v>
      </c>
      <c r="G40" s="172" t="s">
        <v>331</v>
      </c>
    </row>
    <row r="41" spans="1:9" s="186" customFormat="1">
      <c r="A41" s="172" t="s">
        <v>316</v>
      </c>
      <c r="B41" s="216">
        <f>B3</f>
        <v>1896967.4554215469</v>
      </c>
      <c r="C41" s="216">
        <f t="shared" ref="C41:F41" si="2">C3</f>
        <v>4375050.3570661321</v>
      </c>
      <c r="D41" s="216">
        <f t="shared" si="2"/>
        <v>4536586.7442082139</v>
      </c>
      <c r="E41" s="216">
        <f t="shared" si="2"/>
        <v>4717400.2462021103</v>
      </c>
      <c r="F41" s="216">
        <f t="shared" si="2"/>
        <v>4891268.4560571238</v>
      </c>
      <c r="G41" s="216">
        <f>Инв.расчет!G28</f>
        <v>3622300</v>
      </c>
    </row>
    <row r="42" spans="1:9" s="186" customFormat="1">
      <c r="A42" s="172" t="s">
        <v>334</v>
      </c>
      <c r="B42" s="222">
        <f>B41/(1+$B$45)^B40</f>
        <v>1022188.4354813739</v>
      </c>
      <c r="C42" s="222">
        <f t="shared" ref="C42:F42" si="3">C41/(1+$B$45)^C40</f>
        <v>1270355.3542116275</v>
      </c>
      <c r="D42" s="222">
        <f t="shared" si="3"/>
        <v>709810.58064962854</v>
      </c>
      <c r="E42" s="222">
        <f t="shared" si="3"/>
        <v>397728.8164221801</v>
      </c>
      <c r="F42" s="222">
        <f t="shared" si="3"/>
        <v>222216.81323510944</v>
      </c>
      <c r="G42" s="216">
        <f>-G41</f>
        <v>-3622300</v>
      </c>
      <c r="H42" s="223">
        <f>SUM(A42:G42)</f>
        <v>-8.0093741416931152E-8</v>
      </c>
    </row>
    <row r="43" spans="1:9" s="186" customFormat="1">
      <c r="C43"/>
    </row>
    <row r="44" spans="1:9" s="186" customFormat="1">
      <c r="A44" s="1" t="s">
        <v>335</v>
      </c>
    </row>
    <row r="45" spans="1:9" s="186" customFormat="1">
      <c r="A45" s="213" t="s">
        <v>332</v>
      </c>
      <c r="B45" s="198">
        <v>0.85579037051834561</v>
      </c>
      <c r="D45" s="70"/>
    </row>
    <row r="46" spans="1:9" s="186" customFormat="1"/>
    <row r="47" spans="1:9" s="186" customFormat="1">
      <c r="A47"/>
      <c r="B47" s="3"/>
      <c r="C47"/>
    </row>
    <row r="48" spans="1:9" s="186" customFormat="1">
      <c r="A48" s="1" t="s">
        <v>322</v>
      </c>
      <c r="B48" s="72"/>
      <c r="C48"/>
    </row>
    <row r="49" spans="1:12">
      <c r="A49" s="213" t="s">
        <v>321</v>
      </c>
      <c r="B49" s="192">
        <f>Модель!B113</f>
        <v>17</v>
      </c>
      <c r="C49" t="s">
        <v>324</v>
      </c>
    </row>
    <row r="50" spans="1:12">
      <c r="A50" s="213" t="s">
        <v>323</v>
      </c>
      <c r="B50" s="192">
        <f>Модель!B122</f>
        <v>19</v>
      </c>
      <c r="C50" t="s">
        <v>324</v>
      </c>
      <c r="J50" s="217"/>
      <c r="K50" s="67"/>
    </row>
    <row r="51" spans="1:12">
      <c r="B51" s="3"/>
      <c r="L51" s="206"/>
    </row>
    <row r="52" spans="1:12">
      <c r="B52" s="3"/>
      <c r="L52" s="206"/>
    </row>
    <row r="53" spans="1:12">
      <c r="A53" s="1" t="s">
        <v>325</v>
      </c>
      <c r="B53" s="3"/>
    </row>
    <row r="54" spans="1:12">
      <c r="A54" s="218" t="s">
        <v>336</v>
      </c>
      <c r="B54" s="224">
        <f>B18/B15</f>
        <v>13.101153149401107</v>
      </c>
    </row>
    <row r="55" spans="1:12">
      <c r="A55" s="218" t="s">
        <v>337</v>
      </c>
      <c r="B55" s="224">
        <f>B24/B22</f>
        <v>2.7551228704010029</v>
      </c>
      <c r="E55" s="206"/>
    </row>
    <row r="56" spans="1:12">
      <c r="B56" s="1"/>
      <c r="G56" s="217"/>
      <c r="H56" s="217"/>
    </row>
    <row r="57" spans="1:12">
      <c r="A57" s="1" t="s">
        <v>326</v>
      </c>
      <c r="B57" s="1"/>
      <c r="E57" s="70"/>
    </row>
    <row r="58" spans="1:12">
      <c r="A58" s="213" t="s">
        <v>338</v>
      </c>
      <c r="B58" s="198">
        <f>B37-I3</f>
        <v>1.1102159822086597</v>
      </c>
      <c r="D58" s="206"/>
      <c r="E58" s="70"/>
    </row>
    <row r="59" spans="1:12">
      <c r="A59" s="213" t="s">
        <v>339</v>
      </c>
      <c r="B59" s="198">
        <f>B45-I3</f>
        <v>0.72058825169881102</v>
      </c>
      <c r="E59" s="217"/>
    </row>
    <row r="60" spans="1:12">
      <c r="B60" s="1"/>
      <c r="E60" s="206"/>
    </row>
    <row r="63" spans="1:12">
      <c r="D63" s="186"/>
    </row>
  </sheetData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37"/>
  <sheetViews>
    <sheetView topLeftCell="A19" workbookViewId="0">
      <selection activeCell="A27" sqref="A27:I37"/>
    </sheetView>
  </sheetViews>
  <sheetFormatPr defaultRowHeight="15"/>
  <cols>
    <col min="1" max="1" width="37.28515625" customWidth="1"/>
    <col min="2" max="10" width="12.85546875" bestFit="1" customWidth="1"/>
    <col min="11" max="11" width="14.5703125" bestFit="1" customWidth="1"/>
    <col min="12" max="12" width="13.42578125" customWidth="1"/>
    <col min="13" max="13" width="12.85546875" customWidth="1"/>
    <col min="14" max="14" width="13.28515625" customWidth="1"/>
  </cols>
  <sheetData>
    <row r="1" spans="1:15">
      <c r="A1" s="238" t="s">
        <v>342</v>
      </c>
      <c r="B1" s="239" t="s">
        <v>352</v>
      </c>
      <c r="C1" s="239"/>
      <c r="D1" s="239"/>
      <c r="E1" s="239"/>
      <c r="F1" s="239"/>
      <c r="G1" s="239"/>
      <c r="H1" s="239"/>
      <c r="I1" s="225"/>
      <c r="J1" s="225"/>
      <c r="K1" s="225"/>
      <c r="L1" s="225"/>
      <c r="M1" s="225"/>
      <c r="N1" s="225"/>
      <c r="O1" s="225"/>
    </row>
    <row r="2" spans="1:15">
      <c r="A2" s="238"/>
      <c r="B2" s="196">
        <v>-0.3</v>
      </c>
      <c r="C2" s="196">
        <v>-0.2</v>
      </c>
      <c r="D2" s="196">
        <v>-0.1</v>
      </c>
      <c r="E2" s="196">
        <v>0</v>
      </c>
      <c r="F2" s="196">
        <v>0.1</v>
      </c>
      <c r="G2" s="196">
        <v>0.2</v>
      </c>
      <c r="H2" s="196">
        <v>0.3</v>
      </c>
      <c r="I2" s="225"/>
      <c r="J2" s="225"/>
      <c r="K2" s="225"/>
      <c r="L2" s="225"/>
      <c r="M2" s="225"/>
      <c r="N2" s="225"/>
      <c r="O2" s="225"/>
    </row>
    <row r="3" spans="1:15">
      <c r="A3" s="170" t="s">
        <v>343</v>
      </c>
      <c r="B3" s="214">
        <v>912564.79291221499</v>
      </c>
      <c r="C3" s="214">
        <v>3935003.7197593311</v>
      </c>
      <c r="D3" s="214">
        <v>6957442.6466064434</v>
      </c>
      <c r="E3" s="214">
        <f>Фин.эффективность!$B$24</f>
        <v>9979881.573453553</v>
      </c>
      <c r="F3" s="214">
        <v>13002320.500300672</v>
      </c>
      <c r="G3" s="214">
        <v>16024759.42714778</v>
      </c>
      <c r="H3" s="214">
        <v>19047198.353994895</v>
      </c>
      <c r="I3" s="225"/>
      <c r="J3" s="225"/>
      <c r="K3" s="225"/>
      <c r="L3" s="225"/>
      <c r="M3" s="225"/>
      <c r="N3" s="225"/>
      <c r="O3" s="225"/>
    </row>
    <row r="4" spans="1:15">
      <c r="A4" s="170" t="s">
        <v>344</v>
      </c>
      <c r="B4" s="214">
        <v>2755643.8108783625</v>
      </c>
      <c r="C4" s="214">
        <v>5164619.9519346375</v>
      </c>
      <c r="D4" s="214">
        <v>7575939.6052527204</v>
      </c>
      <c r="E4" s="214">
        <f>Фин.эффективность!$B$24</f>
        <v>9979881.573453553</v>
      </c>
      <c r="F4" s="214">
        <v>12383823.541654391</v>
      </c>
      <c r="G4" s="214">
        <v>14787765.509855226</v>
      </c>
      <c r="H4" s="214">
        <v>17191707.478056055</v>
      </c>
      <c r="I4" s="225"/>
      <c r="J4" s="225"/>
      <c r="K4" s="225"/>
      <c r="L4" s="225"/>
      <c r="M4" s="225"/>
      <c r="N4" s="225"/>
      <c r="O4" s="225"/>
    </row>
    <row r="5" spans="1:15">
      <c r="A5" s="170" t="s">
        <v>345</v>
      </c>
      <c r="B5" s="214">
        <v>7800995.2402756549</v>
      </c>
      <c r="C5" s="214">
        <v>8527290.6846682876</v>
      </c>
      <c r="D5" s="214">
        <v>9253586.1290609222</v>
      </c>
      <c r="E5" s="214">
        <f>Фин.эффективность!$B$24</f>
        <v>9979881.573453553</v>
      </c>
      <c r="F5" s="214">
        <v>10706177.017846188</v>
      </c>
      <c r="G5" s="214">
        <v>11432472.462238822</v>
      </c>
      <c r="H5" s="214">
        <v>12158767.906631455</v>
      </c>
      <c r="I5" s="225"/>
      <c r="J5" s="225"/>
      <c r="K5" s="225"/>
      <c r="L5" s="225"/>
      <c r="M5" s="225"/>
      <c r="N5" s="225"/>
      <c r="O5" s="225"/>
    </row>
    <row r="6" spans="1:15">
      <c r="A6" s="170" t="s">
        <v>346</v>
      </c>
      <c r="B6" s="214">
        <v>12917572.445578054</v>
      </c>
      <c r="C6" s="214">
        <v>11938342.154869888</v>
      </c>
      <c r="D6" s="214">
        <v>10959111.864161719</v>
      </c>
      <c r="E6" s="214">
        <f>Фин.эффективность!$B$24</f>
        <v>9979881.573453553</v>
      </c>
      <c r="F6" s="214">
        <v>9000651.2827453874</v>
      </c>
      <c r="G6" s="214">
        <v>8021420.9920372237</v>
      </c>
      <c r="H6" s="214">
        <v>7034568.3262033984</v>
      </c>
      <c r="I6" s="225"/>
      <c r="J6" s="225"/>
      <c r="K6" s="225"/>
      <c r="L6" s="225"/>
      <c r="M6" s="225"/>
      <c r="N6" s="225"/>
      <c r="O6" s="225"/>
    </row>
    <row r="7" spans="1:15">
      <c r="A7" s="170" t="s">
        <v>347</v>
      </c>
      <c r="B7" s="214">
        <v>10561619.722271003</v>
      </c>
      <c r="C7" s="214">
        <v>10367707.005998518</v>
      </c>
      <c r="D7" s="214">
        <v>10173794.289726036</v>
      </c>
      <c r="E7" s="214">
        <f>Фин.эффективность!$B$24</f>
        <v>9979881.573453553</v>
      </c>
      <c r="F7" s="214">
        <v>9785968.8571810722</v>
      </c>
      <c r="G7" s="214">
        <v>9592056.1409085877</v>
      </c>
      <c r="H7" s="214">
        <v>9398143.4246361069</v>
      </c>
      <c r="I7" s="225"/>
      <c r="J7" s="225"/>
      <c r="K7" s="225"/>
      <c r="L7" s="225"/>
      <c r="M7" s="225"/>
      <c r="N7" s="225"/>
      <c r="O7" s="225"/>
    </row>
    <row r="8" spans="1:15">
      <c r="A8" s="170" t="s">
        <v>348</v>
      </c>
      <c r="B8" s="214">
        <v>9945394.0739385895</v>
      </c>
      <c r="C8" s="214">
        <v>9956875.3082475811</v>
      </c>
      <c r="D8" s="214">
        <v>9968371.1335019059</v>
      </c>
      <c r="E8" s="214">
        <f>Фин.эффективность!$B$24</f>
        <v>9979881.573453553</v>
      </c>
      <c r="F8" s="214">
        <v>9991406.6519009229</v>
      </c>
      <c r="G8" s="214">
        <v>10002946.392688995</v>
      </c>
      <c r="H8" s="214">
        <v>10014500.819709368</v>
      </c>
      <c r="I8" s="225"/>
      <c r="J8" s="225"/>
      <c r="K8" s="225"/>
      <c r="L8" s="225"/>
      <c r="M8" s="225"/>
      <c r="N8" s="225"/>
      <c r="O8" s="225"/>
    </row>
    <row r="9" spans="1:15">
      <c r="A9" s="170" t="s">
        <v>349</v>
      </c>
      <c r="B9" s="214">
        <v>11388887.849064356</v>
      </c>
      <c r="C9" s="214">
        <v>10895913.396210274</v>
      </c>
      <c r="D9" s="214">
        <v>10426727.238880571</v>
      </c>
      <c r="E9" s="214">
        <f>Фин.эффективность!$B$24</f>
        <v>9979881.573453553</v>
      </c>
      <c r="F9" s="214">
        <v>9554033.065267764</v>
      </c>
      <c r="G9" s="214">
        <v>9147934.2131932117</v>
      </c>
      <c r="H9" s="214">
        <v>8760425.5139926877</v>
      </c>
      <c r="I9" s="225"/>
      <c r="J9" s="225"/>
      <c r="K9" s="225"/>
      <c r="L9" s="225"/>
      <c r="M9" s="225"/>
      <c r="N9" s="225"/>
      <c r="O9" s="225"/>
    </row>
    <row r="10" spans="1:15">
      <c r="A10" s="170" t="s">
        <v>350</v>
      </c>
      <c r="B10" s="214">
        <v>10202498.89315857</v>
      </c>
      <c r="C10" s="214">
        <v>10127777.252355037</v>
      </c>
      <c r="D10" s="214">
        <v>10053573.03191803</v>
      </c>
      <c r="E10" s="214">
        <f>Фин.эффективность!$B$24</f>
        <v>9979881.573453553</v>
      </c>
      <c r="F10" s="214">
        <v>9906698.2692543771</v>
      </c>
      <c r="G10" s="214">
        <v>9834018.56165912</v>
      </c>
      <c r="H10" s="214">
        <v>9761837.9424204119</v>
      </c>
      <c r="I10" s="225"/>
      <c r="J10" s="225"/>
      <c r="K10" s="225"/>
      <c r="L10" s="225"/>
      <c r="M10" s="225"/>
      <c r="N10" s="225"/>
      <c r="O10" s="225"/>
    </row>
    <row r="11" spans="1:15">
      <c r="A11" s="170" t="s">
        <v>351</v>
      </c>
      <c r="B11" s="214">
        <v>38772430.198458165</v>
      </c>
      <c r="C11" s="214">
        <v>41214782.081685007</v>
      </c>
      <c r="D11" s="214">
        <v>44071080.476046063</v>
      </c>
      <c r="E11" s="214">
        <f>Фин.эффективность!B18</f>
        <v>47456307.053075626</v>
      </c>
      <c r="F11" s="214">
        <v>51532373.217812717</v>
      </c>
      <c r="G11" s="214">
        <v>56534783.742428422</v>
      </c>
      <c r="H11" s="214">
        <v>62819810.030134276</v>
      </c>
      <c r="I11" s="225" t="s">
        <v>353</v>
      </c>
      <c r="J11" s="225"/>
      <c r="K11" s="225"/>
      <c r="L11" s="225"/>
      <c r="M11" s="225"/>
      <c r="N11" s="225"/>
      <c r="O11" s="225"/>
    </row>
    <row r="12" spans="1:15">
      <c r="I12" s="225"/>
      <c r="J12" s="225"/>
      <c r="K12" s="225"/>
      <c r="L12" s="225"/>
      <c r="M12" s="225"/>
      <c r="N12" s="225"/>
      <c r="O12" s="225"/>
    </row>
    <row r="14" spans="1:15">
      <c r="A14" s="238" t="s">
        <v>342</v>
      </c>
      <c r="B14" s="239" t="s">
        <v>354</v>
      </c>
      <c r="C14" s="239"/>
      <c r="D14" s="239"/>
      <c r="E14" s="239"/>
      <c r="F14" s="239"/>
      <c r="G14" s="239"/>
      <c r="H14" s="239"/>
    </row>
    <row r="15" spans="1:15">
      <c r="A15" s="238"/>
      <c r="B15" s="196">
        <v>-0.3</v>
      </c>
      <c r="C15" s="196">
        <v>-0.2</v>
      </c>
      <c r="D15" s="196">
        <v>-0.1</v>
      </c>
      <c r="E15" s="196">
        <v>0</v>
      </c>
      <c r="F15" s="196">
        <v>0.1</v>
      </c>
      <c r="G15" s="196">
        <v>0.2</v>
      </c>
      <c r="H15" s="196">
        <v>0.3</v>
      </c>
    </row>
    <row r="16" spans="1:15">
      <c r="A16" s="170" t="s">
        <v>343</v>
      </c>
      <c r="B16" s="227">
        <f>B3-$E$3</f>
        <v>-9067316.780541338</v>
      </c>
      <c r="C16" s="227">
        <f t="shared" ref="C16:H16" si="0">C3-$E$3</f>
        <v>-6044877.8536942219</v>
      </c>
      <c r="D16" s="227">
        <f t="shared" si="0"/>
        <v>-3022438.9268471096</v>
      </c>
      <c r="E16" s="214">
        <f t="shared" si="0"/>
        <v>0</v>
      </c>
      <c r="F16" s="214">
        <f t="shared" si="0"/>
        <v>3022438.9268471189</v>
      </c>
      <c r="G16" s="214">
        <f t="shared" si="0"/>
        <v>6044877.8536942266</v>
      </c>
      <c r="H16" s="214">
        <f t="shared" si="0"/>
        <v>9067316.7805413418</v>
      </c>
    </row>
    <row r="17" spans="1:11">
      <c r="A17" s="170" t="s">
        <v>344</v>
      </c>
      <c r="B17" s="227">
        <f t="shared" ref="B17:H23" si="1">B4-$E$3</f>
        <v>-7224237.7625751905</v>
      </c>
      <c r="C17" s="227">
        <f t="shared" si="1"/>
        <v>-4815261.6215189155</v>
      </c>
      <c r="D17" s="227">
        <f t="shared" si="1"/>
        <v>-2403941.9682008326</v>
      </c>
      <c r="E17" s="214">
        <f t="shared" si="1"/>
        <v>0</v>
      </c>
      <c r="F17" s="214">
        <f t="shared" si="1"/>
        <v>2403941.9682008382</v>
      </c>
      <c r="G17" s="214">
        <f t="shared" si="1"/>
        <v>4807883.9364016727</v>
      </c>
      <c r="H17" s="214">
        <f t="shared" si="1"/>
        <v>7211825.9046025015</v>
      </c>
    </row>
    <row r="18" spans="1:11">
      <c r="A18" s="170" t="s">
        <v>345</v>
      </c>
      <c r="B18" s="227">
        <f t="shared" si="1"/>
        <v>-2178886.3331778981</v>
      </c>
      <c r="C18" s="227">
        <f t="shared" si="1"/>
        <v>-1452590.8887852654</v>
      </c>
      <c r="D18" s="227">
        <f t="shared" si="1"/>
        <v>-726295.44439263083</v>
      </c>
      <c r="E18" s="214">
        <f t="shared" si="1"/>
        <v>0</v>
      </c>
      <c r="F18" s="214">
        <f t="shared" si="1"/>
        <v>726295.44439263456</v>
      </c>
      <c r="G18" s="214">
        <f t="shared" si="1"/>
        <v>1452590.8887852691</v>
      </c>
      <c r="H18" s="214">
        <f t="shared" si="1"/>
        <v>2178886.3331779018</v>
      </c>
    </row>
    <row r="19" spans="1:11">
      <c r="A19" s="170" t="s">
        <v>346</v>
      </c>
      <c r="B19" s="214">
        <f t="shared" si="1"/>
        <v>2937690.8721245006</v>
      </c>
      <c r="C19" s="214">
        <f t="shared" si="1"/>
        <v>1958460.581416335</v>
      </c>
      <c r="D19" s="214">
        <f t="shared" si="1"/>
        <v>979230.29070816562</v>
      </c>
      <c r="E19" s="214">
        <f t="shared" si="1"/>
        <v>0</v>
      </c>
      <c r="F19" s="227">
        <f t="shared" si="1"/>
        <v>-979230.29070816562</v>
      </c>
      <c r="G19" s="227">
        <f t="shared" si="1"/>
        <v>-1958460.5814163294</v>
      </c>
      <c r="H19" s="227">
        <f t="shared" si="1"/>
        <v>-2945313.2472501546</v>
      </c>
    </row>
    <row r="20" spans="1:11">
      <c r="A20" s="170" t="s">
        <v>347</v>
      </c>
      <c r="B20" s="214">
        <f t="shared" si="1"/>
        <v>581738.14881744981</v>
      </c>
      <c r="C20" s="214">
        <f t="shared" si="1"/>
        <v>387825.4325449653</v>
      </c>
      <c r="D20" s="214">
        <f t="shared" si="1"/>
        <v>193912.71627248265</v>
      </c>
      <c r="E20" s="214">
        <f t="shared" si="1"/>
        <v>0</v>
      </c>
      <c r="F20" s="227">
        <f t="shared" si="1"/>
        <v>-193912.71627248079</v>
      </c>
      <c r="G20" s="227">
        <f t="shared" si="1"/>
        <v>-387825.4325449653</v>
      </c>
      <c r="H20" s="227">
        <f t="shared" si="1"/>
        <v>-581738.14881744608</v>
      </c>
      <c r="J20" s="217"/>
    </row>
    <row r="21" spans="1:11">
      <c r="A21" s="170" t="s">
        <v>348</v>
      </c>
      <c r="B21" s="227">
        <f t="shared" si="1"/>
        <v>-34487.499514963478</v>
      </c>
      <c r="C21" s="227">
        <f t="shared" si="1"/>
        <v>-23006.265205971897</v>
      </c>
      <c r="D21" s="227">
        <f t="shared" si="1"/>
        <v>-11510.439951647073</v>
      </c>
      <c r="E21" s="214">
        <f t="shared" si="1"/>
        <v>0</v>
      </c>
      <c r="F21" s="214">
        <f t="shared" si="1"/>
        <v>11525.078447369859</v>
      </c>
      <c r="G21" s="214">
        <f t="shared" si="1"/>
        <v>23064.819235442206</v>
      </c>
      <c r="H21" s="214">
        <f t="shared" si="1"/>
        <v>34619.246255815029</v>
      </c>
      <c r="K21" s="67"/>
    </row>
    <row r="22" spans="1:11">
      <c r="A22" s="170" t="s">
        <v>349</v>
      </c>
      <c r="B22" s="214">
        <f t="shared" si="1"/>
        <v>1409006.2756108027</v>
      </c>
      <c r="C22" s="214">
        <f t="shared" si="1"/>
        <v>916031.82275672071</v>
      </c>
      <c r="D22" s="214">
        <f t="shared" si="1"/>
        <v>446845.66542701796</v>
      </c>
      <c r="E22" s="214">
        <f t="shared" si="1"/>
        <v>0</v>
      </c>
      <c r="F22" s="227">
        <f t="shared" si="1"/>
        <v>-425848.50818578899</v>
      </c>
      <c r="G22" s="227">
        <f t="shared" si="1"/>
        <v>-831947.36026034132</v>
      </c>
      <c r="H22" s="227">
        <f t="shared" si="1"/>
        <v>-1219456.0594608653</v>
      </c>
    </row>
    <row r="23" spans="1:11">
      <c r="A23" s="170" t="s">
        <v>350</v>
      </c>
      <c r="B23" s="214">
        <f t="shared" si="1"/>
        <v>222617.31970501691</v>
      </c>
      <c r="C23" s="214">
        <f t="shared" si="1"/>
        <v>147895.67890148424</v>
      </c>
      <c r="D23" s="214">
        <f t="shared" si="1"/>
        <v>73691.458464477211</v>
      </c>
      <c r="E23" s="214">
        <f t="shared" si="1"/>
        <v>0</v>
      </c>
      <c r="F23" s="227">
        <f t="shared" si="1"/>
        <v>-73183.304199175909</v>
      </c>
      <c r="G23" s="227">
        <f t="shared" si="1"/>
        <v>-145863.011794433</v>
      </c>
      <c r="H23" s="227">
        <f t="shared" si="1"/>
        <v>-218043.63103314117</v>
      </c>
    </row>
    <row r="24" spans="1:11">
      <c r="A24" s="170" t="s">
        <v>351</v>
      </c>
      <c r="B24" s="227">
        <f>B11-$E$11</f>
        <v>-8683876.8546174616</v>
      </c>
      <c r="C24" s="227">
        <f t="shared" ref="C24:H24" si="2">C11-$E$11</f>
        <v>-6241524.9713906199</v>
      </c>
      <c r="D24" s="227">
        <f t="shared" si="2"/>
        <v>-3385226.5770295635</v>
      </c>
      <c r="E24" s="214">
        <f t="shared" si="2"/>
        <v>0</v>
      </c>
      <c r="F24" s="214">
        <f t="shared" si="2"/>
        <v>4076066.1647370905</v>
      </c>
      <c r="G24" s="214">
        <f t="shared" si="2"/>
        <v>9078476.6893527955</v>
      </c>
      <c r="H24" s="214">
        <f t="shared" si="2"/>
        <v>15363502.977058649</v>
      </c>
      <c r="I24" s="225" t="s">
        <v>353</v>
      </c>
    </row>
    <row r="27" spans="1:11">
      <c r="A27" s="238" t="s">
        <v>342</v>
      </c>
      <c r="B27" s="239" t="s">
        <v>354</v>
      </c>
      <c r="C27" s="239"/>
      <c r="D27" s="239"/>
      <c r="E27" s="239"/>
      <c r="F27" s="239"/>
      <c r="G27" s="239"/>
      <c r="H27" s="239"/>
    </row>
    <row r="28" spans="1:11">
      <c r="A28" s="238"/>
      <c r="B28" s="196">
        <v>-0.3</v>
      </c>
      <c r="C28" s="196">
        <v>-0.2</v>
      </c>
      <c r="D28" s="196">
        <v>-0.1</v>
      </c>
      <c r="E28" s="196">
        <v>0</v>
      </c>
      <c r="F28" s="196">
        <v>0.1</v>
      </c>
      <c r="G28" s="196">
        <v>0.2</v>
      </c>
      <c r="H28" s="196">
        <v>0.3</v>
      </c>
    </row>
    <row r="29" spans="1:11">
      <c r="A29" s="170" t="s">
        <v>343</v>
      </c>
      <c r="B29" s="228">
        <f>B3/$E$3-1</f>
        <v>-0.90855955692504065</v>
      </c>
      <c r="C29" s="228">
        <f t="shared" ref="C29:H29" si="3">C3/$E$3-1</f>
        <v>-0.60570637128336013</v>
      </c>
      <c r="D29" s="228">
        <f t="shared" si="3"/>
        <v>-0.30285318564167996</v>
      </c>
      <c r="E29" s="229">
        <f t="shared" si="3"/>
        <v>0</v>
      </c>
      <c r="F29" s="229">
        <f t="shared" si="3"/>
        <v>0.30285318564168096</v>
      </c>
      <c r="G29" s="229">
        <f t="shared" si="3"/>
        <v>0.60570637128336058</v>
      </c>
      <c r="H29" s="229">
        <f t="shared" si="3"/>
        <v>0.90855955692504109</v>
      </c>
    </row>
    <row r="30" spans="1:11">
      <c r="A30" s="170" t="s">
        <v>344</v>
      </c>
      <c r="B30" s="228">
        <f t="shared" ref="B30:H36" si="4">B4/$E$3-1</f>
        <v>-0.72388010913793166</v>
      </c>
      <c r="C30" s="228">
        <f t="shared" si="4"/>
        <v>-0.48249686993556051</v>
      </c>
      <c r="D30" s="228">
        <f t="shared" si="4"/>
        <v>-0.2408788070787643</v>
      </c>
      <c r="E30" s="229">
        <f t="shared" si="4"/>
        <v>0</v>
      </c>
      <c r="F30" s="229">
        <f t="shared" si="4"/>
        <v>0.24087880707876486</v>
      </c>
      <c r="G30" s="229">
        <f t="shared" si="4"/>
        <v>0.48175761415752927</v>
      </c>
      <c r="H30" s="229">
        <f t="shared" si="4"/>
        <v>0.72263642123629301</v>
      </c>
    </row>
    <row r="31" spans="1:11">
      <c r="A31" s="170" t="s">
        <v>345</v>
      </c>
      <c r="B31" s="228">
        <f t="shared" si="4"/>
        <v>-0.21832787464870596</v>
      </c>
      <c r="C31" s="228">
        <f t="shared" si="4"/>
        <v>-0.14555191643247067</v>
      </c>
      <c r="D31" s="228">
        <f t="shared" si="4"/>
        <v>-7.277595821623517E-2</v>
      </c>
      <c r="E31" s="229">
        <f t="shared" si="4"/>
        <v>0</v>
      </c>
      <c r="F31" s="229">
        <f t="shared" si="4"/>
        <v>7.2775958216235503E-2</v>
      </c>
      <c r="G31" s="229">
        <f t="shared" si="4"/>
        <v>0.14555191643247101</v>
      </c>
      <c r="H31" s="229">
        <f t="shared" si="4"/>
        <v>0.21832787464870629</v>
      </c>
    </row>
    <row r="32" spans="1:11">
      <c r="A32" s="170" t="s">
        <v>346</v>
      </c>
      <c r="B32" s="229">
        <f t="shared" si="4"/>
        <v>0.29436129582326376</v>
      </c>
      <c r="C32" s="229">
        <f t="shared" si="4"/>
        <v>0.19624086388217599</v>
      </c>
      <c r="D32" s="229">
        <f t="shared" si="4"/>
        <v>9.8120431941087771E-2</v>
      </c>
      <c r="E32" s="229">
        <f t="shared" si="4"/>
        <v>0</v>
      </c>
      <c r="F32" s="228">
        <f t="shared" si="4"/>
        <v>-9.8120431941087771E-2</v>
      </c>
      <c r="G32" s="228">
        <f t="shared" si="4"/>
        <v>-0.19624086388217543</v>
      </c>
      <c r="H32" s="228">
        <f t="shared" si="4"/>
        <v>-0.29512506992915388</v>
      </c>
    </row>
    <row r="33" spans="1:9">
      <c r="A33" s="170" t="s">
        <v>347</v>
      </c>
      <c r="B33" s="229">
        <f t="shared" si="4"/>
        <v>5.8291087377717155E-2</v>
      </c>
      <c r="C33" s="229">
        <f t="shared" si="4"/>
        <v>3.8860724918478029E-2</v>
      </c>
      <c r="D33" s="229">
        <f t="shared" si="4"/>
        <v>1.9430362459238903E-2</v>
      </c>
      <c r="E33" s="229">
        <f t="shared" si="4"/>
        <v>0</v>
      </c>
      <c r="F33" s="228">
        <f t="shared" si="4"/>
        <v>-1.9430362459238792E-2</v>
      </c>
      <c r="G33" s="228">
        <f t="shared" si="4"/>
        <v>-3.8860724918477918E-2</v>
      </c>
      <c r="H33" s="228">
        <f t="shared" si="4"/>
        <v>-5.829108737771671E-2</v>
      </c>
    </row>
    <row r="34" spans="1:9">
      <c r="A34" s="170" t="s">
        <v>348</v>
      </c>
      <c r="B34" s="228">
        <f t="shared" si="4"/>
        <v>-3.4557022807465421E-3</v>
      </c>
      <c r="C34" s="228">
        <f t="shared" si="4"/>
        <v>-2.3052643497462055E-3</v>
      </c>
      <c r="D34" s="228">
        <f t="shared" si="4"/>
        <v>-1.1533643828264273E-3</v>
      </c>
      <c r="E34" s="229">
        <f t="shared" si="4"/>
        <v>0</v>
      </c>
      <c r="F34" s="229">
        <f t="shared" si="4"/>
        <v>1.1548311833706748E-3</v>
      </c>
      <c r="G34" s="229">
        <f t="shared" si="4"/>
        <v>2.3111315565902402E-3</v>
      </c>
      <c r="H34" s="229">
        <f t="shared" si="4"/>
        <v>3.4689035136350466E-3</v>
      </c>
    </row>
    <row r="35" spans="1:9">
      <c r="A35" s="170" t="s">
        <v>349</v>
      </c>
      <c r="B35" s="229">
        <f t="shared" si="4"/>
        <v>0.14118466890015546</v>
      </c>
      <c r="C35" s="229">
        <f t="shared" si="4"/>
        <v>9.1787844977375466E-2</v>
      </c>
      <c r="D35" s="229">
        <f t="shared" si="4"/>
        <v>4.4774646085543379E-2</v>
      </c>
      <c r="E35" s="229">
        <f t="shared" si="4"/>
        <v>0</v>
      </c>
      <c r="F35" s="228">
        <f t="shared" si="4"/>
        <v>-4.2670697548009451E-2</v>
      </c>
      <c r="G35" s="228">
        <f t="shared" si="4"/>
        <v>-8.3362448155028024E-2</v>
      </c>
      <c r="H35" s="228">
        <f t="shared" si="4"/>
        <v>-0.12219143588883996</v>
      </c>
    </row>
    <row r="36" spans="1:9">
      <c r="A36" s="170" t="s">
        <v>350</v>
      </c>
      <c r="B36" s="229">
        <f t="shared" si="4"/>
        <v>2.230660935869011E-2</v>
      </c>
      <c r="C36" s="229">
        <f t="shared" si="4"/>
        <v>1.4819382155284E-2</v>
      </c>
      <c r="D36" s="229">
        <f t="shared" si="4"/>
        <v>7.3840012952153256E-3</v>
      </c>
      <c r="E36" s="229">
        <f t="shared" si="4"/>
        <v>0</v>
      </c>
      <c r="F36" s="228">
        <f t="shared" si="4"/>
        <v>-7.3330834299520919E-3</v>
      </c>
      <c r="G36" s="228">
        <f t="shared" si="4"/>
        <v>-1.4615705679557167E-2</v>
      </c>
      <c r="H36" s="228">
        <f t="shared" si="4"/>
        <v>-2.1848318482369233E-2</v>
      </c>
    </row>
    <row r="37" spans="1:9">
      <c r="A37" s="170" t="s">
        <v>351</v>
      </c>
      <c r="B37" s="228">
        <f>B11/$E$11-1</f>
        <v>-0.18298678076457409</v>
      </c>
      <c r="C37" s="228">
        <f t="shared" ref="C37:H37" si="5">C11/$E$11-1</f>
        <v>-0.13152150596990264</v>
      </c>
      <c r="D37" s="228">
        <f t="shared" si="5"/>
        <v>-7.1333544206115596E-2</v>
      </c>
      <c r="E37" s="229">
        <f t="shared" si="5"/>
        <v>0</v>
      </c>
      <c r="F37" s="229">
        <f t="shared" si="5"/>
        <v>8.5890926156103387E-2</v>
      </c>
      <c r="G37" s="229">
        <f t="shared" si="5"/>
        <v>0.19130179428414706</v>
      </c>
      <c r="H37" s="229">
        <f t="shared" si="5"/>
        <v>0.32373996063106958</v>
      </c>
      <c r="I37" s="225" t="s">
        <v>353</v>
      </c>
    </row>
  </sheetData>
  <mergeCells count="6">
    <mergeCell ref="A27:A28"/>
    <mergeCell ref="B27:H27"/>
    <mergeCell ref="A1:A2"/>
    <mergeCell ref="B1:H1"/>
    <mergeCell ref="A14:A15"/>
    <mergeCell ref="B14:H1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>
      <selection activeCell="D13" sqref="D13"/>
    </sheetView>
  </sheetViews>
  <sheetFormatPr defaultRowHeight="15"/>
  <cols>
    <col min="1" max="1" width="30" bestFit="1" customWidth="1"/>
    <col min="2" max="2" width="16.5703125" bestFit="1" customWidth="1"/>
    <col min="3" max="3" width="20.85546875" bestFit="1" customWidth="1"/>
    <col min="4" max="4" width="15.85546875" bestFit="1" customWidth="1"/>
  </cols>
  <sheetData>
    <row r="1" spans="1:4">
      <c r="A1" s="226" t="s">
        <v>355</v>
      </c>
      <c r="B1" s="226" t="s">
        <v>356</v>
      </c>
      <c r="C1" s="226" t="s">
        <v>357</v>
      </c>
      <c r="D1" s="226" t="s">
        <v>358</v>
      </c>
    </row>
    <row r="2" spans="1:4">
      <c r="A2" s="226" t="s">
        <v>359</v>
      </c>
      <c r="B2" s="196">
        <v>0.2</v>
      </c>
      <c r="C2" s="196">
        <v>0.6</v>
      </c>
      <c r="D2" s="196">
        <v>0.2</v>
      </c>
    </row>
    <row r="3" spans="1:4">
      <c r="A3" s="3"/>
      <c r="B3" s="3"/>
      <c r="C3" s="3"/>
      <c r="D3" s="3"/>
    </row>
    <row r="4" spans="1:4">
      <c r="A4" s="226" t="s">
        <v>360</v>
      </c>
      <c r="B4" s="238" t="s">
        <v>361</v>
      </c>
      <c r="C4" s="238"/>
      <c r="D4" s="238"/>
    </row>
    <row r="5" spans="1:4">
      <c r="A5" s="226" t="s">
        <v>343</v>
      </c>
      <c r="B5" s="196">
        <v>0.9</v>
      </c>
      <c r="C5" s="196">
        <v>1</v>
      </c>
      <c r="D5" s="196">
        <v>1.1000000000000001</v>
      </c>
    </row>
    <row r="6" spans="1:4">
      <c r="A6" s="226" t="s">
        <v>362</v>
      </c>
      <c r="B6" s="196">
        <v>0.9</v>
      </c>
      <c r="C6" s="196">
        <v>1</v>
      </c>
      <c r="D6" s="196">
        <v>1.1000000000000001</v>
      </c>
    </row>
    <row r="7" spans="1:4">
      <c r="A7" s="226" t="s">
        <v>345</v>
      </c>
      <c r="B7" s="196">
        <v>0.9</v>
      </c>
      <c r="C7" s="196">
        <v>1</v>
      </c>
      <c r="D7" s="196">
        <v>1.1000000000000001</v>
      </c>
    </row>
    <row r="8" spans="1:4">
      <c r="A8" s="226" t="s">
        <v>363</v>
      </c>
      <c r="B8" s="196">
        <v>1.1000000000000001</v>
      </c>
      <c r="C8" s="196">
        <v>1</v>
      </c>
      <c r="D8" s="196">
        <v>0.9</v>
      </c>
    </row>
    <row r="9" spans="1:4">
      <c r="A9" s="201" t="s">
        <v>351</v>
      </c>
      <c r="B9" s="196">
        <v>0.9</v>
      </c>
      <c r="C9" s="196">
        <v>1</v>
      </c>
      <c r="D9" s="196">
        <v>1.1000000000000001</v>
      </c>
    </row>
    <row r="10" spans="1:4">
      <c r="A10" s="3"/>
      <c r="B10" s="3"/>
      <c r="C10" s="3"/>
      <c r="D10" s="3"/>
    </row>
    <row r="11" spans="1:4" ht="30" customHeight="1">
      <c r="A11" s="240" t="s">
        <v>372</v>
      </c>
      <c r="B11" s="241"/>
      <c r="C11" s="241"/>
      <c r="D11" s="242"/>
    </row>
    <row r="12" spans="1:4" s="230" customFormat="1" ht="30" customHeight="1">
      <c r="A12" s="231" t="s">
        <v>355</v>
      </c>
      <c r="B12" s="234" t="s">
        <v>356</v>
      </c>
      <c r="C12" s="234" t="s">
        <v>357</v>
      </c>
      <c r="D12" s="234" t="s">
        <v>358</v>
      </c>
    </row>
    <row r="13" spans="1:4">
      <c r="A13" s="191" t="s">
        <v>364</v>
      </c>
      <c r="B13" s="216">
        <v>20955626.885556206</v>
      </c>
      <c r="C13" s="216">
        <v>47456307.053075626</v>
      </c>
      <c r="D13" s="216">
        <v>80621346.798860878</v>
      </c>
    </row>
    <row r="14" spans="1:4">
      <c r="A14" s="191" t="s">
        <v>365</v>
      </c>
      <c r="B14" s="216">
        <v>3143031.3620267604</v>
      </c>
      <c r="C14" s="216">
        <v>9979881.573453553</v>
      </c>
      <c r="D14" s="216">
        <v>17414032.09628702</v>
      </c>
    </row>
    <row r="15" spans="1:4">
      <c r="A15" s="191" t="s">
        <v>366</v>
      </c>
      <c r="B15" s="195">
        <v>0.78941184334531267</v>
      </c>
      <c r="C15" s="195">
        <v>1.2454181010281942</v>
      </c>
      <c r="D15" s="195">
        <v>1.6775200346677983</v>
      </c>
    </row>
    <row r="16" spans="1:4">
      <c r="A16" s="191" t="s">
        <v>367</v>
      </c>
      <c r="B16" s="195">
        <v>0.38874833909061518</v>
      </c>
      <c r="C16" s="195">
        <v>0.85579037051834561</v>
      </c>
      <c r="D16" s="195">
        <v>1.3176681452628562</v>
      </c>
    </row>
    <row r="17" spans="1:4">
      <c r="A17" s="191" t="s">
        <v>368</v>
      </c>
      <c r="B17" s="232">
        <v>29</v>
      </c>
      <c r="C17" s="232">
        <v>17</v>
      </c>
      <c r="D17" s="232">
        <v>13</v>
      </c>
    </row>
    <row r="18" spans="1:4">
      <c r="A18" s="191" t="s">
        <v>323</v>
      </c>
      <c r="B18" s="232">
        <v>34</v>
      </c>
      <c r="C18" s="232">
        <v>19</v>
      </c>
      <c r="D18" s="232">
        <v>13</v>
      </c>
    </row>
    <row r="19" spans="1:4">
      <c r="A19" s="233" t="s">
        <v>336</v>
      </c>
      <c r="B19" s="243">
        <v>5.7851999999999997</v>
      </c>
      <c r="C19" s="243">
        <v>13.1012</v>
      </c>
      <c r="D19" s="243">
        <v>22.256900000000002</v>
      </c>
    </row>
    <row r="20" spans="1:4">
      <c r="A20" s="233" t="s">
        <v>337</v>
      </c>
      <c r="B20" s="243">
        <v>0.86770000000000003</v>
      </c>
      <c r="C20" s="243">
        <v>2.7551000000000001</v>
      </c>
      <c r="D20" s="243">
        <v>4.8075000000000001</v>
      </c>
    </row>
    <row r="25" spans="1:4">
      <c r="A25" s="230" t="s">
        <v>369</v>
      </c>
    </row>
    <row r="26" spans="1:4">
      <c r="A26" s="191" t="s">
        <v>364</v>
      </c>
      <c r="B26" s="214">
        <f>0.2*B13+0.6*C13+0.2*D13</f>
        <v>48789178.968728796</v>
      </c>
    </row>
    <row r="27" spans="1:4">
      <c r="A27" s="191" t="s">
        <v>365</v>
      </c>
      <c r="B27" s="214">
        <f>0.2*B14+0.6*C14+0.2*D14</f>
        <v>10099341.63573489</v>
      </c>
    </row>
    <row r="28" spans="1:4">
      <c r="A28" s="233" t="s">
        <v>370</v>
      </c>
      <c r="B28" s="214">
        <f>STDEV(B13:D13)</f>
        <v>29894826.875379827</v>
      </c>
    </row>
    <row r="29" spans="1:4">
      <c r="A29" s="233" t="s">
        <v>371</v>
      </c>
      <c r="B29" s="214">
        <f>STDEV(B14:D14)</f>
        <v>7137583.3534757951</v>
      </c>
    </row>
  </sheetData>
  <mergeCells count="2">
    <mergeCell ref="B4:D4"/>
    <mergeCell ref="A11:D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Нач.инв.</vt:lpstr>
      <vt:lpstr>Операц.изд. в мес.</vt:lpstr>
      <vt:lpstr>Инв.расчет</vt:lpstr>
      <vt:lpstr>Вход и предположения</vt:lpstr>
      <vt:lpstr>Модель</vt:lpstr>
      <vt:lpstr>Отчетность</vt:lpstr>
      <vt:lpstr>re и wacc</vt:lpstr>
      <vt:lpstr>Стоимость компании</vt:lpstr>
      <vt:lpstr>Фин.эффективность</vt:lpstr>
      <vt:lpstr>Чувств. NPV</vt:lpstr>
      <vt:lpstr>Сценарии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2020-04-24T16:55:01Z</dcterms:modified>
</cp:coreProperties>
</file>