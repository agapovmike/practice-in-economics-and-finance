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79292\Documents\ВУЗ\Экономика бакалавриат\3 курс\Инвестиции\Часть 2 Финансовые инвестиции\Самостоятельная работа\"/>
    </mc:Choice>
  </mc:AlternateContent>
  <xr:revisionPtr revIDLastSave="0" documentId="13_ncr:1_{9C77D372-D263-472D-BF47-E848F459C286}" xr6:coauthVersionLast="47" xr6:coauthVersionMax="47" xr10:uidLastSave="{00000000-0000-0000-0000-000000000000}"/>
  <bookViews>
    <workbookView xWindow="13180" yWindow="3430" windowWidth="19200" windowHeight="14920" xr2:uid="{00000000-000D-0000-FFFF-FFFF00000000}"/>
  </bookViews>
  <sheets>
    <sheet name="SNGS" sheetId="1" r:id="rId1"/>
    <sheet name="FXGD ETF" sheetId="2" r:id="rId2"/>
    <sheet name="Составление портфеля" sheetId="3" r:id="rId3"/>
    <sheet name="Бэктестинг" sheetId="4" r:id="rId4"/>
    <sheet name="Расчеты" sheetId="7" r:id="rId5"/>
    <sheet name="Лист1" sheetId="8" r:id="rId6"/>
  </sheets>
  <definedNames>
    <definedName name="_xlnm._FilterDatabase" localSheetId="0" hidden="1">SNGS!$M$5:$M$254</definedName>
    <definedName name="solver_adj" localSheetId="2" hidden="1">'Составление портфеля'!$H$8:$I$8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'Составление портфеля'!$H$10</definedName>
    <definedName name="solver_lhs2" localSheetId="2" hidden="1">'Составление портфеля'!$H$8:$I$8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'Составление портфеля'!$K$8</definedName>
    <definedName name="solver_pre" localSheetId="2" hidden="1">0.000001</definedName>
    <definedName name="solver_rbv" localSheetId="2" hidden="1">1</definedName>
    <definedName name="solver_rel1" localSheetId="2" hidden="1">2</definedName>
    <definedName name="solver_rel2" localSheetId="2" hidden="1">3</definedName>
    <definedName name="solver_rhs1" localSheetId="2" hidden="1">1</definedName>
    <definedName name="solver_rhs2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25</definedName>
    <definedName name="solver_ver" localSheetId="2" hidden="1">3</definedName>
    <definedName name="T">SNGS!$E$23</definedName>
    <definedName name="X">SNGS!$H$21</definedName>
    <definedName name="X_2">SNGS!$J$21</definedName>
    <definedName name="XY">SNGS!$K$21</definedName>
    <definedName name="Y">SNGS!$E$21</definedName>
    <definedName name="Y_2">SNGS!$I$21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Q15" i="1" s="1"/>
  <c r="Q17" i="1" s="1"/>
  <c r="R20" i="8"/>
  <c r="J20" i="8"/>
  <c r="K20" i="8"/>
  <c r="L20" i="8"/>
  <c r="M20" i="8"/>
  <c r="N20" i="8"/>
  <c r="O20" i="8"/>
  <c r="P20" i="8"/>
  <c r="I20" i="8"/>
  <c r="F26" i="8"/>
  <c r="F24" i="8"/>
  <c r="E24" i="8"/>
  <c r="D24" i="8"/>
  <c r="D18" i="8"/>
  <c r="F14" i="8"/>
  <c r="D14" i="8"/>
  <c r="A12" i="8"/>
  <c r="A9" i="8"/>
  <c r="A3" i="8"/>
  <c r="Q19" i="1"/>
  <c r="E270" i="1"/>
  <c r="Q16" i="1"/>
  <c r="Q13" i="1"/>
  <c r="Q14" i="1"/>
  <c r="Q10" i="1"/>
  <c r="AG5" i="1"/>
  <c r="Q7" i="1"/>
  <c r="Q6" i="1"/>
  <c r="E263" i="1"/>
  <c r="E260" i="1"/>
  <c r="E262" i="1"/>
  <c r="E267" i="1"/>
  <c r="E265" i="1"/>
  <c r="E266" i="1" s="1"/>
  <c r="E264" i="1"/>
  <c r="E261" i="1"/>
  <c r="E282" i="4"/>
  <c r="E281" i="4"/>
  <c r="AI15" i="4" l="1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14" i="4"/>
  <c r="AL28" i="4" s="1"/>
  <c r="AA28" i="4"/>
  <c r="AA15" i="4"/>
  <c r="AA14" i="4"/>
  <c r="AA23" i="4" s="1"/>
  <c r="P15" i="4"/>
  <c r="S15" i="4" s="1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14" i="4"/>
  <c r="S28" i="4" s="1"/>
  <c r="I14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13" i="4"/>
  <c r="L8" i="3"/>
  <c r="J8" i="3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9" i="7"/>
  <c r="E2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2" i="3"/>
  <c r="E265" i="2"/>
  <c r="E270" i="2"/>
  <c r="E262" i="2"/>
  <c r="E261" i="2"/>
  <c r="E260" i="2"/>
  <c r="K5" i="2"/>
  <c r="J5" i="2"/>
  <c r="I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5" i="2"/>
  <c r="G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5" i="2"/>
  <c r="D5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4" i="2"/>
  <c r="K5" i="1"/>
  <c r="J5" i="1"/>
  <c r="I6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5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4" i="1"/>
  <c r="H17" i="7"/>
  <c r="J91" i="4" l="1"/>
  <c r="J220" i="4"/>
  <c r="J156" i="4"/>
  <c r="J92" i="4"/>
  <c r="J28" i="4"/>
  <c r="J241" i="4"/>
  <c r="J177" i="4"/>
  <c r="J113" i="4"/>
  <c r="J49" i="4"/>
  <c r="S16" i="4"/>
  <c r="S19" i="4" s="1"/>
  <c r="AA21" i="4"/>
  <c r="AA24" i="4" s="1"/>
  <c r="AL15" i="4"/>
  <c r="J211" i="4"/>
  <c r="J208" i="4"/>
  <c r="J144" i="4"/>
  <c r="J80" i="4"/>
  <c r="J16" i="4"/>
  <c r="AA22" i="4"/>
  <c r="AL16" i="4"/>
  <c r="J231" i="4"/>
  <c r="J167" i="4"/>
  <c r="J103" i="4"/>
  <c r="J39" i="4"/>
  <c r="J67" i="4"/>
  <c r="J70" i="4"/>
  <c r="J14" i="4"/>
  <c r="L14" i="4" s="1"/>
  <c r="J251" i="4"/>
  <c r="J237" i="4"/>
  <c r="J173" i="4"/>
  <c r="J109" i="4"/>
  <c r="J45" i="4"/>
  <c r="D6" i="4"/>
  <c r="C7" i="4"/>
  <c r="B7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13" i="4"/>
  <c r="AG263" i="4"/>
  <c r="I263" i="4"/>
  <c r="AG262" i="4"/>
  <c r="I262" i="4"/>
  <c r="AG261" i="4"/>
  <c r="I261" i="4"/>
  <c r="J261" i="4" s="1"/>
  <c r="AG260" i="4"/>
  <c r="I260" i="4"/>
  <c r="AG259" i="4"/>
  <c r="I259" i="4"/>
  <c r="AG258" i="4"/>
  <c r="I258" i="4"/>
  <c r="J258" i="4" s="1"/>
  <c r="AG257" i="4"/>
  <c r="I257" i="4"/>
  <c r="J257" i="4" s="1"/>
  <c r="AG256" i="4"/>
  <c r="I256" i="4"/>
  <c r="AG255" i="4"/>
  <c r="I255" i="4"/>
  <c r="AG254" i="4"/>
  <c r="I254" i="4"/>
  <c r="J254" i="4" s="1"/>
  <c r="AG253" i="4"/>
  <c r="I253" i="4"/>
  <c r="J253" i="4" s="1"/>
  <c r="AG252" i="4"/>
  <c r="I252" i="4"/>
  <c r="AG251" i="4"/>
  <c r="I251" i="4"/>
  <c r="AG250" i="4"/>
  <c r="I250" i="4"/>
  <c r="AG249" i="4"/>
  <c r="I249" i="4"/>
  <c r="AG248" i="4"/>
  <c r="I248" i="4"/>
  <c r="AG247" i="4"/>
  <c r="I247" i="4"/>
  <c r="AG246" i="4"/>
  <c r="I246" i="4"/>
  <c r="J246" i="4" s="1"/>
  <c r="AG245" i="4"/>
  <c r="I245" i="4"/>
  <c r="J245" i="4" s="1"/>
  <c r="AG244" i="4"/>
  <c r="I244" i="4"/>
  <c r="J244" i="4" s="1"/>
  <c r="AG243" i="4"/>
  <c r="I243" i="4"/>
  <c r="AG242" i="4"/>
  <c r="I242" i="4"/>
  <c r="J242" i="4" s="1"/>
  <c r="AG241" i="4"/>
  <c r="I241" i="4"/>
  <c r="AG240" i="4"/>
  <c r="I240" i="4"/>
  <c r="AG239" i="4"/>
  <c r="I239" i="4"/>
  <c r="J239" i="4" s="1"/>
  <c r="AG238" i="4"/>
  <c r="I238" i="4"/>
  <c r="AG237" i="4"/>
  <c r="I237" i="4"/>
  <c r="AG236" i="4"/>
  <c r="I236" i="4"/>
  <c r="J236" i="4" s="1"/>
  <c r="AG235" i="4"/>
  <c r="I235" i="4"/>
  <c r="AG234" i="4"/>
  <c r="I234" i="4"/>
  <c r="AG233" i="4"/>
  <c r="I233" i="4"/>
  <c r="J233" i="4" s="1"/>
  <c r="AG232" i="4"/>
  <c r="I232" i="4"/>
  <c r="J232" i="4" s="1"/>
  <c r="AG231" i="4"/>
  <c r="I231" i="4"/>
  <c r="AG230" i="4"/>
  <c r="I230" i="4"/>
  <c r="J230" i="4" s="1"/>
  <c r="AG229" i="4"/>
  <c r="I229" i="4"/>
  <c r="J229" i="4" s="1"/>
  <c r="AG228" i="4"/>
  <c r="I228" i="4"/>
  <c r="J228" i="4" s="1"/>
  <c r="AG227" i="4"/>
  <c r="I227" i="4"/>
  <c r="AG226" i="4"/>
  <c r="I226" i="4"/>
  <c r="AG225" i="4"/>
  <c r="I225" i="4"/>
  <c r="AG224" i="4"/>
  <c r="I224" i="4"/>
  <c r="J224" i="4" s="1"/>
  <c r="AG223" i="4"/>
  <c r="I223" i="4"/>
  <c r="J223" i="4" s="1"/>
  <c r="AG222" i="4"/>
  <c r="I222" i="4"/>
  <c r="AG221" i="4"/>
  <c r="I221" i="4"/>
  <c r="AG220" i="4"/>
  <c r="I220" i="4"/>
  <c r="AG219" i="4"/>
  <c r="I219" i="4"/>
  <c r="AG218" i="4"/>
  <c r="I218" i="4"/>
  <c r="AG217" i="4"/>
  <c r="I217" i="4"/>
  <c r="AG216" i="4"/>
  <c r="I216" i="4"/>
  <c r="J216" i="4" s="1"/>
  <c r="AG215" i="4"/>
  <c r="I215" i="4"/>
  <c r="AG214" i="4"/>
  <c r="I214" i="4"/>
  <c r="J214" i="4" s="1"/>
  <c r="AG213" i="4"/>
  <c r="I213" i="4"/>
  <c r="J213" i="4" s="1"/>
  <c r="AG212" i="4"/>
  <c r="I212" i="4"/>
  <c r="J212" i="4" s="1"/>
  <c r="AG211" i="4"/>
  <c r="I211" i="4"/>
  <c r="AG210" i="4"/>
  <c r="I210" i="4"/>
  <c r="AG209" i="4"/>
  <c r="I209" i="4"/>
  <c r="AG208" i="4"/>
  <c r="I208" i="4"/>
  <c r="AG207" i="4"/>
  <c r="I207" i="4"/>
  <c r="AG206" i="4"/>
  <c r="I206" i="4"/>
  <c r="J206" i="4" s="1"/>
  <c r="AG205" i="4"/>
  <c r="I205" i="4"/>
  <c r="J205" i="4" s="1"/>
  <c r="AG204" i="4"/>
  <c r="I204" i="4"/>
  <c r="AG203" i="4"/>
  <c r="I203" i="4"/>
  <c r="J203" i="4" s="1"/>
  <c r="AG202" i="4"/>
  <c r="I202" i="4"/>
  <c r="AG201" i="4"/>
  <c r="I201" i="4"/>
  <c r="AG200" i="4"/>
  <c r="I200" i="4"/>
  <c r="J200" i="4" s="1"/>
  <c r="AG199" i="4"/>
  <c r="I199" i="4"/>
  <c r="AG198" i="4"/>
  <c r="I198" i="4"/>
  <c r="J198" i="4" s="1"/>
  <c r="AG197" i="4"/>
  <c r="I197" i="4"/>
  <c r="J197" i="4" s="1"/>
  <c r="AG196" i="4"/>
  <c r="I196" i="4"/>
  <c r="AG195" i="4"/>
  <c r="I195" i="4"/>
  <c r="AG194" i="4"/>
  <c r="I194" i="4"/>
  <c r="J194" i="4" s="1"/>
  <c r="AG193" i="4"/>
  <c r="I193" i="4"/>
  <c r="J193" i="4" s="1"/>
  <c r="AG192" i="4"/>
  <c r="I192" i="4"/>
  <c r="AG191" i="4"/>
  <c r="I191" i="4"/>
  <c r="AG190" i="4"/>
  <c r="I190" i="4"/>
  <c r="AG189" i="4"/>
  <c r="I189" i="4"/>
  <c r="AG188" i="4"/>
  <c r="I188" i="4"/>
  <c r="AG187" i="4"/>
  <c r="I187" i="4"/>
  <c r="AG186" i="4"/>
  <c r="I186" i="4"/>
  <c r="J186" i="4" s="1"/>
  <c r="AG185" i="4"/>
  <c r="I185" i="4"/>
  <c r="J185" i="4" s="1"/>
  <c r="AG184" i="4"/>
  <c r="I184" i="4"/>
  <c r="AG183" i="4"/>
  <c r="I183" i="4"/>
  <c r="AG182" i="4"/>
  <c r="I182" i="4"/>
  <c r="AG181" i="4"/>
  <c r="I181" i="4"/>
  <c r="AG180" i="4"/>
  <c r="I180" i="4"/>
  <c r="J180" i="4" s="1"/>
  <c r="AG179" i="4"/>
  <c r="I179" i="4"/>
  <c r="AG178" i="4"/>
  <c r="I178" i="4"/>
  <c r="AG177" i="4"/>
  <c r="I177" i="4"/>
  <c r="AG176" i="4"/>
  <c r="I176" i="4"/>
  <c r="AG175" i="4"/>
  <c r="I175" i="4"/>
  <c r="J175" i="4" s="1"/>
  <c r="AG174" i="4"/>
  <c r="I174" i="4"/>
  <c r="J174" i="4" s="1"/>
  <c r="AG173" i="4"/>
  <c r="I173" i="4"/>
  <c r="AG172" i="4"/>
  <c r="I172" i="4"/>
  <c r="J172" i="4" s="1"/>
  <c r="AG171" i="4"/>
  <c r="I171" i="4"/>
  <c r="AG170" i="4"/>
  <c r="I170" i="4"/>
  <c r="J170" i="4" s="1"/>
  <c r="AG169" i="4"/>
  <c r="I169" i="4"/>
  <c r="J169" i="4" s="1"/>
  <c r="AG168" i="4"/>
  <c r="I168" i="4"/>
  <c r="J168" i="4" s="1"/>
  <c r="AG167" i="4"/>
  <c r="I167" i="4"/>
  <c r="AG166" i="4"/>
  <c r="I166" i="4"/>
  <c r="AG165" i="4"/>
  <c r="I165" i="4"/>
  <c r="AG164" i="4"/>
  <c r="I164" i="4"/>
  <c r="J164" i="4" s="1"/>
  <c r="AG163" i="4"/>
  <c r="I163" i="4"/>
  <c r="J163" i="4" s="1"/>
  <c r="AG162" i="4"/>
  <c r="I162" i="4"/>
  <c r="AG161" i="4"/>
  <c r="I161" i="4"/>
  <c r="AG160" i="4"/>
  <c r="I160" i="4"/>
  <c r="J160" i="4" s="1"/>
  <c r="AG159" i="4"/>
  <c r="I159" i="4"/>
  <c r="J159" i="4" s="1"/>
  <c r="AG158" i="4"/>
  <c r="I158" i="4"/>
  <c r="AG157" i="4"/>
  <c r="I157" i="4"/>
  <c r="J157" i="4" s="1"/>
  <c r="AG156" i="4"/>
  <c r="I156" i="4"/>
  <c r="AG155" i="4"/>
  <c r="I155" i="4"/>
  <c r="AG154" i="4"/>
  <c r="I154" i="4"/>
  <c r="J154" i="4" s="1"/>
  <c r="AG153" i="4"/>
  <c r="I153" i="4"/>
  <c r="J153" i="4" s="1"/>
  <c r="AG152" i="4"/>
  <c r="I152" i="4"/>
  <c r="J152" i="4" s="1"/>
  <c r="AG151" i="4"/>
  <c r="I151" i="4"/>
  <c r="AG150" i="4"/>
  <c r="I150" i="4"/>
  <c r="AG149" i="4"/>
  <c r="I149" i="4"/>
  <c r="AG148" i="4"/>
  <c r="I148" i="4"/>
  <c r="J148" i="4" s="1"/>
  <c r="AG147" i="4"/>
  <c r="I147" i="4"/>
  <c r="AG146" i="4"/>
  <c r="I146" i="4"/>
  <c r="J146" i="4" s="1"/>
  <c r="AG145" i="4"/>
  <c r="I145" i="4"/>
  <c r="J145" i="4" s="1"/>
  <c r="AG144" i="4"/>
  <c r="I144" i="4"/>
  <c r="AG143" i="4"/>
  <c r="I143" i="4"/>
  <c r="J143" i="4" s="1"/>
  <c r="AG142" i="4"/>
  <c r="I142" i="4"/>
  <c r="J142" i="4" s="1"/>
  <c r="AG141" i="4"/>
  <c r="I141" i="4"/>
  <c r="AG140" i="4"/>
  <c r="I140" i="4"/>
  <c r="AG139" i="4"/>
  <c r="I139" i="4"/>
  <c r="AG138" i="4"/>
  <c r="I138" i="4"/>
  <c r="AG137" i="4"/>
  <c r="I137" i="4"/>
  <c r="J137" i="4" s="1"/>
  <c r="AG136" i="4"/>
  <c r="I136" i="4"/>
  <c r="J136" i="4" s="1"/>
  <c r="AG135" i="4"/>
  <c r="I135" i="4"/>
  <c r="AG134" i="4"/>
  <c r="I134" i="4"/>
  <c r="AG133" i="4"/>
  <c r="I133" i="4"/>
  <c r="AG132" i="4"/>
  <c r="I132" i="4"/>
  <c r="AG131" i="4"/>
  <c r="I131" i="4"/>
  <c r="J131" i="4" s="1"/>
  <c r="AG130" i="4"/>
  <c r="I130" i="4"/>
  <c r="AG129" i="4"/>
  <c r="I129" i="4"/>
  <c r="J129" i="4" s="1"/>
  <c r="AG128" i="4"/>
  <c r="I128" i="4"/>
  <c r="AG127" i="4"/>
  <c r="I127" i="4"/>
  <c r="AG126" i="4"/>
  <c r="I126" i="4"/>
  <c r="J126" i="4" s="1"/>
  <c r="AG125" i="4"/>
  <c r="I125" i="4"/>
  <c r="AG124" i="4"/>
  <c r="I124" i="4"/>
  <c r="AG123" i="4"/>
  <c r="I123" i="4"/>
  <c r="AG122" i="4"/>
  <c r="I122" i="4"/>
  <c r="J122" i="4" s="1"/>
  <c r="AG121" i="4"/>
  <c r="I121" i="4"/>
  <c r="J121" i="4" s="1"/>
  <c r="AG120" i="4"/>
  <c r="I120" i="4"/>
  <c r="AG119" i="4"/>
  <c r="I119" i="4"/>
  <c r="J119" i="4" s="1"/>
  <c r="AG118" i="4"/>
  <c r="I118" i="4"/>
  <c r="AG117" i="4"/>
  <c r="I117" i="4"/>
  <c r="J117" i="4" s="1"/>
  <c r="AG116" i="4"/>
  <c r="I116" i="4"/>
  <c r="J116" i="4" s="1"/>
  <c r="AG115" i="4"/>
  <c r="I115" i="4"/>
  <c r="AG114" i="4"/>
  <c r="I114" i="4"/>
  <c r="AG113" i="4"/>
  <c r="I113" i="4"/>
  <c r="AG112" i="4"/>
  <c r="I112" i="4"/>
  <c r="AG111" i="4"/>
  <c r="I111" i="4"/>
  <c r="J111" i="4" s="1"/>
  <c r="AG110" i="4"/>
  <c r="I110" i="4"/>
  <c r="AG109" i="4"/>
  <c r="I109" i="4"/>
  <c r="AG108" i="4"/>
  <c r="I108" i="4"/>
  <c r="J108" i="4" s="1"/>
  <c r="AG107" i="4"/>
  <c r="I107" i="4"/>
  <c r="J107" i="4" s="1"/>
  <c r="AG106" i="4"/>
  <c r="I106" i="4"/>
  <c r="AG105" i="4"/>
  <c r="I105" i="4"/>
  <c r="AG104" i="4"/>
  <c r="I104" i="4"/>
  <c r="J104" i="4" s="1"/>
  <c r="AG103" i="4"/>
  <c r="I103" i="4"/>
  <c r="AG102" i="4"/>
  <c r="I102" i="4"/>
  <c r="AG101" i="4"/>
  <c r="I101" i="4"/>
  <c r="J101" i="4" s="1"/>
  <c r="AG100" i="4"/>
  <c r="I100" i="4"/>
  <c r="J100" i="4" s="1"/>
  <c r="AG99" i="4"/>
  <c r="I99" i="4"/>
  <c r="AG98" i="4"/>
  <c r="I98" i="4"/>
  <c r="AG97" i="4"/>
  <c r="I97" i="4"/>
  <c r="AG96" i="4"/>
  <c r="I96" i="4"/>
  <c r="J96" i="4" s="1"/>
  <c r="AG95" i="4"/>
  <c r="I95" i="4"/>
  <c r="J95" i="4" s="1"/>
  <c r="AG94" i="4"/>
  <c r="I94" i="4"/>
  <c r="J94" i="4" s="1"/>
  <c r="AG93" i="4"/>
  <c r="I93" i="4"/>
  <c r="AG92" i="4"/>
  <c r="I92" i="4"/>
  <c r="AG91" i="4"/>
  <c r="I91" i="4"/>
  <c r="AG90" i="4"/>
  <c r="I90" i="4"/>
  <c r="AG89" i="4"/>
  <c r="I89" i="4"/>
  <c r="AG88" i="4"/>
  <c r="I88" i="4"/>
  <c r="J88" i="4" s="1"/>
  <c r="AG87" i="4"/>
  <c r="I87" i="4"/>
  <c r="J87" i="4" s="1"/>
  <c r="AG86" i="4"/>
  <c r="I86" i="4"/>
  <c r="AG85" i="4"/>
  <c r="I85" i="4"/>
  <c r="J85" i="4" s="1"/>
  <c r="AG84" i="4"/>
  <c r="I84" i="4"/>
  <c r="J84" i="4" s="1"/>
  <c r="AG83" i="4"/>
  <c r="I83" i="4"/>
  <c r="AG82" i="4"/>
  <c r="I82" i="4"/>
  <c r="J82" i="4" s="1"/>
  <c r="AG81" i="4"/>
  <c r="I81" i="4"/>
  <c r="J81" i="4" s="1"/>
  <c r="AG80" i="4"/>
  <c r="I80" i="4"/>
  <c r="AG79" i="4"/>
  <c r="I79" i="4"/>
  <c r="AG78" i="4"/>
  <c r="I78" i="4"/>
  <c r="J78" i="4" s="1"/>
  <c r="AG77" i="4"/>
  <c r="I77" i="4"/>
  <c r="J77" i="4" s="1"/>
  <c r="AG76" i="4"/>
  <c r="I76" i="4"/>
  <c r="AG75" i="4"/>
  <c r="I75" i="4"/>
  <c r="AG74" i="4"/>
  <c r="I74" i="4"/>
  <c r="J74" i="4" s="1"/>
  <c r="L74" i="4" s="1"/>
  <c r="AG73" i="4"/>
  <c r="I73" i="4"/>
  <c r="J73" i="4" s="1"/>
  <c r="AG72" i="4"/>
  <c r="I72" i="4"/>
  <c r="J72" i="4" s="1"/>
  <c r="AG71" i="4"/>
  <c r="I71" i="4"/>
  <c r="AG70" i="4"/>
  <c r="I70" i="4"/>
  <c r="AG69" i="4"/>
  <c r="I69" i="4"/>
  <c r="J69" i="4" s="1"/>
  <c r="AG68" i="4"/>
  <c r="I68" i="4"/>
  <c r="AG67" i="4"/>
  <c r="I67" i="4"/>
  <c r="AG66" i="4"/>
  <c r="I66" i="4"/>
  <c r="AG65" i="4"/>
  <c r="I65" i="4"/>
  <c r="J65" i="4" s="1"/>
  <c r="AG64" i="4"/>
  <c r="I64" i="4"/>
  <c r="AG63" i="4"/>
  <c r="I63" i="4"/>
  <c r="AG62" i="4"/>
  <c r="I62" i="4"/>
  <c r="AG61" i="4"/>
  <c r="I61" i="4"/>
  <c r="J61" i="4" s="1"/>
  <c r="AG60" i="4"/>
  <c r="I60" i="4"/>
  <c r="J60" i="4" s="1"/>
  <c r="AG59" i="4"/>
  <c r="I59" i="4"/>
  <c r="J59" i="4" s="1"/>
  <c r="AG58" i="4"/>
  <c r="I58" i="4"/>
  <c r="AG57" i="4"/>
  <c r="I57" i="4"/>
  <c r="J57" i="4" s="1"/>
  <c r="AG56" i="4"/>
  <c r="I56" i="4"/>
  <c r="AG55" i="4"/>
  <c r="I55" i="4"/>
  <c r="AG54" i="4"/>
  <c r="I54" i="4"/>
  <c r="AG53" i="4"/>
  <c r="I53" i="4"/>
  <c r="J53" i="4" s="1"/>
  <c r="AG52" i="4"/>
  <c r="I52" i="4"/>
  <c r="AG51" i="4"/>
  <c r="I51" i="4"/>
  <c r="AG50" i="4"/>
  <c r="I50" i="4"/>
  <c r="AG49" i="4"/>
  <c r="I49" i="4"/>
  <c r="AG48" i="4"/>
  <c r="I48" i="4"/>
  <c r="AG47" i="4"/>
  <c r="I47" i="4"/>
  <c r="AG46" i="4"/>
  <c r="I46" i="4"/>
  <c r="AG45" i="4"/>
  <c r="I45" i="4"/>
  <c r="AG44" i="4"/>
  <c r="I44" i="4"/>
  <c r="J44" i="4" s="1"/>
  <c r="AG43" i="4"/>
  <c r="I43" i="4"/>
  <c r="AG42" i="4"/>
  <c r="I42" i="4"/>
  <c r="AG41" i="4"/>
  <c r="I41" i="4"/>
  <c r="J41" i="4" s="1"/>
  <c r="AG40" i="4"/>
  <c r="I40" i="4"/>
  <c r="AG39" i="4"/>
  <c r="I39" i="4"/>
  <c r="AG38" i="4"/>
  <c r="I38" i="4"/>
  <c r="AG37" i="4"/>
  <c r="I37" i="4"/>
  <c r="J37" i="4" s="1"/>
  <c r="AG36" i="4"/>
  <c r="I36" i="4"/>
  <c r="J36" i="4" s="1"/>
  <c r="AG35" i="4"/>
  <c r="I35" i="4"/>
  <c r="AG34" i="4"/>
  <c r="I34" i="4"/>
  <c r="AG33" i="4"/>
  <c r="I33" i="4"/>
  <c r="J33" i="4" s="1"/>
  <c r="AG32" i="4"/>
  <c r="I32" i="4"/>
  <c r="J32" i="4" s="1"/>
  <c r="AG31" i="4"/>
  <c r="I31" i="4"/>
  <c r="J31" i="4" s="1"/>
  <c r="AG30" i="4"/>
  <c r="I30" i="4"/>
  <c r="AG29" i="4"/>
  <c r="I29" i="4"/>
  <c r="AG28" i="4"/>
  <c r="I28" i="4"/>
  <c r="AG27" i="4"/>
  <c r="I27" i="4"/>
  <c r="J27" i="4" s="1"/>
  <c r="AG26" i="4"/>
  <c r="I26" i="4"/>
  <c r="AG25" i="4"/>
  <c r="I25" i="4"/>
  <c r="AG24" i="4"/>
  <c r="I24" i="4"/>
  <c r="J24" i="4" s="1"/>
  <c r="AL23" i="4"/>
  <c r="AG23" i="4"/>
  <c r="S23" i="4"/>
  <c r="I23" i="4"/>
  <c r="AL22" i="4"/>
  <c r="AG22" i="4"/>
  <c r="S22" i="4"/>
  <c r="I22" i="4"/>
  <c r="J22" i="4" s="1"/>
  <c r="AL21" i="4"/>
  <c r="AG21" i="4"/>
  <c r="S21" i="4"/>
  <c r="S24" i="4" s="1"/>
  <c r="I21" i="4"/>
  <c r="AG20" i="4"/>
  <c r="I20" i="4"/>
  <c r="J20" i="4" s="1"/>
  <c r="AG19" i="4"/>
  <c r="I19" i="4"/>
  <c r="J19" i="4" s="1"/>
  <c r="AG18" i="4"/>
  <c r="I18" i="4"/>
  <c r="AG17" i="4"/>
  <c r="I17" i="4"/>
  <c r="J17" i="4" s="1"/>
  <c r="AG16" i="4"/>
  <c r="AA16" i="4"/>
  <c r="AA19" i="4" s="1"/>
  <c r="I16" i="4"/>
  <c r="AG15" i="4"/>
  <c r="I15" i="4"/>
  <c r="AG14" i="4"/>
  <c r="H10" i="3"/>
  <c r="E6" i="7" a="1"/>
  <c r="E6" i="7" s="1"/>
  <c r="K11" i="7"/>
  <c r="L12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L114" i="4" l="1"/>
  <c r="L162" i="4"/>
  <c r="L262" i="4"/>
  <c r="L105" i="4"/>
  <c r="L113" i="4"/>
  <c r="L125" i="4"/>
  <c r="L133" i="4"/>
  <c r="L149" i="4"/>
  <c r="L173" i="4"/>
  <c r="L181" i="4"/>
  <c r="L201" i="4"/>
  <c r="L249" i="4"/>
  <c r="L26" i="4"/>
  <c r="L34" i="4"/>
  <c r="L46" i="4"/>
  <c r="L58" i="4"/>
  <c r="L66" i="4"/>
  <c r="J165" i="4"/>
  <c r="L165" i="4" s="1"/>
  <c r="J62" i="4"/>
  <c r="L62" i="4" s="1"/>
  <c r="J190" i="4"/>
  <c r="L190" i="4" s="1"/>
  <c r="J50" i="4"/>
  <c r="L50" i="4" s="1"/>
  <c r="J105" i="4"/>
  <c r="L86" i="4"/>
  <c r="L150" i="4"/>
  <c r="L178" i="4"/>
  <c r="J114" i="4"/>
  <c r="J90" i="4"/>
  <c r="L90" i="4" s="1"/>
  <c r="L27" i="4"/>
  <c r="L31" i="4"/>
  <c r="L39" i="4"/>
  <c r="L47" i="4"/>
  <c r="L59" i="4"/>
  <c r="L63" i="4"/>
  <c r="L67" i="4"/>
  <c r="J181" i="4"/>
  <c r="J210" i="4"/>
  <c r="L210" i="4" s="1"/>
  <c r="J18" i="4"/>
  <c r="L18" i="4" s="1"/>
  <c r="J47" i="4"/>
  <c r="J138" i="4"/>
  <c r="L138" i="4" s="1"/>
  <c r="AL19" i="4"/>
  <c r="J249" i="4"/>
  <c r="J234" i="4"/>
  <c r="L234" i="4" s="1"/>
  <c r="L82" i="4"/>
  <c r="L134" i="4"/>
  <c r="L198" i="4"/>
  <c r="L226" i="4"/>
  <c r="L254" i="4"/>
  <c r="J134" i="4"/>
  <c r="J262" i="4"/>
  <c r="L79" i="4"/>
  <c r="L91" i="4"/>
  <c r="L95" i="4"/>
  <c r="L103" i="4"/>
  <c r="L107" i="4"/>
  <c r="L111" i="4"/>
  <c r="L127" i="4"/>
  <c r="L131" i="4"/>
  <c r="L151" i="4"/>
  <c r="L159" i="4"/>
  <c r="L163" i="4"/>
  <c r="L167" i="4"/>
  <c r="L175" i="4"/>
  <c r="L187" i="4"/>
  <c r="L203" i="4"/>
  <c r="L211" i="4"/>
  <c r="L223" i="4"/>
  <c r="L227" i="4"/>
  <c r="L231" i="4"/>
  <c r="L239" i="4"/>
  <c r="L251" i="4"/>
  <c r="L259" i="4"/>
  <c r="J125" i="4"/>
  <c r="J189" i="4"/>
  <c r="L189" i="4" s="1"/>
  <c r="J86" i="4"/>
  <c r="J150" i="4"/>
  <c r="J139" i="4"/>
  <c r="L139" i="4" s="1"/>
  <c r="J55" i="4"/>
  <c r="L55" i="4" s="1"/>
  <c r="J183" i="4"/>
  <c r="L183" i="4" s="1"/>
  <c r="J247" i="4"/>
  <c r="L247" i="4" s="1"/>
  <c r="J226" i="4"/>
  <c r="J179" i="4"/>
  <c r="L179" i="4" s="1"/>
  <c r="L126" i="4"/>
  <c r="L158" i="4"/>
  <c r="L206" i="4"/>
  <c r="L218" i="4"/>
  <c r="L19" i="4"/>
  <c r="L28" i="4"/>
  <c r="L52" i="4"/>
  <c r="J133" i="4"/>
  <c r="J51" i="4"/>
  <c r="L51" i="4" s="1"/>
  <c r="J30" i="4"/>
  <c r="L30" i="4" s="1"/>
  <c r="J158" i="4"/>
  <c r="J222" i="4"/>
  <c r="L222" i="4" s="1"/>
  <c r="J187" i="4"/>
  <c r="J63" i="4"/>
  <c r="J127" i="4"/>
  <c r="J191" i="4"/>
  <c r="L191" i="4" s="1"/>
  <c r="J255" i="4"/>
  <c r="L255" i="4" s="1"/>
  <c r="J75" i="4"/>
  <c r="L75" i="4" s="1"/>
  <c r="J40" i="4"/>
  <c r="L40" i="4" s="1"/>
  <c r="J218" i="4"/>
  <c r="J201" i="4"/>
  <c r="J42" i="4"/>
  <c r="L42" i="4" s="1"/>
  <c r="J99" i="4"/>
  <c r="L99" i="4" s="1"/>
  <c r="J52" i="4"/>
  <c r="J219" i="4"/>
  <c r="L219" i="4" s="1"/>
  <c r="L102" i="4"/>
  <c r="L142" i="4"/>
  <c r="L186" i="4"/>
  <c r="L24" i="4"/>
  <c r="L36" i="4"/>
  <c r="L68" i="4"/>
  <c r="L80" i="4"/>
  <c r="L84" i="4"/>
  <c r="L88" i="4"/>
  <c r="L92" i="4"/>
  <c r="L96" i="4"/>
  <c r="L100" i="4"/>
  <c r="L104" i="4"/>
  <c r="L108" i="4"/>
  <c r="L112" i="4"/>
  <c r="L116" i="4"/>
  <c r="L136" i="4"/>
  <c r="L144" i="4"/>
  <c r="L148" i="4"/>
  <c r="L152" i="4"/>
  <c r="L160" i="4"/>
  <c r="L164" i="4"/>
  <c r="L168" i="4"/>
  <c r="L172" i="4"/>
  <c r="L176" i="4"/>
  <c r="L180" i="4"/>
  <c r="L188" i="4"/>
  <c r="L196" i="4"/>
  <c r="L200" i="4"/>
  <c r="L208" i="4"/>
  <c r="L212" i="4"/>
  <c r="L216" i="4"/>
  <c r="L220" i="4"/>
  <c r="L224" i="4"/>
  <c r="L228" i="4"/>
  <c r="L232" i="4"/>
  <c r="L236" i="4"/>
  <c r="L240" i="4"/>
  <c r="L244" i="4"/>
  <c r="J141" i="4"/>
  <c r="L141" i="4" s="1"/>
  <c r="J34" i="4"/>
  <c r="J83" i="4"/>
  <c r="L83" i="4" s="1"/>
  <c r="J38" i="4"/>
  <c r="L38" i="4" s="1"/>
  <c r="J102" i="4"/>
  <c r="J166" i="4"/>
  <c r="L166" i="4" s="1"/>
  <c r="J162" i="4"/>
  <c r="J227" i="4"/>
  <c r="J71" i="4"/>
  <c r="L71" i="4" s="1"/>
  <c r="J135" i="4"/>
  <c r="L135" i="4" s="1"/>
  <c r="J199" i="4"/>
  <c r="L199" i="4" s="1"/>
  <c r="J155" i="4"/>
  <c r="L155" i="4" s="1"/>
  <c r="J48" i="4"/>
  <c r="L48" i="4" s="1"/>
  <c r="J112" i="4"/>
  <c r="J176" i="4"/>
  <c r="J240" i="4"/>
  <c r="J209" i="4"/>
  <c r="L209" i="4" s="1"/>
  <c r="J58" i="4"/>
  <c r="J147" i="4"/>
  <c r="L147" i="4" s="1"/>
  <c r="J124" i="4"/>
  <c r="L124" i="4" s="1"/>
  <c r="J188" i="4"/>
  <c r="J252" i="4"/>
  <c r="L252" i="4" s="1"/>
  <c r="J259" i="4"/>
  <c r="L78" i="4"/>
  <c r="L154" i="4"/>
  <c r="L202" i="4"/>
  <c r="L230" i="4"/>
  <c r="L258" i="4"/>
  <c r="J178" i="4"/>
  <c r="L22" i="4"/>
  <c r="L32" i="4"/>
  <c r="L44" i="4"/>
  <c r="L60" i="4"/>
  <c r="L72" i="4"/>
  <c r="L16" i="4"/>
  <c r="L76" i="4"/>
  <c r="L20" i="4"/>
  <c r="L37" i="4"/>
  <c r="L41" i="4"/>
  <c r="L45" i="4"/>
  <c r="L49" i="4"/>
  <c r="L53" i="4"/>
  <c r="L57" i="4"/>
  <c r="L61" i="4"/>
  <c r="L65" i="4"/>
  <c r="L69" i="4"/>
  <c r="L73" i="4"/>
  <c r="J21" i="4"/>
  <c r="L21" i="4" s="1"/>
  <c r="J149" i="4"/>
  <c r="J66" i="4"/>
  <c r="J123" i="4"/>
  <c r="L123" i="4" s="1"/>
  <c r="J46" i="4"/>
  <c r="J110" i="4"/>
  <c r="L110" i="4" s="1"/>
  <c r="J238" i="4"/>
  <c r="L238" i="4" s="1"/>
  <c r="J202" i="4"/>
  <c r="J15" i="4"/>
  <c r="L15" i="4" s="1"/>
  <c r="J79" i="4"/>
  <c r="J207" i="4"/>
  <c r="L207" i="4" s="1"/>
  <c r="J263" i="4"/>
  <c r="L263" i="4" s="1"/>
  <c r="J235" i="4"/>
  <c r="L235" i="4" s="1"/>
  <c r="J56" i="4"/>
  <c r="L56" i="4" s="1"/>
  <c r="J120" i="4"/>
  <c r="L120" i="4" s="1"/>
  <c r="J184" i="4"/>
  <c r="L184" i="4" s="1"/>
  <c r="J248" i="4"/>
  <c r="L248" i="4" s="1"/>
  <c r="J43" i="4"/>
  <c r="L43" i="4" s="1"/>
  <c r="J25" i="4"/>
  <c r="L25" i="4" s="1"/>
  <c r="J89" i="4"/>
  <c r="L89" i="4" s="1"/>
  <c r="J217" i="4"/>
  <c r="L217" i="4" s="1"/>
  <c r="J98" i="4"/>
  <c r="L98" i="4" s="1"/>
  <c r="J195" i="4"/>
  <c r="L195" i="4" s="1"/>
  <c r="J68" i="4"/>
  <c r="J132" i="4"/>
  <c r="L132" i="4" s="1"/>
  <c r="J196" i="4"/>
  <c r="J260" i="4"/>
  <c r="L260" i="4" s="1"/>
  <c r="L94" i="4"/>
  <c r="L122" i="4"/>
  <c r="L146" i="4"/>
  <c r="L174" i="4"/>
  <c r="L194" i="4"/>
  <c r="L214" i="4"/>
  <c r="L242" i="4"/>
  <c r="L77" i="4"/>
  <c r="L101" i="4"/>
  <c r="L109" i="4"/>
  <c r="L121" i="4"/>
  <c r="L129" i="4"/>
  <c r="L137" i="4"/>
  <c r="L145" i="4"/>
  <c r="L153" i="4"/>
  <c r="L161" i="4"/>
  <c r="L169" i="4"/>
  <c r="L177" i="4"/>
  <c r="L185" i="4"/>
  <c r="L193" i="4"/>
  <c r="L197" i="4"/>
  <c r="L205" i="4"/>
  <c r="L213" i="4"/>
  <c r="L221" i="4"/>
  <c r="L229" i="4"/>
  <c r="L233" i="4"/>
  <c r="L237" i="4"/>
  <c r="L241" i="4"/>
  <c r="L245" i="4"/>
  <c r="L253" i="4"/>
  <c r="L257" i="4"/>
  <c r="L261" i="4"/>
  <c r="J29" i="4"/>
  <c r="L29" i="4" s="1"/>
  <c r="J93" i="4"/>
  <c r="L93" i="4" s="1"/>
  <c r="J221" i="4"/>
  <c r="J106" i="4"/>
  <c r="L106" i="4" s="1"/>
  <c r="J171" i="4"/>
  <c r="L171" i="4" s="1"/>
  <c r="J54" i="4"/>
  <c r="L54" i="4" s="1"/>
  <c r="J118" i="4"/>
  <c r="L118" i="4" s="1"/>
  <c r="J182" i="4"/>
  <c r="L182" i="4" s="1"/>
  <c r="J250" i="4"/>
  <c r="L250" i="4" s="1"/>
  <c r="J23" i="4"/>
  <c r="J264" i="4" s="1"/>
  <c r="J151" i="4"/>
  <c r="J215" i="4"/>
  <c r="L215" i="4" s="1"/>
  <c r="J26" i="4"/>
  <c r="J64" i="4"/>
  <c r="L64" i="4" s="1"/>
  <c r="J128" i="4"/>
  <c r="L128" i="4" s="1"/>
  <c r="J192" i="4"/>
  <c r="L192" i="4" s="1"/>
  <c r="J256" i="4"/>
  <c r="L256" i="4" s="1"/>
  <c r="J115" i="4"/>
  <c r="L115" i="4" s="1"/>
  <c r="J97" i="4"/>
  <c r="L97" i="4" s="1"/>
  <c r="J161" i="4"/>
  <c r="J225" i="4"/>
  <c r="L225" i="4" s="1"/>
  <c r="J130" i="4"/>
  <c r="L130" i="4" s="1"/>
  <c r="J243" i="4"/>
  <c r="L243" i="4" s="1"/>
  <c r="J76" i="4"/>
  <c r="J140" i="4"/>
  <c r="L140" i="4" s="1"/>
  <c r="J204" i="4"/>
  <c r="L204" i="4" s="1"/>
  <c r="J35" i="4"/>
  <c r="L35" i="4" s="1"/>
  <c r="B8" i="4"/>
  <c r="C8" i="4"/>
  <c r="D7" i="4"/>
  <c r="AL24" i="4"/>
  <c r="S25" i="4"/>
  <c r="S26" i="4" s="1"/>
  <c r="AA25" i="4"/>
  <c r="AA26" i="4" s="1"/>
  <c r="L17" i="4"/>
  <c r="L70" i="4"/>
  <c r="L81" i="4"/>
  <c r="L157" i="4"/>
  <c r="L170" i="4"/>
  <c r="AL25" i="4"/>
  <c r="L119" i="4"/>
  <c r="L246" i="4"/>
  <c r="L85" i="4"/>
  <c r="L33" i="4"/>
  <c r="L117" i="4"/>
  <c r="L143" i="4"/>
  <c r="L87" i="4"/>
  <c r="L156" i="4"/>
  <c r="L23" i="4" l="1"/>
  <c r="AL26" i="4"/>
  <c r="E14" i="4"/>
  <c r="F14" i="4" s="1"/>
  <c r="G14" i="4" s="1"/>
  <c r="E19" i="4"/>
  <c r="E27" i="4"/>
  <c r="E35" i="4"/>
  <c r="E43" i="4"/>
  <c r="E51" i="4"/>
  <c r="E59" i="4"/>
  <c r="E67" i="4"/>
  <c r="E75" i="4"/>
  <c r="E83" i="4"/>
  <c r="E91" i="4"/>
  <c r="E99" i="4"/>
  <c r="E107" i="4"/>
  <c r="E115" i="4"/>
  <c r="E123" i="4"/>
  <c r="E131" i="4"/>
  <c r="E139" i="4"/>
  <c r="E147" i="4"/>
  <c r="E155" i="4"/>
  <c r="E163" i="4"/>
  <c r="E171" i="4"/>
  <c r="E179" i="4"/>
  <c r="E187" i="4"/>
  <c r="E195" i="4"/>
  <c r="E203" i="4"/>
  <c r="E211" i="4"/>
  <c r="E219" i="4"/>
  <c r="E227" i="4"/>
  <c r="E235" i="4"/>
  <c r="E243" i="4"/>
  <c r="E251" i="4"/>
  <c r="E259" i="4"/>
  <c r="E20" i="4"/>
  <c r="E28" i="4"/>
  <c r="E36" i="4"/>
  <c r="E44" i="4"/>
  <c r="E52" i="4"/>
  <c r="E60" i="4"/>
  <c r="E68" i="4"/>
  <c r="E76" i="4"/>
  <c r="E84" i="4"/>
  <c r="E92" i="4"/>
  <c r="E100" i="4"/>
  <c r="E108" i="4"/>
  <c r="E116" i="4"/>
  <c r="E124" i="4"/>
  <c r="E132" i="4"/>
  <c r="E140" i="4"/>
  <c r="E148" i="4"/>
  <c r="E156" i="4"/>
  <c r="E164" i="4"/>
  <c r="E172" i="4"/>
  <c r="E180" i="4"/>
  <c r="E188" i="4"/>
  <c r="E196" i="4"/>
  <c r="E204" i="4"/>
  <c r="E212" i="4"/>
  <c r="E220" i="4"/>
  <c r="E228" i="4"/>
  <c r="E236" i="4"/>
  <c r="E244" i="4"/>
  <c r="E252" i="4"/>
  <c r="E260" i="4"/>
  <c r="E21" i="4"/>
  <c r="E29" i="4"/>
  <c r="E37" i="4"/>
  <c r="E45" i="4"/>
  <c r="E53" i="4"/>
  <c r="E61" i="4"/>
  <c r="E69" i="4"/>
  <c r="E77" i="4"/>
  <c r="E85" i="4"/>
  <c r="E93" i="4"/>
  <c r="E101" i="4"/>
  <c r="E109" i="4"/>
  <c r="E117" i="4"/>
  <c r="E125" i="4"/>
  <c r="E133" i="4"/>
  <c r="E141" i="4"/>
  <c r="E149" i="4"/>
  <c r="E157" i="4"/>
  <c r="E165" i="4"/>
  <c r="E173" i="4"/>
  <c r="E181" i="4"/>
  <c r="E189" i="4"/>
  <c r="E197" i="4"/>
  <c r="E205" i="4"/>
  <c r="E213" i="4"/>
  <c r="E221" i="4"/>
  <c r="E229" i="4"/>
  <c r="E237" i="4"/>
  <c r="E245" i="4"/>
  <c r="E253" i="4"/>
  <c r="E261" i="4"/>
  <c r="E22" i="4"/>
  <c r="E30" i="4"/>
  <c r="E38" i="4"/>
  <c r="E46" i="4"/>
  <c r="E54" i="4"/>
  <c r="E62" i="4"/>
  <c r="E70" i="4"/>
  <c r="E78" i="4"/>
  <c r="E86" i="4"/>
  <c r="E94" i="4"/>
  <c r="E102" i="4"/>
  <c r="E110" i="4"/>
  <c r="E118" i="4"/>
  <c r="E126" i="4"/>
  <c r="E134" i="4"/>
  <c r="E142" i="4"/>
  <c r="E150" i="4"/>
  <c r="E158" i="4"/>
  <c r="E166" i="4"/>
  <c r="E174" i="4"/>
  <c r="E182" i="4"/>
  <c r="E190" i="4"/>
  <c r="E198" i="4"/>
  <c r="E206" i="4"/>
  <c r="E214" i="4"/>
  <c r="E222" i="4"/>
  <c r="E230" i="4"/>
  <c r="E238" i="4"/>
  <c r="E246" i="4"/>
  <c r="E254" i="4"/>
  <c r="E262" i="4"/>
  <c r="E15" i="4"/>
  <c r="F15" i="4" s="1"/>
  <c r="G15" i="4" s="1"/>
  <c r="E23" i="4"/>
  <c r="F23" i="4" s="1"/>
  <c r="G23" i="4" s="1"/>
  <c r="E31" i="4"/>
  <c r="F31" i="4" s="1"/>
  <c r="G31" i="4" s="1"/>
  <c r="E39" i="4"/>
  <c r="F39" i="4" s="1"/>
  <c r="G39" i="4" s="1"/>
  <c r="E47" i="4"/>
  <c r="F47" i="4" s="1"/>
  <c r="G47" i="4" s="1"/>
  <c r="E55" i="4"/>
  <c r="F55" i="4" s="1"/>
  <c r="G55" i="4" s="1"/>
  <c r="E63" i="4"/>
  <c r="F63" i="4" s="1"/>
  <c r="G63" i="4" s="1"/>
  <c r="E71" i="4"/>
  <c r="F71" i="4" s="1"/>
  <c r="G71" i="4" s="1"/>
  <c r="E79" i="4"/>
  <c r="E87" i="4"/>
  <c r="F87" i="4" s="1"/>
  <c r="G87" i="4" s="1"/>
  <c r="E95" i="4"/>
  <c r="F95" i="4" s="1"/>
  <c r="G95" i="4" s="1"/>
  <c r="E103" i="4"/>
  <c r="F103" i="4" s="1"/>
  <c r="G103" i="4" s="1"/>
  <c r="E111" i="4"/>
  <c r="F111" i="4" s="1"/>
  <c r="G111" i="4" s="1"/>
  <c r="E119" i="4"/>
  <c r="F119" i="4" s="1"/>
  <c r="G119" i="4" s="1"/>
  <c r="E127" i="4"/>
  <c r="F127" i="4" s="1"/>
  <c r="G127" i="4" s="1"/>
  <c r="E135" i="4"/>
  <c r="F135" i="4" s="1"/>
  <c r="G135" i="4" s="1"/>
  <c r="E143" i="4"/>
  <c r="F143" i="4" s="1"/>
  <c r="G143" i="4" s="1"/>
  <c r="E151" i="4"/>
  <c r="F151" i="4" s="1"/>
  <c r="G151" i="4" s="1"/>
  <c r="E159" i="4"/>
  <c r="F159" i="4" s="1"/>
  <c r="G159" i="4" s="1"/>
  <c r="E167" i="4"/>
  <c r="F167" i="4" s="1"/>
  <c r="G167" i="4" s="1"/>
  <c r="E175" i="4"/>
  <c r="F175" i="4" s="1"/>
  <c r="G175" i="4" s="1"/>
  <c r="E183" i="4"/>
  <c r="F183" i="4" s="1"/>
  <c r="G183" i="4" s="1"/>
  <c r="E191" i="4"/>
  <c r="E199" i="4"/>
  <c r="F199" i="4" s="1"/>
  <c r="G199" i="4" s="1"/>
  <c r="E207" i="4"/>
  <c r="F207" i="4" s="1"/>
  <c r="G207" i="4" s="1"/>
  <c r="E215" i="4"/>
  <c r="F215" i="4" s="1"/>
  <c r="G215" i="4" s="1"/>
  <c r="E223" i="4"/>
  <c r="F223" i="4" s="1"/>
  <c r="G223" i="4" s="1"/>
  <c r="E231" i="4"/>
  <c r="F231" i="4" s="1"/>
  <c r="G231" i="4" s="1"/>
  <c r="E239" i="4"/>
  <c r="F239" i="4" s="1"/>
  <c r="G239" i="4" s="1"/>
  <c r="E247" i="4"/>
  <c r="F247" i="4" s="1"/>
  <c r="G247" i="4" s="1"/>
  <c r="E255" i="4"/>
  <c r="F255" i="4" s="1"/>
  <c r="G255" i="4" s="1"/>
  <c r="E263" i="4"/>
  <c r="E16" i="4"/>
  <c r="F16" i="4" s="1"/>
  <c r="G16" i="4" s="1"/>
  <c r="E24" i="4"/>
  <c r="F24" i="4" s="1"/>
  <c r="G24" i="4" s="1"/>
  <c r="E32" i="4"/>
  <c r="F32" i="4" s="1"/>
  <c r="G32" i="4" s="1"/>
  <c r="E40" i="4"/>
  <c r="F40" i="4" s="1"/>
  <c r="G40" i="4" s="1"/>
  <c r="E48" i="4"/>
  <c r="F48" i="4" s="1"/>
  <c r="G48" i="4" s="1"/>
  <c r="E56" i="4"/>
  <c r="F56" i="4" s="1"/>
  <c r="G56" i="4" s="1"/>
  <c r="E64" i="4"/>
  <c r="F64" i="4" s="1"/>
  <c r="G64" i="4" s="1"/>
  <c r="E72" i="4"/>
  <c r="F72" i="4" s="1"/>
  <c r="G72" i="4" s="1"/>
  <c r="E80" i="4"/>
  <c r="F80" i="4" s="1"/>
  <c r="G80" i="4" s="1"/>
  <c r="E88" i="4"/>
  <c r="F88" i="4" s="1"/>
  <c r="G88" i="4" s="1"/>
  <c r="E96" i="4"/>
  <c r="F96" i="4" s="1"/>
  <c r="G96" i="4" s="1"/>
  <c r="E104" i="4"/>
  <c r="F104" i="4" s="1"/>
  <c r="G104" i="4" s="1"/>
  <c r="E112" i="4"/>
  <c r="F112" i="4" s="1"/>
  <c r="G112" i="4" s="1"/>
  <c r="E120" i="4"/>
  <c r="F120" i="4" s="1"/>
  <c r="G120" i="4" s="1"/>
  <c r="E128" i="4"/>
  <c r="F128" i="4" s="1"/>
  <c r="G128" i="4" s="1"/>
  <c r="E136" i="4"/>
  <c r="F136" i="4" s="1"/>
  <c r="G136" i="4" s="1"/>
  <c r="E144" i="4"/>
  <c r="F144" i="4" s="1"/>
  <c r="G144" i="4" s="1"/>
  <c r="E152" i="4"/>
  <c r="F152" i="4" s="1"/>
  <c r="G152" i="4" s="1"/>
  <c r="E160" i="4"/>
  <c r="F160" i="4" s="1"/>
  <c r="G160" i="4" s="1"/>
  <c r="E168" i="4"/>
  <c r="F168" i="4" s="1"/>
  <c r="G168" i="4" s="1"/>
  <c r="E176" i="4"/>
  <c r="F176" i="4" s="1"/>
  <c r="G176" i="4" s="1"/>
  <c r="E184" i="4"/>
  <c r="F184" i="4" s="1"/>
  <c r="G184" i="4" s="1"/>
  <c r="E192" i="4"/>
  <c r="F192" i="4" s="1"/>
  <c r="G192" i="4" s="1"/>
  <c r="E200" i="4"/>
  <c r="F200" i="4" s="1"/>
  <c r="G200" i="4" s="1"/>
  <c r="E208" i="4"/>
  <c r="F208" i="4" s="1"/>
  <c r="G208" i="4" s="1"/>
  <c r="E216" i="4"/>
  <c r="F216" i="4" s="1"/>
  <c r="G216" i="4" s="1"/>
  <c r="E224" i="4"/>
  <c r="F224" i="4" s="1"/>
  <c r="G224" i="4" s="1"/>
  <c r="E232" i="4"/>
  <c r="F232" i="4" s="1"/>
  <c r="G232" i="4" s="1"/>
  <c r="E240" i="4"/>
  <c r="F240" i="4" s="1"/>
  <c r="G240" i="4" s="1"/>
  <c r="E248" i="4"/>
  <c r="F248" i="4" s="1"/>
  <c r="G248" i="4" s="1"/>
  <c r="E256" i="4"/>
  <c r="F256" i="4" s="1"/>
  <c r="G256" i="4" s="1"/>
  <c r="E17" i="4"/>
  <c r="E25" i="4"/>
  <c r="E33" i="4"/>
  <c r="E41" i="4"/>
  <c r="E49" i="4"/>
  <c r="E57" i="4"/>
  <c r="E65" i="4"/>
  <c r="E73" i="4"/>
  <c r="E81" i="4"/>
  <c r="E89" i="4"/>
  <c r="E97" i="4"/>
  <c r="E105" i="4"/>
  <c r="E113" i="4"/>
  <c r="E121" i="4"/>
  <c r="E129" i="4"/>
  <c r="E137" i="4"/>
  <c r="E145" i="4"/>
  <c r="E153" i="4"/>
  <c r="E161" i="4"/>
  <c r="E169" i="4"/>
  <c r="E177" i="4"/>
  <c r="E185" i="4"/>
  <c r="E193" i="4"/>
  <c r="E201" i="4"/>
  <c r="E209" i="4"/>
  <c r="E217" i="4"/>
  <c r="E225" i="4"/>
  <c r="E233" i="4"/>
  <c r="E241" i="4"/>
  <c r="E249" i="4"/>
  <c r="E257" i="4"/>
  <c r="E18" i="4"/>
  <c r="E26" i="4"/>
  <c r="E34" i="4"/>
  <c r="E42" i="4"/>
  <c r="E50" i="4"/>
  <c r="E58" i="4"/>
  <c r="E66" i="4"/>
  <c r="E74" i="4"/>
  <c r="E82" i="4"/>
  <c r="E90" i="4"/>
  <c r="E98" i="4"/>
  <c r="E106" i="4"/>
  <c r="E114" i="4"/>
  <c r="E122" i="4"/>
  <c r="E130" i="4"/>
  <c r="E138" i="4"/>
  <c r="E146" i="4"/>
  <c r="E154" i="4"/>
  <c r="E162" i="4"/>
  <c r="E170" i="4"/>
  <c r="E178" i="4"/>
  <c r="E186" i="4"/>
  <c r="E194" i="4"/>
  <c r="E202" i="4"/>
  <c r="E210" i="4"/>
  <c r="E218" i="4"/>
  <c r="E226" i="4"/>
  <c r="E234" i="4"/>
  <c r="E242" i="4"/>
  <c r="E250" i="4"/>
  <c r="E258" i="4"/>
  <c r="L264" i="4"/>
  <c r="F250" i="4" l="1"/>
  <c r="G250" i="4" s="1"/>
  <c r="F186" i="4"/>
  <c r="G186" i="4" s="1"/>
  <c r="F122" i="4"/>
  <c r="G122" i="4" s="1"/>
  <c r="F58" i="4"/>
  <c r="G58" i="4" s="1"/>
  <c r="F241" i="4"/>
  <c r="G241" i="4" s="1"/>
  <c r="F177" i="4"/>
  <c r="G177" i="4" s="1"/>
  <c r="F113" i="4"/>
  <c r="G113" i="4" s="1"/>
  <c r="M113" i="4" s="1"/>
  <c r="F49" i="4"/>
  <c r="G49" i="4" s="1"/>
  <c r="F230" i="4"/>
  <c r="G230" i="4" s="1"/>
  <c r="F166" i="4"/>
  <c r="G166" i="4" s="1"/>
  <c r="F102" i="4"/>
  <c r="G102" i="4" s="1"/>
  <c r="F38" i="4"/>
  <c r="G38" i="4" s="1"/>
  <c r="F221" i="4"/>
  <c r="G221" i="4" s="1"/>
  <c r="F157" i="4"/>
  <c r="G157" i="4" s="1"/>
  <c r="F93" i="4"/>
  <c r="G93" i="4" s="1"/>
  <c r="K93" i="4" s="1"/>
  <c r="F29" i="4"/>
  <c r="G29" i="4" s="1"/>
  <c r="F212" i="4"/>
  <c r="G212" i="4" s="1"/>
  <c r="F170" i="4"/>
  <c r="G170" i="4" s="1"/>
  <c r="F33" i="4"/>
  <c r="G33" i="4" s="1"/>
  <c r="F141" i="4"/>
  <c r="G141" i="4" s="1"/>
  <c r="F234" i="4"/>
  <c r="G234" i="4" s="1"/>
  <c r="F161" i="4"/>
  <c r="G161" i="4" s="1"/>
  <c r="M161" i="4" s="1"/>
  <c r="F86" i="4"/>
  <c r="G86" i="4" s="1"/>
  <c r="M86" i="4" s="1"/>
  <c r="F260" i="4"/>
  <c r="G260" i="4" s="1"/>
  <c r="K260" i="4" s="1"/>
  <c r="F42" i="4"/>
  <c r="G42" i="4" s="1"/>
  <c r="K42" i="4" s="1"/>
  <c r="F150" i="4"/>
  <c r="G150" i="4" s="1"/>
  <c r="F77" i="4"/>
  <c r="G77" i="4" s="1"/>
  <c r="F68" i="4"/>
  <c r="G68" i="4" s="1"/>
  <c r="F225" i="4"/>
  <c r="G225" i="4" s="1"/>
  <c r="M225" i="4" s="1"/>
  <c r="F22" i="4"/>
  <c r="G22" i="4" s="1"/>
  <c r="M22" i="4" s="1"/>
  <c r="F196" i="4"/>
  <c r="G196" i="4" s="1"/>
  <c r="M196" i="4" s="1"/>
  <c r="F106" i="4"/>
  <c r="G106" i="4" s="1"/>
  <c r="F97" i="4"/>
  <c r="G97" i="4" s="1"/>
  <c r="K97" i="4" s="1"/>
  <c r="F214" i="4"/>
  <c r="G214" i="4" s="1"/>
  <c r="M214" i="4" s="1"/>
  <c r="F205" i="4"/>
  <c r="G205" i="4" s="1"/>
  <c r="F132" i="4"/>
  <c r="G132" i="4" s="1"/>
  <c r="F148" i="4"/>
  <c r="G148" i="4" s="1"/>
  <c r="F84" i="4"/>
  <c r="G84" i="4" s="1"/>
  <c r="K84" i="4" s="1"/>
  <c r="F20" i="4"/>
  <c r="G20" i="4" s="1"/>
  <c r="K20" i="4" s="1"/>
  <c r="F79" i="4"/>
  <c r="G79" i="4" s="1"/>
  <c r="K79" i="4" s="1"/>
  <c r="F210" i="4"/>
  <c r="G210" i="4" s="1"/>
  <c r="K210" i="4" s="1"/>
  <c r="F82" i="4"/>
  <c r="G82" i="4" s="1"/>
  <c r="K82" i="4" s="1"/>
  <c r="F201" i="4"/>
  <c r="G201" i="4" s="1"/>
  <c r="F137" i="4"/>
  <c r="G137" i="4" s="1"/>
  <c r="F254" i="4"/>
  <c r="G254" i="4" s="1"/>
  <c r="K254" i="4" s="1"/>
  <c r="F190" i="4"/>
  <c r="G190" i="4" s="1"/>
  <c r="K190" i="4" s="1"/>
  <c r="F126" i="4"/>
  <c r="G126" i="4" s="1"/>
  <c r="K126" i="4" s="1"/>
  <c r="F62" i="4"/>
  <c r="G62" i="4" s="1"/>
  <c r="M62" i="4" s="1"/>
  <c r="F245" i="4"/>
  <c r="G245" i="4" s="1"/>
  <c r="K245" i="4" s="1"/>
  <c r="F181" i="4"/>
  <c r="G181" i="4" s="1"/>
  <c r="F117" i="4"/>
  <c r="G117" i="4" s="1"/>
  <c r="F53" i="4"/>
  <c r="G53" i="4" s="1"/>
  <c r="F236" i="4"/>
  <c r="G236" i="4" s="1"/>
  <c r="K236" i="4" s="1"/>
  <c r="F172" i="4"/>
  <c r="G172" i="4" s="1"/>
  <c r="M172" i="4" s="1"/>
  <c r="F108" i="4"/>
  <c r="G108" i="4" s="1"/>
  <c r="K108" i="4" s="1"/>
  <c r="F44" i="4"/>
  <c r="G44" i="4" s="1"/>
  <c r="M44" i="4" s="1"/>
  <c r="F146" i="4"/>
  <c r="G146" i="4" s="1"/>
  <c r="K146" i="4" s="1"/>
  <c r="F18" i="4"/>
  <c r="G18" i="4" s="1"/>
  <c r="M18" i="4" s="1"/>
  <c r="F73" i="4"/>
  <c r="G73" i="4" s="1"/>
  <c r="F242" i="4"/>
  <c r="G242" i="4" s="1"/>
  <c r="F178" i="4"/>
  <c r="G178" i="4" s="1"/>
  <c r="K178" i="4" s="1"/>
  <c r="F114" i="4"/>
  <c r="G114" i="4" s="1"/>
  <c r="M114" i="4" s="1"/>
  <c r="F50" i="4"/>
  <c r="G50" i="4" s="1"/>
  <c r="M50" i="4" s="1"/>
  <c r="F233" i="4"/>
  <c r="G233" i="4" s="1"/>
  <c r="M233" i="4" s="1"/>
  <c r="F169" i="4"/>
  <c r="G169" i="4" s="1"/>
  <c r="K169" i="4" s="1"/>
  <c r="F105" i="4"/>
  <c r="G105" i="4" s="1"/>
  <c r="F41" i="4"/>
  <c r="G41" i="4" s="1"/>
  <c r="F222" i="4"/>
  <c r="G222" i="4" s="1"/>
  <c r="F158" i="4"/>
  <c r="G158" i="4" s="1"/>
  <c r="F94" i="4"/>
  <c r="G94" i="4" s="1"/>
  <c r="K94" i="4" s="1"/>
  <c r="F30" i="4"/>
  <c r="G30" i="4" s="1"/>
  <c r="M30" i="4" s="1"/>
  <c r="F213" i="4"/>
  <c r="G213" i="4" s="1"/>
  <c r="K213" i="4" s="1"/>
  <c r="F149" i="4"/>
  <c r="G149" i="4" s="1"/>
  <c r="M149" i="4" s="1"/>
  <c r="F85" i="4"/>
  <c r="G85" i="4" s="1"/>
  <c r="M85" i="4" s="1"/>
  <c r="F21" i="4"/>
  <c r="G21" i="4" s="1"/>
  <c r="F204" i="4"/>
  <c r="G204" i="4" s="1"/>
  <c r="F140" i="4"/>
  <c r="G140" i="4" s="1"/>
  <c r="K140" i="4" s="1"/>
  <c r="F76" i="4"/>
  <c r="G76" i="4" s="1"/>
  <c r="M76" i="4" s="1"/>
  <c r="F218" i="4"/>
  <c r="G218" i="4" s="1"/>
  <c r="M218" i="4" s="1"/>
  <c r="F154" i="4"/>
  <c r="G154" i="4" s="1"/>
  <c r="K154" i="4" s="1"/>
  <c r="F90" i="4"/>
  <c r="G90" i="4" s="1"/>
  <c r="M90" i="4" s="1"/>
  <c r="F26" i="4"/>
  <c r="G26" i="4" s="1"/>
  <c r="K26" i="4" s="1"/>
  <c r="F209" i="4"/>
  <c r="G209" i="4" s="1"/>
  <c r="M209" i="4" s="1"/>
  <c r="F145" i="4"/>
  <c r="G145" i="4" s="1"/>
  <c r="K145" i="4" s="1"/>
  <c r="F81" i="4"/>
  <c r="G81" i="4" s="1"/>
  <c r="K81" i="4" s="1"/>
  <c r="F17" i="4"/>
  <c r="G17" i="4" s="1"/>
  <c r="M17" i="4" s="1"/>
  <c r="F262" i="4"/>
  <c r="G262" i="4" s="1"/>
  <c r="M262" i="4" s="1"/>
  <c r="F198" i="4"/>
  <c r="G198" i="4" s="1"/>
  <c r="K198" i="4" s="1"/>
  <c r="F134" i="4"/>
  <c r="G134" i="4" s="1"/>
  <c r="K134" i="4" s="1"/>
  <c r="F70" i="4"/>
  <c r="G70" i="4" s="1"/>
  <c r="K70" i="4" s="1"/>
  <c r="F253" i="4"/>
  <c r="G253" i="4" s="1"/>
  <c r="K253" i="4" s="1"/>
  <c r="F189" i="4"/>
  <c r="G189" i="4" s="1"/>
  <c r="K189" i="4" s="1"/>
  <c r="F125" i="4"/>
  <c r="G125" i="4" s="1"/>
  <c r="M125" i="4" s="1"/>
  <c r="F61" i="4"/>
  <c r="G61" i="4" s="1"/>
  <c r="K61" i="4" s="1"/>
  <c r="F244" i="4"/>
  <c r="G244" i="4" s="1"/>
  <c r="K244" i="4" s="1"/>
  <c r="F180" i="4"/>
  <c r="G180" i="4" s="1"/>
  <c r="M180" i="4" s="1"/>
  <c r="F116" i="4"/>
  <c r="G116" i="4" s="1"/>
  <c r="K116" i="4" s="1"/>
  <c r="F52" i="4"/>
  <c r="G52" i="4" s="1"/>
  <c r="M52" i="4" s="1"/>
  <c r="F191" i="4"/>
  <c r="G191" i="4" s="1"/>
  <c r="M191" i="4" s="1"/>
  <c r="F74" i="4"/>
  <c r="G74" i="4" s="1"/>
  <c r="K74" i="4" s="1"/>
  <c r="F129" i="4"/>
  <c r="G129" i="4" s="1"/>
  <c r="K129" i="4" s="1"/>
  <c r="F65" i="4"/>
  <c r="G65" i="4" s="1"/>
  <c r="K65" i="4" s="1"/>
  <c r="F246" i="4"/>
  <c r="G246" i="4" s="1"/>
  <c r="M246" i="4" s="1"/>
  <c r="F237" i="4"/>
  <c r="G237" i="4" s="1"/>
  <c r="K237" i="4" s="1"/>
  <c r="F109" i="4"/>
  <c r="G109" i="4" s="1"/>
  <c r="M109" i="4" s="1"/>
  <c r="F45" i="4"/>
  <c r="G45" i="4" s="1"/>
  <c r="K45" i="4" s="1"/>
  <c r="F164" i="4"/>
  <c r="G164" i="4" s="1"/>
  <c r="F36" i="4"/>
  <c r="G36" i="4" s="1"/>
  <c r="K36" i="4" s="1"/>
  <c r="F258" i="4"/>
  <c r="G258" i="4" s="1"/>
  <c r="K258" i="4" s="1"/>
  <c r="F194" i="4"/>
  <c r="G194" i="4" s="1"/>
  <c r="K194" i="4" s="1"/>
  <c r="F130" i="4"/>
  <c r="G130" i="4" s="1"/>
  <c r="M130" i="4" s="1"/>
  <c r="F66" i="4"/>
  <c r="G66" i="4" s="1"/>
  <c r="M66" i="4" s="1"/>
  <c r="F249" i="4"/>
  <c r="G249" i="4" s="1"/>
  <c r="K249" i="4" s="1"/>
  <c r="F185" i="4"/>
  <c r="G185" i="4" s="1"/>
  <c r="M185" i="4" s="1"/>
  <c r="F121" i="4"/>
  <c r="G121" i="4" s="1"/>
  <c r="K121" i="4" s="1"/>
  <c r="F57" i="4"/>
  <c r="G57" i="4" s="1"/>
  <c r="K57" i="4" s="1"/>
  <c r="F238" i="4"/>
  <c r="G238" i="4" s="1"/>
  <c r="K238" i="4" s="1"/>
  <c r="F174" i="4"/>
  <c r="G174" i="4" s="1"/>
  <c r="K174" i="4" s="1"/>
  <c r="F110" i="4"/>
  <c r="G110" i="4" s="1"/>
  <c r="M110" i="4" s="1"/>
  <c r="F46" i="4"/>
  <c r="G46" i="4" s="1"/>
  <c r="M46" i="4" s="1"/>
  <c r="F229" i="4"/>
  <c r="G229" i="4" s="1"/>
  <c r="M229" i="4" s="1"/>
  <c r="F165" i="4"/>
  <c r="G165" i="4" s="1"/>
  <c r="K165" i="4" s="1"/>
  <c r="F101" i="4"/>
  <c r="G101" i="4" s="1"/>
  <c r="F37" i="4"/>
  <c r="G37" i="4" s="1"/>
  <c r="K37" i="4" s="1"/>
  <c r="F220" i="4"/>
  <c r="G220" i="4" s="1"/>
  <c r="M220" i="4" s="1"/>
  <c r="F156" i="4"/>
  <c r="G156" i="4" s="1"/>
  <c r="K156" i="4" s="1"/>
  <c r="F92" i="4"/>
  <c r="G92" i="4" s="1"/>
  <c r="M92" i="4" s="1"/>
  <c r="F28" i="4"/>
  <c r="G28" i="4" s="1"/>
  <c r="M28" i="4" s="1"/>
  <c r="F202" i="4"/>
  <c r="G202" i="4" s="1"/>
  <c r="K202" i="4" s="1"/>
  <c r="F257" i="4"/>
  <c r="G257" i="4" s="1"/>
  <c r="K257" i="4" s="1"/>
  <c r="F182" i="4"/>
  <c r="G182" i="4" s="1"/>
  <c r="M182" i="4" s="1"/>
  <c r="F54" i="4"/>
  <c r="G54" i="4" s="1"/>
  <c r="K54" i="4" s="1"/>
  <c r="F173" i="4"/>
  <c r="G173" i="4" s="1"/>
  <c r="M173" i="4" s="1"/>
  <c r="F100" i="4"/>
  <c r="G100" i="4" s="1"/>
  <c r="K100" i="4" s="1"/>
  <c r="F138" i="4"/>
  <c r="G138" i="4" s="1"/>
  <c r="K138" i="4" s="1"/>
  <c r="F193" i="4"/>
  <c r="G193" i="4" s="1"/>
  <c r="M193" i="4" s="1"/>
  <c r="F118" i="4"/>
  <c r="G118" i="4" s="1"/>
  <c r="M118" i="4" s="1"/>
  <c r="F228" i="4"/>
  <c r="G228" i="4" s="1"/>
  <c r="K228" i="4" s="1"/>
  <c r="M24" i="4"/>
  <c r="K24" i="4"/>
  <c r="K214" i="4"/>
  <c r="K205" i="4"/>
  <c r="M205" i="4"/>
  <c r="K132" i="4"/>
  <c r="M132" i="4"/>
  <c r="M68" i="4"/>
  <c r="K68" i="4"/>
  <c r="F251" i="4"/>
  <c r="G251" i="4" s="1"/>
  <c r="F187" i="4"/>
  <c r="G187" i="4" s="1"/>
  <c r="F123" i="4"/>
  <c r="G123" i="4" s="1"/>
  <c r="F59" i="4"/>
  <c r="G59" i="4" s="1"/>
  <c r="F226" i="4"/>
  <c r="G226" i="4" s="1"/>
  <c r="F162" i="4"/>
  <c r="G162" i="4" s="1"/>
  <c r="F98" i="4"/>
  <c r="G98" i="4" s="1"/>
  <c r="F34" i="4"/>
  <c r="G34" i="4" s="1"/>
  <c r="F217" i="4"/>
  <c r="G217" i="4" s="1"/>
  <c r="F153" i="4"/>
  <c r="G153" i="4" s="1"/>
  <c r="F89" i="4"/>
  <c r="G89" i="4" s="1"/>
  <c r="F25" i="4"/>
  <c r="G25" i="4" s="1"/>
  <c r="K208" i="4"/>
  <c r="M208" i="4"/>
  <c r="K144" i="4"/>
  <c r="M144" i="4"/>
  <c r="K80" i="4"/>
  <c r="M80" i="4"/>
  <c r="K16" i="4"/>
  <c r="M16" i="4"/>
  <c r="M207" i="4"/>
  <c r="K207" i="4"/>
  <c r="K143" i="4"/>
  <c r="M143" i="4"/>
  <c r="K15" i="4"/>
  <c r="M15" i="4"/>
  <c r="F206" i="4"/>
  <c r="G206" i="4" s="1"/>
  <c r="F142" i="4"/>
  <c r="G142" i="4" s="1"/>
  <c r="F78" i="4"/>
  <c r="G78" i="4" s="1"/>
  <c r="F261" i="4"/>
  <c r="G261" i="4" s="1"/>
  <c r="F197" i="4"/>
  <c r="G197" i="4" s="1"/>
  <c r="F133" i="4"/>
  <c r="G133" i="4" s="1"/>
  <c r="F69" i="4"/>
  <c r="G69" i="4" s="1"/>
  <c r="F252" i="4"/>
  <c r="G252" i="4" s="1"/>
  <c r="F188" i="4"/>
  <c r="G188" i="4" s="1"/>
  <c r="F124" i="4"/>
  <c r="G124" i="4" s="1"/>
  <c r="F60" i="4"/>
  <c r="G60" i="4" s="1"/>
  <c r="F243" i="4"/>
  <c r="G243" i="4" s="1"/>
  <c r="F179" i="4"/>
  <c r="G179" i="4" s="1"/>
  <c r="F115" i="4"/>
  <c r="G115" i="4" s="1"/>
  <c r="F51" i="4"/>
  <c r="G51" i="4" s="1"/>
  <c r="K152" i="4"/>
  <c r="M152" i="4"/>
  <c r="K23" i="4"/>
  <c r="M23" i="4"/>
  <c r="K77" i="4"/>
  <c r="M77" i="4"/>
  <c r="M26" i="4"/>
  <c r="K209" i="4"/>
  <c r="M145" i="4"/>
  <c r="M200" i="4"/>
  <c r="K200" i="4"/>
  <c r="K136" i="4"/>
  <c r="M136" i="4"/>
  <c r="K72" i="4"/>
  <c r="M72" i="4"/>
  <c r="AM28" i="4"/>
  <c r="AM16" i="4"/>
  <c r="AB16" i="4"/>
  <c r="T25" i="4"/>
  <c r="T19" i="4"/>
  <c r="AM25" i="4"/>
  <c r="T28" i="4"/>
  <c r="AM24" i="4"/>
  <c r="AB28" i="4"/>
  <c r="T16" i="4"/>
  <c r="AM19" i="4"/>
  <c r="T26" i="4"/>
  <c r="AB26" i="4"/>
  <c r="AB19" i="4"/>
  <c r="AM26" i="4"/>
  <c r="AB25" i="4"/>
  <c r="AB24" i="4"/>
  <c r="F263" i="4"/>
  <c r="G263" i="4" s="1"/>
  <c r="T24" i="4"/>
  <c r="K199" i="4"/>
  <c r="M199" i="4"/>
  <c r="K135" i="4"/>
  <c r="M135" i="4"/>
  <c r="K71" i="4"/>
  <c r="M71" i="4"/>
  <c r="M253" i="4"/>
  <c r="M189" i="4"/>
  <c r="K125" i="4"/>
  <c r="K52" i="4"/>
  <c r="F235" i="4"/>
  <c r="G235" i="4" s="1"/>
  <c r="F171" i="4"/>
  <c r="G171" i="4" s="1"/>
  <c r="F107" i="4"/>
  <c r="G107" i="4" s="1"/>
  <c r="F43" i="4"/>
  <c r="G43" i="4" s="1"/>
  <c r="K215" i="4"/>
  <c r="M215" i="4"/>
  <c r="K18" i="4"/>
  <c r="M201" i="4"/>
  <c r="K201" i="4"/>
  <c r="K137" i="4"/>
  <c r="M137" i="4"/>
  <c r="K73" i="4"/>
  <c r="M73" i="4"/>
  <c r="K256" i="4"/>
  <c r="M256" i="4"/>
  <c r="M192" i="4"/>
  <c r="K192" i="4"/>
  <c r="K128" i="4"/>
  <c r="M128" i="4"/>
  <c r="M64" i="4"/>
  <c r="K64" i="4"/>
  <c r="K255" i="4"/>
  <c r="M255" i="4"/>
  <c r="K127" i="4"/>
  <c r="M127" i="4"/>
  <c r="M63" i="4"/>
  <c r="K63" i="4"/>
  <c r="K181" i="4"/>
  <c r="M181" i="4"/>
  <c r="K117" i="4"/>
  <c r="M117" i="4"/>
  <c r="K53" i="4"/>
  <c r="M53" i="4"/>
  <c r="F227" i="4"/>
  <c r="G227" i="4" s="1"/>
  <c r="F163" i="4"/>
  <c r="G163" i="4" s="1"/>
  <c r="F99" i="4"/>
  <c r="G99" i="4" s="1"/>
  <c r="F35" i="4"/>
  <c r="G35" i="4" s="1"/>
  <c r="K106" i="4"/>
  <c r="M106" i="4"/>
  <c r="M216" i="4"/>
  <c r="K216" i="4"/>
  <c r="K87" i="4"/>
  <c r="M87" i="4"/>
  <c r="M141" i="4"/>
  <c r="K141" i="4"/>
  <c r="M74" i="4"/>
  <c r="M257" i="4"/>
  <c r="M129" i="4"/>
  <c r="K248" i="4"/>
  <c r="M248" i="4"/>
  <c r="K184" i="4"/>
  <c r="M184" i="4"/>
  <c r="K120" i="4"/>
  <c r="M120" i="4"/>
  <c r="K56" i="4"/>
  <c r="M56" i="4"/>
  <c r="K247" i="4"/>
  <c r="M247" i="4"/>
  <c r="M183" i="4"/>
  <c r="K183" i="4"/>
  <c r="K119" i="4"/>
  <c r="M119" i="4"/>
  <c r="K55" i="4"/>
  <c r="M55" i="4"/>
  <c r="K182" i="4"/>
  <c r="M54" i="4"/>
  <c r="M45" i="4"/>
  <c r="M228" i="4"/>
  <c r="K164" i="4"/>
  <c r="M164" i="4"/>
  <c r="M36" i="4"/>
  <c r="F219" i="4"/>
  <c r="G219" i="4" s="1"/>
  <c r="F155" i="4"/>
  <c r="G155" i="4" s="1"/>
  <c r="F91" i="4"/>
  <c r="G91" i="4" s="1"/>
  <c r="F27" i="4"/>
  <c r="G27" i="4" s="1"/>
  <c r="K170" i="4"/>
  <c r="M170" i="4"/>
  <c r="K185" i="4"/>
  <c r="M121" i="4"/>
  <c r="M57" i="4"/>
  <c r="K240" i="4"/>
  <c r="M240" i="4"/>
  <c r="M176" i="4"/>
  <c r="K176" i="4"/>
  <c r="M112" i="4"/>
  <c r="K112" i="4"/>
  <c r="M48" i="4"/>
  <c r="K48" i="4"/>
  <c r="K239" i="4"/>
  <c r="M239" i="4"/>
  <c r="K175" i="4"/>
  <c r="M175" i="4"/>
  <c r="K111" i="4"/>
  <c r="M111" i="4"/>
  <c r="K47" i="4"/>
  <c r="M47" i="4"/>
  <c r="K110" i="4"/>
  <c r="K101" i="4"/>
  <c r="M101" i="4"/>
  <c r="M37" i="4"/>
  <c r="F211" i="4"/>
  <c r="G211" i="4" s="1"/>
  <c r="F147" i="4"/>
  <c r="G147" i="4" s="1"/>
  <c r="F83" i="4"/>
  <c r="G83" i="4" s="1"/>
  <c r="F19" i="4"/>
  <c r="G19" i="4" s="1"/>
  <c r="K225" i="4"/>
  <c r="K88" i="4"/>
  <c r="M88" i="4"/>
  <c r="K150" i="4"/>
  <c r="M150" i="4"/>
  <c r="K250" i="4"/>
  <c r="M250" i="4"/>
  <c r="M186" i="4"/>
  <c r="K186" i="4"/>
  <c r="K122" i="4"/>
  <c r="M122" i="4"/>
  <c r="M58" i="4"/>
  <c r="K58" i="4"/>
  <c r="K241" i="4"/>
  <c r="M241" i="4"/>
  <c r="K177" i="4"/>
  <c r="M177" i="4"/>
  <c r="K49" i="4"/>
  <c r="M49" i="4"/>
  <c r="K232" i="4"/>
  <c r="M232" i="4"/>
  <c r="M168" i="4"/>
  <c r="K168" i="4"/>
  <c r="K104" i="4"/>
  <c r="M104" i="4"/>
  <c r="M40" i="4"/>
  <c r="K40" i="4"/>
  <c r="K231" i="4"/>
  <c r="M231" i="4"/>
  <c r="K167" i="4"/>
  <c r="M167" i="4"/>
  <c r="K103" i="4"/>
  <c r="M103" i="4"/>
  <c r="M39" i="4"/>
  <c r="K39" i="4"/>
  <c r="K230" i="4"/>
  <c r="M230" i="4"/>
  <c r="K166" i="4"/>
  <c r="M166" i="4"/>
  <c r="M102" i="4"/>
  <c r="K102" i="4"/>
  <c r="K38" i="4"/>
  <c r="M38" i="4"/>
  <c r="K221" i="4"/>
  <c r="M221" i="4"/>
  <c r="K157" i="4"/>
  <c r="M157" i="4"/>
  <c r="K29" i="4"/>
  <c r="M29" i="4"/>
  <c r="M212" i="4"/>
  <c r="K212" i="4"/>
  <c r="M148" i="4"/>
  <c r="K148" i="4"/>
  <c r="F203" i="4"/>
  <c r="G203" i="4" s="1"/>
  <c r="F139" i="4"/>
  <c r="G139" i="4" s="1"/>
  <c r="F75" i="4"/>
  <c r="G75" i="4" s="1"/>
  <c r="K234" i="4"/>
  <c r="M234" i="4"/>
  <c r="K33" i="4"/>
  <c r="M33" i="4"/>
  <c r="K151" i="4"/>
  <c r="M151" i="4"/>
  <c r="K86" i="4"/>
  <c r="K242" i="4"/>
  <c r="M242" i="4"/>
  <c r="M178" i="4"/>
  <c r="M169" i="4"/>
  <c r="K105" i="4"/>
  <c r="M105" i="4"/>
  <c r="K41" i="4"/>
  <c r="M41" i="4"/>
  <c r="K224" i="4"/>
  <c r="M224" i="4"/>
  <c r="K160" i="4"/>
  <c r="M160" i="4"/>
  <c r="M96" i="4"/>
  <c r="K96" i="4"/>
  <c r="K32" i="4"/>
  <c r="M32" i="4"/>
  <c r="M223" i="4"/>
  <c r="K223" i="4"/>
  <c r="M159" i="4"/>
  <c r="K159" i="4"/>
  <c r="K95" i="4"/>
  <c r="M95" i="4"/>
  <c r="M31" i="4"/>
  <c r="K31" i="4"/>
  <c r="K222" i="4"/>
  <c r="M222" i="4"/>
  <c r="M158" i="4"/>
  <c r="K158" i="4"/>
  <c r="K85" i="4"/>
  <c r="K21" i="4"/>
  <c r="M21" i="4"/>
  <c r="M204" i="4"/>
  <c r="K204" i="4"/>
  <c r="F259" i="4"/>
  <c r="G259" i="4" s="1"/>
  <c r="F195" i="4"/>
  <c r="G195" i="4" s="1"/>
  <c r="F131" i="4"/>
  <c r="G131" i="4" s="1"/>
  <c r="F67" i="4"/>
  <c r="G67" i="4" s="1"/>
  <c r="M14" i="4"/>
  <c r="K14" i="4"/>
  <c r="K262" i="4" l="1"/>
  <c r="K30" i="4"/>
  <c r="M165" i="4"/>
  <c r="K246" i="4"/>
  <c r="M244" i="4"/>
  <c r="K50" i="4"/>
  <c r="M93" i="4"/>
  <c r="K113" i="4"/>
  <c r="M108" i="4"/>
  <c r="M126" i="4"/>
  <c r="M82" i="4"/>
  <c r="M70" i="4"/>
  <c r="M20" i="4"/>
  <c r="K92" i="4"/>
  <c r="K218" i="4"/>
  <c r="K196" i="4"/>
  <c r="M138" i="4"/>
  <c r="K130" i="4"/>
  <c r="M146" i="4"/>
  <c r="M97" i="4"/>
  <c r="M198" i="4"/>
  <c r="M134" i="4"/>
  <c r="K149" i="4"/>
  <c r="K114" i="4"/>
  <c r="M260" i="4"/>
  <c r="K109" i="4"/>
  <c r="M210" i="4"/>
  <c r="M249" i="4"/>
  <c r="K161" i="4"/>
  <c r="M84" i="4"/>
  <c r="K229" i="4"/>
  <c r="K44" i="4"/>
  <c r="K22" i="4"/>
  <c r="M42" i="4"/>
  <c r="K76" i="4"/>
  <c r="K118" i="4"/>
  <c r="K62" i="4"/>
  <c r="M174" i="4"/>
  <c r="M194" i="4"/>
  <c r="M190" i="4"/>
  <c r="M94" i="4"/>
  <c r="K46" i="4"/>
  <c r="K172" i="4"/>
  <c r="K191" i="4"/>
  <c r="M61" i="4"/>
  <c r="M79" i="4"/>
  <c r="M156" i="4"/>
  <c r="K17" i="4"/>
  <c r="M140" i="4"/>
  <c r="K220" i="4"/>
  <c r="M258" i="4"/>
  <c r="M237" i="4"/>
  <c r="M213" i="4"/>
  <c r="M116" i="4"/>
  <c r="M81" i="4"/>
  <c r="M154" i="4"/>
  <c r="K233" i="4"/>
  <c r="K28" i="4"/>
  <c r="M238" i="4"/>
  <c r="K66" i="4"/>
  <c r="K193" i="4"/>
  <c r="M236" i="4"/>
  <c r="M245" i="4"/>
  <c r="M254" i="4"/>
  <c r="K90" i="4"/>
  <c r="K180" i="4"/>
  <c r="M65" i="4"/>
  <c r="M100" i="4"/>
  <c r="M202" i="4"/>
  <c r="E274" i="4"/>
  <c r="E275" i="4" s="1"/>
  <c r="E276" i="4" s="1"/>
  <c r="G264" i="4"/>
  <c r="K173" i="4"/>
  <c r="M259" i="4"/>
  <c r="K259" i="4"/>
  <c r="M251" i="4"/>
  <c r="K251" i="4"/>
  <c r="K131" i="4"/>
  <c r="M131" i="4"/>
  <c r="K211" i="4"/>
  <c r="M211" i="4"/>
  <c r="K227" i="4"/>
  <c r="M227" i="4"/>
  <c r="M69" i="4"/>
  <c r="K69" i="4"/>
  <c r="M123" i="4"/>
  <c r="K123" i="4"/>
  <c r="K195" i="4"/>
  <c r="M195" i="4"/>
  <c r="E279" i="4"/>
  <c r="M43" i="4"/>
  <c r="K43" i="4"/>
  <c r="K115" i="4"/>
  <c r="M115" i="4"/>
  <c r="K133" i="4"/>
  <c r="M133" i="4"/>
  <c r="M153" i="4"/>
  <c r="K153" i="4"/>
  <c r="K187" i="4"/>
  <c r="M187" i="4"/>
  <c r="K107" i="4"/>
  <c r="M107" i="4"/>
  <c r="K197" i="4"/>
  <c r="M197" i="4"/>
  <c r="K27" i="4"/>
  <c r="M27" i="4"/>
  <c r="M261" i="4"/>
  <c r="K261" i="4"/>
  <c r="M91" i="4"/>
  <c r="K91" i="4"/>
  <c r="K78" i="4"/>
  <c r="M78" i="4"/>
  <c r="K139" i="4"/>
  <c r="M139" i="4"/>
  <c r="K171" i="4"/>
  <c r="M171" i="4"/>
  <c r="K243" i="4"/>
  <c r="M243" i="4"/>
  <c r="K34" i="4"/>
  <c r="M34" i="4"/>
  <c r="K203" i="4"/>
  <c r="M203" i="4"/>
  <c r="K235" i="4"/>
  <c r="M235" i="4"/>
  <c r="M263" i="4"/>
  <c r="K263" i="4"/>
  <c r="K60" i="4"/>
  <c r="M60" i="4"/>
  <c r="M19" i="4"/>
  <c r="K19" i="4"/>
  <c r="M155" i="4"/>
  <c r="K155" i="4"/>
  <c r="M35" i="4"/>
  <c r="K35" i="4"/>
  <c r="M124" i="4"/>
  <c r="K124" i="4"/>
  <c r="K142" i="4"/>
  <c r="M142" i="4"/>
  <c r="M162" i="4"/>
  <c r="K162" i="4"/>
  <c r="K83" i="4"/>
  <c r="M83" i="4"/>
  <c r="M219" i="4"/>
  <c r="K219" i="4"/>
  <c r="K99" i="4"/>
  <c r="M99" i="4"/>
  <c r="K188" i="4"/>
  <c r="M188" i="4"/>
  <c r="K206" i="4"/>
  <c r="M206" i="4"/>
  <c r="K226" i="4"/>
  <c r="M226" i="4"/>
  <c r="K179" i="4"/>
  <c r="M179" i="4"/>
  <c r="K217" i="4"/>
  <c r="M217" i="4"/>
  <c r="K98" i="4"/>
  <c r="M98" i="4"/>
  <c r="M67" i="4"/>
  <c r="K67" i="4"/>
  <c r="K147" i="4"/>
  <c r="M147" i="4"/>
  <c r="M163" i="4"/>
  <c r="K163" i="4"/>
  <c r="K252" i="4"/>
  <c r="M252" i="4"/>
  <c r="M25" i="4"/>
  <c r="K25" i="4"/>
  <c r="M59" i="4"/>
  <c r="K59" i="4"/>
  <c r="K75" i="4"/>
  <c r="M75" i="4"/>
  <c r="M51" i="4"/>
  <c r="K51" i="4"/>
  <c r="K89" i="4"/>
  <c r="M89" i="4"/>
  <c r="C5" i="3"/>
  <c r="C29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2" i="3"/>
  <c r="C2" i="3" s="1"/>
  <c r="K264" i="4" l="1"/>
  <c r="M264" i="4"/>
  <c r="E269" i="4" s="1"/>
  <c r="E270" i="4" s="1"/>
  <c r="E271" i="4" s="1"/>
  <c r="C40" i="3"/>
  <c r="C20" i="3"/>
  <c r="C94" i="3"/>
  <c r="C84" i="3"/>
  <c r="C72" i="3"/>
  <c r="C61" i="3"/>
  <c r="C99" i="3"/>
  <c r="C91" i="3"/>
  <c r="C83" i="3"/>
  <c r="C75" i="3"/>
  <c r="C67" i="3"/>
  <c r="C59" i="3"/>
  <c r="C51" i="3"/>
  <c r="C43" i="3"/>
  <c r="C35" i="3"/>
  <c r="C27" i="3"/>
  <c r="C19" i="3"/>
  <c r="C11" i="3"/>
  <c r="C3" i="3"/>
  <c r="C96" i="3"/>
  <c r="C85" i="3"/>
  <c r="C73" i="3"/>
  <c r="C62" i="3"/>
  <c r="C52" i="3"/>
  <c r="C41" i="3"/>
  <c r="C30" i="3"/>
  <c r="C8" i="3"/>
  <c r="C93" i="3"/>
  <c r="C82" i="3"/>
  <c r="C70" i="3"/>
  <c r="C60" i="3"/>
  <c r="C49" i="3"/>
  <c r="C38" i="3"/>
  <c r="C28" i="3"/>
  <c r="C17" i="3"/>
  <c r="C80" i="3"/>
  <c r="C102" i="3"/>
  <c r="C92" i="3"/>
  <c r="C81" i="3"/>
  <c r="C69" i="3"/>
  <c r="C58" i="3"/>
  <c r="C48" i="3"/>
  <c r="C37" i="3"/>
  <c r="C26" i="3"/>
  <c r="C16" i="3"/>
  <c r="C10" i="3"/>
  <c r="C95" i="3"/>
  <c r="C87" i="3"/>
  <c r="C79" i="3"/>
  <c r="C71" i="3"/>
  <c r="C63" i="3"/>
  <c r="C55" i="3"/>
  <c r="C47" i="3"/>
  <c r="C39" i="3"/>
  <c r="C31" i="3"/>
  <c r="C23" i="3"/>
  <c r="C15" i="3"/>
  <c r="C7" i="3"/>
  <c r="C101" i="3"/>
  <c r="C90" i="3"/>
  <c r="C78" i="3"/>
  <c r="C68" i="3"/>
  <c r="C57" i="3"/>
  <c r="C46" i="3"/>
  <c r="C36" i="3"/>
  <c r="C25" i="3"/>
  <c r="C14" i="3"/>
  <c r="C6" i="3"/>
  <c r="C100" i="3"/>
  <c r="C89" i="3"/>
  <c r="C77" i="3"/>
  <c r="C66" i="3"/>
  <c r="C56" i="3"/>
  <c r="C45" i="3"/>
  <c r="C34" i="3"/>
  <c r="C24" i="3"/>
  <c r="C13" i="3"/>
  <c r="C50" i="3"/>
  <c r="C98" i="3"/>
  <c r="C88" i="3"/>
  <c r="C76" i="3"/>
  <c r="C65" i="3"/>
  <c r="C54" i="3"/>
  <c r="C44" i="3"/>
  <c r="C33" i="3"/>
  <c r="C22" i="3"/>
  <c r="C12" i="3"/>
  <c r="C18" i="3"/>
  <c r="C4" i="3"/>
  <c r="C97" i="3"/>
  <c r="C86" i="3"/>
  <c r="C74" i="3"/>
  <c r="C64" i="3"/>
  <c r="C53" i="3"/>
  <c r="C42" i="3"/>
  <c r="C32" i="3"/>
  <c r="C21" i="3"/>
  <c r="C9" i="3"/>
  <c r="AK19" i="2"/>
  <c r="AJ19" i="2"/>
  <c r="AK17" i="2"/>
  <c r="AJ17" i="2"/>
  <c r="AK16" i="2"/>
  <c r="AK15" i="2"/>
  <c r="AJ15" i="2"/>
  <c r="AJ14" i="2"/>
  <c r="AJ13" i="2"/>
  <c r="AJ12" i="2"/>
  <c r="AK10" i="2"/>
  <c r="AJ10" i="2"/>
  <c r="AK7" i="2"/>
  <c r="AJ7" i="2"/>
  <c r="AJ6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5" i="2"/>
  <c r="AE5" i="2"/>
  <c r="E273" i="4" l="1"/>
  <c r="E272" i="4"/>
  <c r="Z19" i="2"/>
  <c r="Y19" i="2"/>
  <c r="Z17" i="2"/>
  <c r="Y17" i="2"/>
  <c r="Y13" i="2"/>
  <c r="Y12" i="2"/>
  <c r="Y10" i="2"/>
  <c r="Z7" i="2"/>
  <c r="Y6" i="2"/>
  <c r="Y5" i="2"/>
  <c r="R19" i="2"/>
  <c r="Q19" i="2"/>
  <c r="R17" i="2"/>
  <c r="Q17" i="2"/>
  <c r="R16" i="2"/>
  <c r="R15" i="2"/>
  <c r="Q15" i="2"/>
  <c r="Q14" i="2"/>
  <c r="Q13" i="2"/>
  <c r="Q12" i="2"/>
  <c r="R10" i="2"/>
  <c r="Q10" i="2"/>
  <c r="Q7" i="2"/>
  <c r="Q6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5" i="2"/>
  <c r="R10" i="1" l="1"/>
  <c r="G5" i="1"/>
  <c r="D5" i="1"/>
  <c r="K78" i="2"/>
  <c r="I86" i="2"/>
  <c r="I108" i="2"/>
  <c r="I118" i="2"/>
  <c r="I141" i="2"/>
  <c r="I144" i="2"/>
  <c r="I148" i="2"/>
  <c r="I149" i="2"/>
  <c r="I150" i="2"/>
  <c r="I160" i="2"/>
  <c r="I166" i="2"/>
  <c r="I176" i="2"/>
  <c r="I180" i="2"/>
  <c r="I182" i="2"/>
  <c r="I192" i="2"/>
  <c r="I198" i="2"/>
  <c r="I200" i="2"/>
  <c r="I214" i="2"/>
  <c r="I216" i="2"/>
  <c r="I238" i="2"/>
  <c r="I246" i="2"/>
  <c r="I248" i="2"/>
  <c r="I253" i="2"/>
  <c r="I254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I19" i="2" s="1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I75" i="2" s="1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I218" i="2" s="1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I250" i="2" s="1"/>
  <c r="D251" i="2"/>
  <c r="D252" i="2"/>
  <c r="D253" i="2"/>
  <c r="D254" i="2"/>
  <c r="AE254" i="2"/>
  <c r="G254" i="2"/>
  <c r="J254" i="2" s="1"/>
  <c r="AE253" i="2"/>
  <c r="G253" i="2"/>
  <c r="J253" i="2" s="1"/>
  <c r="AE252" i="2"/>
  <c r="G252" i="2"/>
  <c r="J252" i="2" s="1"/>
  <c r="AE251" i="2"/>
  <c r="G251" i="2"/>
  <c r="J251" i="2" s="1"/>
  <c r="AE250" i="2"/>
  <c r="G250" i="2"/>
  <c r="J250" i="2" s="1"/>
  <c r="AE249" i="2"/>
  <c r="J249" i="2"/>
  <c r="G249" i="2"/>
  <c r="I249" i="2"/>
  <c r="AE248" i="2"/>
  <c r="G248" i="2"/>
  <c r="J248" i="2" s="1"/>
  <c r="AE247" i="2"/>
  <c r="G247" i="2"/>
  <c r="J247" i="2" s="1"/>
  <c r="AE246" i="2"/>
  <c r="G246" i="2"/>
  <c r="J246" i="2" s="1"/>
  <c r="AE245" i="2"/>
  <c r="G245" i="2"/>
  <c r="AE244" i="2"/>
  <c r="G244" i="2"/>
  <c r="J244" i="2" s="1"/>
  <c r="AE243" i="2"/>
  <c r="G243" i="2"/>
  <c r="J243" i="2" s="1"/>
  <c r="AE242" i="2"/>
  <c r="G242" i="2"/>
  <c r="J242" i="2" s="1"/>
  <c r="AE241" i="2"/>
  <c r="G241" i="2"/>
  <c r="J241" i="2" s="1"/>
  <c r="I241" i="2"/>
  <c r="AE240" i="2"/>
  <c r="G240" i="2"/>
  <c r="J240" i="2" s="1"/>
  <c r="AE239" i="2"/>
  <c r="G239" i="2"/>
  <c r="J239" i="2" s="1"/>
  <c r="AE238" i="2"/>
  <c r="G238" i="2"/>
  <c r="J238" i="2" s="1"/>
  <c r="AE237" i="2"/>
  <c r="G237" i="2"/>
  <c r="J237" i="2" s="1"/>
  <c r="AE236" i="2"/>
  <c r="G236" i="2"/>
  <c r="J236" i="2" s="1"/>
  <c r="AE235" i="2"/>
  <c r="G235" i="2"/>
  <c r="J235" i="2" s="1"/>
  <c r="AE234" i="2"/>
  <c r="G234" i="2"/>
  <c r="J234" i="2" s="1"/>
  <c r="AE233" i="2"/>
  <c r="G233" i="2"/>
  <c r="J233" i="2" s="1"/>
  <c r="AE232" i="2"/>
  <c r="G232" i="2"/>
  <c r="J232" i="2" s="1"/>
  <c r="I232" i="2"/>
  <c r="AE231" i="2"/>
  <c r="G231" i="2"/>
  <c r="J231" i="2" s="1"/>
  <c r="AE230" i="2"/>
  <c r="G230" i="2"/>
  <c r="J230" i="2" s="1"/>
  <c r="AE229" i="2"/>
  <c r="J229" i="2"/>
  <c r="G229" i="2"/>
  <c r="AE228" i="2"/>
  <c r="G228" i="2"/>
  <c r="J228" i="2" s="1"/>
  <c r="AE227" i="2"/>
  <c r="G227" i="2"/>
  <c r="J227" i="2" s="1"/>
  <c r="AE226" i="2"/>
  <c r="G226" i="2"/>
  <c r="J226" i="2" s="1"/>
  <c r="AE225" i="2"/>
  <c r="G225" i="2"/>
  <c r="J225" i="2" s="1"/>
  <c r="AE224" i="2"/>
  <c r="G224" i="2"/>
  <c r="J224" i="2" s="1"/>
  <c r="I224" i="2"/>
  <c r="AE223" i="2"/>
  <c r="G223" i="2"/>
  <c r="J223" i="2" s="1"/>
  <c r="AE222" i="2"/>
  <c r="G222" i="2"/>
  <c r="J222" i="2" s="1"/>
  <c r="AE221" i="2"/>
  <c r="J221" i="2"/>
  <c r="G221" i="2"/>
  <c r="AE220" i="2"/>
  <c r="G220" i="2"/>
  <c r="J220" i="2" s="1"/>
  <c r="AE219" i="2"/>
  <c r="G219" i="2"/>
  <c r="J219" i="2" s="1"/>
  <c r="AE218" i="2"/>
  <c r="G218" i="2"/>
  <c r="J218" i="2" s="1"/>
  <c r="AE217" i="2"/>
  <c r="G217" i="2"/>
  <c r="J217" i="2" s="1"/>
  <c r="I217" i="2"/>
  <c r="AE216" i="2"/>
  <c r="G216" i="2"/>
  <c r="J216" i="2" s="1"/>
  <c r="AE215" i="2"/>
  <c r="G215" i="2"/>
  <c r="J215" i="2" s="1"/>
  <c r="AE214" i="2"/>
  <c r="G214" i="2"/>
  <c r="J214" i="2" s="1"/>
  <c r="AE213" i="2"/>
  <c r="G213" i="2"/>
  <c r="J213" i="2" s="1"/>
  <c r="AE212" i="2"/>
  <c r="G212" i="2"/>
  <c r="J212" i="2" s="1"/>
  <c r="AE211" i="2"/>
  <c r="G211" i="2"/>
  <c r="J211" i="2" s="1"/>
  <c r="AE210" i="2"/>
  <c r="G210" i="2"/>
  <c r="J210" i="2" s="1"/>
  <c r="AE209" i="2"/>
  <c r="J209" i="2"/>
  <c r="G209" i="2"/>
  <c r="AE208" i="2"/>
  <c r="G208" i="2"/>
  <c r="J208" i="2" s="1"/>
  <c r="I208" i="2"/>
  <c r="AE207" i="2"/>
  <c r="G207" i="2"/>
  <c r="J207" i="2" s="1"/>
  <c r="AE206" i="2"/>
  <c r="G206" i="2"/>
  <c r="J206" i="2" s="1"/>
  <c r="AE205" i="2"/>
  <c r="G205" i="2"/>
  <c r="AE204" i="2"/>
  <c r="J204" i="2"/>
  <c r="G204" i="2"/>
  <c r="AE203" i="2"/>
  <c r="G203" i="2"/>
  <c r="J203" i="2" s="1"/>
  <c r="AE202" i="2"/>
  <c r="G202" i="2"/>
  <c r="J202" i="2" s="1"/>
  <c r="I202" i="2"/>
  <c r="AE201" i="2"/>
  <c r="G201" i="2"/>
  <c r="J201" i="2" s="1"/>
  <c r="AE200" i="2"/>
  <c r="J200" i="2"/>
  <c r="G200" i="2"/>
  <c r="AE199" i="2"/>
  <c r="G199" i="2"/>
  <c r="J199" i="2" s="1"/>
  <c r="AE198" i="2"/>
  <c r="G198" i="2"/>
  <c r="J198" i="2" s="1"/>
  <c r="AE197" i="2"/>
  <c r="G197" i="2"/>
  <c r="J197" i="2" s="1"/>
  <c r="AE196" i="2"/>
  <c r="G196" i="2"/>
  <c r="J196" i="2" s="1"/>
  <c r="AE195" i="2"/>
  <c r="G195" i="2"/>
  <c r="J195" i="2" s="1"/>
  <c r="AE194" i="2"/>
  <c r="G194" i="2"/>
  <c r="J194" i="2" s="1"/>
  <c r="AE193" i="2"/>
  <c r="G193" i="2"/>
  <c r="J193" i="2" s="1"/>
  <c r="AE192" i="2"/>
  <c r="G192" i="2"/>
  <c r="J192" i="2" s="1"/>
  <c r="AE191" i="2"/>
  <c r="G191" i="2"/>
  <c r="J191" i="2" s="1"/>
  <c r="AE190" i="2"/>
  <c r="G190" i="2"/>
  <c r="J190" i="2" s="1"/>
  <c r="AE189" i="2"/>
  <c r="J189" i="2"/>
  <c r="G189" i="2"/>
  <c r="AE188" i="2"/>
  <c r="G188" i="2"/>
  <c r="J188" i="2" s="1"/>
  <c r="AE187" i="2"/>
  <c r="G187" i="2"/>
  <c r="J187" i="2" s="1"/>
  <c r="AE186" i="2"/>
  <c r="G186" i="2"/>
  <c r="J186" i="2" s="1"/>
  <c r="I186" i="2"/>
  <c r="AE185" i="2"/>
  <c r="G185" i="2"/>
  <c r="J185" i="2" s="1"/>
  <c r="I185" i="2"/>
  <c r="AE184" i="2"/>
  <c r="J184" i="2"/>
  <c r="G184" i="2"/>
  <c r="AE183" i="2"/>
  <c r="G183" i="2"/>
  <c r="J183" i="2" s="1"/>
  <c r="AE182" i="2"/>
  <c r="G182" i="2"/>
  <c r="J182" i="2" s="1"/>
  <c r="AE181" i="2"/>
  <c r="G181" i="2"/>
  <c r="AE180" i="2"/>
  <c r="G180" i="2"/>
  <c r="J180" i="2" s="1"/>
  <c r="AE179" i="2"/>
  <c r="G179" i="2"/>
  <c r="J179" i="2" s="1"/>
  <c r="AE178" i="2"/>
  <c r="G178" i="2"/>
  <c r="J178" i="2" s="1"/>
  <c r="AE177" i="2"/>
  <c r="G177" i="2"/>
  <c r="J177" i="2" s="1"/>
  <c r="AE176" i="2"/>
  <c r="G176" i="2"/>
  <c r="J176" i="2" s="1"/>
  <c r="AE175" i="2"/>
  <c r="G175" i="2"/>
  <c r="J175" i="2" s="1"/>
  <c r="AE174" i="2"/>
  <c r="G174" i="2"/>
  <c r="J174" i="2" s="1"/>
  <c r="AE173" i="2"/>
  <c r="G173" i="2"/>
  <c r="AE172" i="2"/>
  <c r="G172" i="2"/>
  <c r="J172" i="2" s="1"/>
  <c r="AE171" i="2"/>
  <c r="G171" i="2"/>
  <c r="J171" i="2" s="1"/>
  <c r="AE170" i="2"/>
  <c r="G170" i="2"/>
  <c r="J170" i="2" s="1"/>
  <c r="I170" i="2"/>
  <c r="AE169" i="2"/>
  <c r="J169" i="2"/>
  <c r="G169" i="2"/>
  <c r="I169" i="2"/>
  <c r="AE168" i="2"/>
  <c r="G168" i="2"/>
  <c r="J168" i="2" s="1"/>
  <c r="AE167" i="2"/>
  <c r="G167" i="2"/>
  <c r="J167" i="2" s="1"/>
  <c r="AE166" i="2"/>
  <c r="G166" i="2"/>
  <c r="J166" i="2" s="1"/>
  <c r="AE165" i="2"/>
  <c r="G165" i="2"/>
  <c r="J165" i="2" s="1"/>
  <c r="AE164" i="2"/>
  <c r="G164" i="2"/>
  <c r="J164" i="2" s="1"/>
  <c r="AE163" i="2"/>
  <c r="G163" i="2"/>
  <c r="J163" i="2" s="1"/>
  <c r="AE162" i="2"/>
  <c r="G162" i="2"/>
  <c r="J162" i="2" s="1"/>
  <c r="AE161" i="2"/>
  <c r="G161" i="2"/>
  <c r="AE160" i="2"/>
  <c r="G160" i="2"/>
  <c r="J160" i="2" s="1"/>
  <c r="AE159" i="2"/>
  <c r="G159" i="2"/>
  <c r="J159" i="2" s="1"/>
  <c r="AE158" i="2"/>
  <c r="G158" i="2"/>
  <c r="J158" i="2" s="1"/>
  <c r="AE157" i="2"/>
  <c r="G157" i="2"/>
  <c r="J157" i="2" s="1"/>
  <c r="AE156" i="2"/>
  <c r="G156" i="2"/>
  <c r="J156" i="2" s="1"/>
  <c r="AE155" i="2"/>
  <c r="G155" i="2"/>
  <c r="J155" i="2" s="1"/>
  <c r="AE154" i="2"/>
  <c r="G154" i="2"/>
  <c r="J154" i="2" s="1"/>
  <c r="I154" i="2"/>
  <c r="AE153" i="2"/>
  <c r="J153" i="2"/>
  <c r="G153" i="2"/>
  <c r="AE152" i="2"/>
  <c r="G152" i="2"/>
  <c r="J152" i="2" s="1"/>
  <c r="AE151" i="2"/>
  <c r="G151" i="2"/>
  <c r="J151" i="2" s="1"/>
  <c r="AE150" i="2"/>
  <c r="G150" i="2"/>
  <c r="J150" i="2" s="1"/>
  <c r="AE149" i="2"/>
  <c r="J149" i="2"/>
  <c r="G149" i="2"/>
  <c r="AE148" i="2"/>
  <c r="G148" i="2"/>
  <c r="J148" i="2" s="1"/>
  <c r="AE147" i="2"/>
  <c r="G147" i="2"/>
  <c r="J147" i="2" s="1"/>
  <c r="AE146" i="2"/>
  <c r="G146" i="2"/>
  <c r="J146" i="2" s="1"/>
  <c r="AE145" i="2"/>
  <c r="G145" i="2"/>
  <c r="AE144" i="2"/>
  <c r="G144" i="2"/>
  <c r="AE143" i="2"/>
  <c r="G143" i="2"/>
  <c r="J143" i="2" s="1"/>
  <c r="I143" i="2"/>
  <c r="AE142" i="2"/>
  <c r="J142" i="2"/>
  <c r="G142" i="2"/>
  <c r="AE141" i="2"/>
  <c r="G141" i="2"/>
  <c r="J141" i="2" s="1"/>
  <c r="AE140" i="2"/>
  <c r="G140" i="2"/>
  <c r="J140" i="2" s="1"/>
  <c r="AE139" i="2"/>
  <c r="J139" i="2"/>
  <c r="G139" i="2"/>
  <c r="AE138" i="2"/>
  <c r="G138" i="2"/>
  <c r="J138" i="2" s="1"/>
  <c r="I138" i="2"/>
  <c r="AE137" i="2"/>
  <c r="G137" i="2"/>
  <c r="AE136" i="2"/>
  <c r="J136" i="2"/>
  <c r="G136" i="2"/>
  <c r="AE135" i="2"/>
  <c r="G135" i="2"/>
  <c r="J135" i="2" s="1"/>
  <c r="AE134" i="2"/>
  <c r="G134" i="2"/>
  <c r="J134" i="2" s="1"/>
  <c r="AE133" i="2"/>
  <c r="G133" i="2"/>
  <c r="J133" i="2" s="1"/>
  <c r="AE132" i="2"/>
  <c r="G132" i="2"/>
  <c r="J132" i="2" s="1"/>
  <c r="AE131" i="2"/>
  <c r="J131" i="2"/>
  <c r="G131" i="2"/>
  <c r="AE130" i="2"/>
  <c r="G130" i="2"/>
  <c r="J130" i="2" s="1"/>
  <c r="I130" i="2"/>
  <c r="AE129" i="2"/>
  <c r="J129" i="2"/>
  <c r="G129" i="2"/>
  <c r="AE128" i="2"/>
  <c r="G128" i="2"/>
  <c r="J128" i="2" s="1"/>
  <c r="AE127" i="2"/>
  <c r="G127" i="2"/>
  <c r="J127" i="2" s="1"/>
  <c r="AE126" i="2"/>
  <c r="G126" i="2"/>
  <c r="J126" i="2" s="1"/>
  <c r="AE125" i="2"/>
  <c r="G125" i="2"/>
  <c r="J125" i="2" s="1"/>
  <c r="AE124" i="2"/>
  <c r="J124" i="2"/>
  <c r="G124" i="2"/>
  <c r="AE123" i="2"/>
  <c r="G123" i="2"/>
  <c r="J123" i="2" s="1"/>
  <c r="AE122" i="2"/>
  <c r="G122" i="2"/>
  <c r="J122" i="2" s="1"/>
  <c r="AE121" i="2"/>
  <c r="G121" i="2"/>
  <c r="AE120" i="2"/>
  <c r="G120" i="2"/>
  <c r="J120" i="2" s="1"/>
  <c r="AE119" i="2"/>
  <c r="G119" i="2"/>
  <c r="J119" i="2" s="1"/>
  <c r="AE118" i="2"/>
  <c r="G118" i="2"/>
  <c r="J118" i="2" s="1"/>
  <c r="AE117" i="2"/>
  <c r="G117" i="2"/>
  <c r="J117" i="2" s="1"/>
  <c r="AE116" i="2"/>
  <c r="G116" i="2"/>
  <c r="J116" i="2" s="1"/>
  <c r="AE115" i="2"/>
  <c r="G115" i="2"/>
  <c r="J115" i="2" s="1"/>
  <c r="AE114" i="2"/>
  <c r="J114" i="2"/>
  <c r="G114" i="2"/>
  <c r="AE113" i="2"/>
  <c r="G113" i="2"/>
  <c r="J113" i="2" s="1"/>
  <c r="AE112" i="2"/>
  <c r="J112" i="2"/>
  <c r="G112" i="2"/>
  <c r="AE111" i="2"/>
  <c r="G111" i="2"/>
  <c r="J111" i="2" s="1"/>
  <c r="AE110" i="2"/>
  <c r="G110" i="2"/>
  <c r="J110" i="2" s="1"/>
  <c r="AE109" i="2"/>
  <c r="G109" i="2"/>
  <c r="J109" i="2" s="1"/>
  <c r="AE108" i="2"/>
  <c r="G108" i="2"/>
  <c r="J108" i="2" s="1"/>
  <c r="AE107" i="2"/>
  <c r="G107" i="2"/>
  <c r="J107" i="2" s="1"/>
  <c r="AE106" i="2"/>
  <c r="G106" i="2"/>
  <c r="J106" i="2" s="1"/>
  <c r="AE105" i="2"/>
  <c r="J105" i="2"/>
  <c r="G105" i="2"/>
  <c r="AE104" i="2"/>
  <c r="J104" i="2"/>
  <c r="G104" i="2"/>
  <c r="AE103" i="2"/>
  <c r="G103" i="2"/>
  <c r="J103" i="2" s="1"/>
  <c r="AE102" i="2"/>
  <c r="G102" i="2"/>
  <c r="J102" i="2" s="1"/>
  <c r="AE101" i="2"/>
  <c r="G101" i="2"/>
  <c r="J101" i="2" s="1"/>
  <c r="AE100" i="2"/>
  <c r="G100" i="2"/>
  <c r="J100" i="2" s="1"/>
  <c r="AE99" i="2"/>
  <c r="G99" i="2"/>
  <c r="J99" i="2" s="1"/>
  <c r="AE98" i="2"/>
  <c r="G98" i="2"/>
  <c r="J98" i="2" s="1"/>
  <c r="I98" i="2"/>
  <c r="AE97" i="2"/>
  <c r="J97" i="2"/>
  <c r="G97" i="2"/>
  <c r="AE96" i="2"/>
  <c r="G96" i="2"/>
  <c r="J96" i="2" s="1"/>
  <c r="AE95" i="2"/>
  <c r="G95" i="2"/>
  <c r="J95" i="2" s="1"/>
  <c r="AE94" i="2"/>
  <c r="G94" i="2"/>
  <c r="J94" i="2" s="1"/>
  <c r="AE93" i="2"/>
  <c r="G93" i="2"/>
  <c r="J93" i="2" s="1"/>
  <c r="AE92" i="2"/>
  <c r="G92" i="2"/>
  <c r="J92" i="2" s="1"/>
  <c r="AE91" i="2"/>
  <c r="G91" i="2"/>
  <c r="J91" i="2" s="1"/>
  <c r="AE90" i="2"/>
  <c r="G90" i="2"/>
  <c r="J90" i="2" s="1"/>
  <c r="AE89" i="2"/>
  <c r="G89" i="2"/>
  <c r="AE88" i="2"/>
  <c r="G88" i="2"/>
  <c r="J88" i="2" s="1"/>
  <c r="AE87" i="2"/>
  <c r="J87" i="2"/>
  <c r="G87" i="2"/>
  <c r="AE86" i="2"/>
  <c r="G86" i="2"/>
  <c r="J86" i="2" s="1"/>
  <c r="AE85" i="2"/>
  <c r="J85" i="2"/>
  <c r="G85" i="2"/>
  <c r="AE84" i="2"/>
  <c r="G84" i="2"/>
  <c r="J84" i="2" s="1"/>
  <c r="AE83" i="2"/>
  <c r="G83" i="2"/>
  <c r="J83" i="2" s="1"/>
  <c r="AE82" i="2"/>
  <c r="G82" i="2"/>
  <c r="J82" i="2" s="1"/>
  <c r="AE81" i="2"/>
  <c r="G81" i="2"/>
  <c r="AE80" i="2"/>
  <c r="J80" i="2"/>
  <c r="G80" i="2"/>
  <c r="AE79" i="2"/>
  <c r="G79" i="2"/>
  <c r="J79" i="2" s="1"/>
  <c r="AE78" i="2"/>
  <c r="G78" i="2"/>
  <c r="J78" i="2" s="1"/>
  <c r="AE77" i="2"/>
  <c r="G77" i="2"/>
  <c r="J77" i="2" s="1"/>
  <c r="AE76" i="2"/>
  <c r="G76" i="2"/>
  <c r="J76" i="2" s="1"/>
  <c r="AE75" i="2"/>
  <c r="G75" i="2"/>
  <c r="J75" i="2" s="1"/>
  <c r="AE74" i="2"/>
  <c r="G74" i="2"/>
  <c r="J74" i="2" s="1"/>
  <c r="AE73" i="2"/>
  <c r="G73" i="2"/>
  <c r="AE72" i="2"/>
  <c r="G72" i="2"/>
  <c r="J72" i="2" s="1"/>
  <c r="AE71" i="2"/>
  <c r="G71" i="2"/>
  <c r="J71" i="2" s="1"/>
  <c r="AE70" i="2"/>
  <c r="G70" i="2"/>
  <c r="J70" i="2" s="1"/>
  <c r="AE69" i="2"/>
  <c r="G69" i="2"/>
  <c r="J69" i="2" s="1"/>
  <c r="AE68" i="2"/>
  <c r="G68" i="2"/>
  <c r="J68" i="2" s="1"/>
  <c r="AE67" i="2"/>
  <c r="G67" i="2"/>
  <c r="J67" i="2" s="1"/>
  <c r="AE66" i="2"/>
  <c r="G66" i="2"/>
  <c r="J66" i="2" s="1"/>
  <c r="AE65" i="2"/>
  <c r="G65" i="2"/>
  <c r="J65" i="2" s="1"/>
  <c r="AE64" i="2"/>
  <c r="G64" i="2"/>
  <c r="J64" i="2" s="1"/>
  <c r="AE63" i="2"/>
  <c r="J63" i="2"/>
  <c r="G63" i="2"/>
  <c r="AE62" i="2"/>
  <c r="G62" i="2"/>
  <c r="J62" i="2" s="1"/>
  <c r="AE61" i="2"/>
  <c r="G61" i="2"/>
  <c r="J61" i="2" s="1"/>
  <c r="AE60" i="2"/>
  <c r="G60" i="2"/>
  <c r="J60" i="2" s="1"/>
  <c r="AE59" i="2"/>
  <c r="G59" i="2"/>
  <c r="J59" i="2" s="1"/>
  <c r="AE58" i="2"/>
  <c r="G58" i="2"/>
  <c r="J58" i="2" s="1"/>
  <c r="AE57" i="2"/>
  <c r="G57" i="2"/>
  <c r="J57" i="2" s="1"/>
  <c r="AE56" i="2"/>
  <c r="G56" i="2"/>
  <c r="J56" i="2" s="1"/>
  <c r="AE55" i="2"/>
  <c r="G55" i="2"/>
  <c r="J55" i="2" s="1"/>
  <c r="AE54" i="2"/>
  <c r="G54" i="2"/>
  <c r="J54" i="2" s="1"/>
  <c r="AE53" i="2"/>
  <c r="G53" i="2"/>
  <c r="J53" i="2" s="1"/>
  <c r="AE52" i="2"/>
  <c r="G52" i="2"/>
  <c r="J52" i="2" s="1"/>
  <c r="AE51" i="2"/>
  <c r="G51" i="2"/>
  <c r="J51" i="2" s="1"/>
  <c r="AE50" i="2"/>
  <c r="G50" i="2"/>
  <c r="J50" i="2" s="1"/>
  <c r="AE49" i="2"/>
  <c r="G49" i="2"/>
  <c r="J49" i="2" s="1"/>
  <c r="AE48" i="2"/>
  <c r="G48" i="2"/>
  <c r="J48" i="2" s="1"/>
  <c r="AE47" i="2"/>
  <c r="G47" i="2"/>
  <c r="J47" i="2" s="1"/>
  <c r="AE46" i="2"/>
  <c r="G46" i="2"/>
  <c r="J46" i="2" s="1"/>
  <c r="AE45" i="2"/>
  <c r="G45" i="2"/>
  <c r="J45" i="2" s="1"/>
  <c r="AE44" i="2"/>
  <c r="G44" i="2"/>
  <c r="J44" i="2" s="1"/>
  <c r="AE43" i="2"/>
  <c r="J43" i="2"/>
  <c r="G43" i="2"/>
  <c r="AE42" i="2"/>
  <c r="G42" i="2"/>
  <c r="J42" i="2" s="1"/>
  <c r="AE41" i="2"/>
  <c r="G41" i="2"/>
  <c r="J41" i="2" s="1"/>
  <c r="AE40" i="2"/>
  <c r="G40" i="2"/>
  <c r="J40" i="2" s="1"/>
  <c r="AE39" i="2"/>
  <c r="J39" i="2"/>
  <c r="G39" i="2"/>
  <c r="AE38" i="2"/>
  <c r="G38" i="2"/>
  <c r="J38" i="2" s="1"/>
  <c r="AE37" i="2"/>
  <c r="G37" i="2"/>
  <c r="J37" i="2" s="1"/>
  <c r="AE36" i="2"/>
  <c r="G36" i="2"/>
  <c r="J36" i="2" s="1"/>
  <c r="AE35" i="2"/>
  <c r="G35" i="2"/>
  <c r="J35" i="2" s="1"/>
  <c r="AE34" i="2"/>
  <c r="G34" i="2"/>
  <c r="J34" i="2" s="1"/>
  <c r="AE33" i="2"/>
  <c r="G33" i="2"/>
  <c r="J33" i="2" s="1"/>
  <c r="AE32" i="2"/>
  <c r="G32" i="2"/>
  <c r="J32" i="2" s="1"/>
  <c r="AE31" i="2"/>
  <c r="G31" i="2"/>
  <c r="J31" i="2" s="1"/>
  <c r="AE30" i="2"/>
  <c r="G30" i="2"/>
  <c r="J30" i="2" s="1"/>
  <c r="AE29" i="2"/>
  <c r="G29" i="2"/>
  <c r="J29" i="2" s="1"/>
  <c r="AE28" i="2"/>
  <c r="G28" i="2"/>
  <c r="J28" i="2" s="1"/>
  <c r="AE27" i="2"/>
  <c r="G27" i="2"/>
  <c r="J27" i="2" s="1"/>
  <c r="AE26" i="2"/>
  <c r="G26" i="2"/>
  <c r="J26" i="2" s="1"/>
  <c r="AE25" i="2"/>
  <c r="G25" i="2"/>
  <c r="J25" i="2" s="1"/>
  <c r="AE24" i="2"/>
  <c r="G24" i="2"/>
  <c r="J24" i="2" s="1"/>
  <c r="AE23" i="2"/>
  <c r="G23" i="2"/>
  <c r="J23" i="2" s="1"/>
  <c r="AE22" i="2"/>
  <c r="G22" i="2"/>
  <c r="J22" i="2" s="1"/>
  <c r="AE21" i="2"/>
  <c r="G21" i="2"/>
  <c r="J21" i="2" s="1"/>
  <c r="AE20" i="2"/>
  <c r="G20" i="2"/>
  <c r="J20" i="2" s="1"/>
  <c r="AE19" i="2"/>
  <c r="G19" i="2"/>
  <c r="J19" i="2" s="1"/>
  <c r="AE18" i="2"/>
  <c r="G18" i="2"/>
  <c r="J18" i="2" s="1"/>
  <c r="AE17" i="2"/>
  <c r="J17" i="2"/>
  <c r="G17" i="2"/>
  <c r="AE16" i="2"/>
  <c r="G16" i="2"/>
  <c r="J16" i="2" s="1"/>
  <c r="AE15" i="2"/>
  <c r="G15" i="2"/>
  <c r="J15" i="2" s="1"/>
  <c r="AE14" i="2"/>
  <c r="G14" i="2"/>
  <c r="J14" i="2" s="1"/>
  <c r="AE13" i="2"/>
  <c r="G13" i="2"/>
  <c r="J13" i="2" s="1"/>
  <c r="AE12" i="2"/>
  <c r="G12" i="2"/>
  <c r="J12" i="2" s="1"/>
  <c r="AE11" i="2"/>
  <c r="G11" i="2"/>
  <c r="J11" i="2" s="1"/>
  <c r="I11" i="2"/>
  <c r="AE10" i="2"/>
  <c r="G10" i="2"/>
  <c r="J10" i="2" s="1"/>
  <c r="AE9" i="2"/>
  <c r="G9" i="2"/>
  <c r="J9" i="2" s="1"/>
  <c r="AE8" i="2"/>
  <c r="G8" i="2"/>
  <c r="J8" i="2" s="1"/>
  <c r="AE7" i="2"/>
  <c r="Y7" i="2"/>
  <c r="G7" i="2"/>
  <c r="J7" i="2" s="1"/>
  <c r="AE6" i="2"/>
  <c r="G6" i="2"/>
  <c r="J6" i="2" s="1"/>
  <c r="Y16" i="2"/>
  <c r="AJ16" i="1"/>
  <c r="AJ17" i="1" s="1"/>
  <c r="AK17" i="1" s="1"/>
  <c r="AJ15" i="1"/>
  <c r="AK15" i="1" s="1"/>
  <c r="AJ14" i="1"/>
  <c r="AJ13" i="1"/>
  <c r="AJ12" i="1"/>
  <c r="AG6" i="1"/>
  <c r="AJ6" i="1" s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5" i="1"/>
  <c r="Z19" i="1"/>
  <c r="Y19" i="1"/>
  <c r="Z17" i="1"/>
  <c r="Y17" i="1"/>
  <c r="Z16" i="1"/>
  <c r="Z15" i="1"/>
  <c r="Z10" i="1"/>
  <c r="Z7" i="1"/>
  <c r="Y16" i="1"/>
  <c r="Y15" i="1"/>
  <c r="Y14" i="1"/>
  <c r="Y13" i="1"/>
  <c r="Y12" i="1"/>
  <c r="Y10" i="1"/>
  <c r="Y6" i="1"/>
  <c r="Y7" i="1"/>
  <c r="Y5" i="1"/>
  <c r="R19" i="1"/>
  <c r="R15" i="1"/>
  <c r="R7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5" i="1"/>
  <c r="AJ19" i="1" l="1"/>
  <c r="AK19" i="1" s="1"/>
  <c r="AK16" i="1"/>
  <c r="AJ7" i="1"/>
  <c r="AK7" i="1" s="1"/>
  <c r="K106" i="2"/>
  <c r="K40" i="2"/>
  <c r="E266" i="2"/>
  <c r="E267" i="2" s="1"/>
  <c r="AJ16" i="2"/>
  <c r="Z10" i="2"/>
  <c r="R7" i="2"/>
  <c r="J137" i="2"/>
  <c r="K137" i="2"/>
  <c r="K230" i="2"/>
  <c r="K162" i="2"/>
  <c r="K77" i="2"/>
  <c r="K102" i="2"/>
  <c r="K122" i="2"/>
  <c r="K129" i="2"/>
  <c r="K134" i="2"/>
  <c r="K222" i="2"/>
  <c r="J173" i="2"/>
  <c r="K173" i="2"/>
  <c r="J161" i="2"/>
  <c r="K161" i="2"/>
  <c r="J81" i="2"/>
  <c r="K81" i="2"/>
  <c r="J181" i="2"/>
  <c r="K181" i="2"/>
  <c r="J205" i="2"/>
  <c r="K205" i="2"/>
  <c r="J121" i="2"/>
  <c r="K121" i="2"/>
  <c r="J73" i="2"/>
  <c r="K73" i="2"/>
  <c r="J89" i="2"/>
  <c r="K89" i="2"/>
  <c r="J145" i="2"/>
  <c r="K145" i="2"/>
  <c r="K97" i="2"/>
  <c r="K105" i="2"/>
  <c r="K113" i="2"/>
  <c r="K24" i="2"/>
  <c r="K110" i="2"/>
  <c r="K206" i="2"/>
  <c r="K10" i="2"/>
  <c r="K56" i="2"/>
  <c r="K71" i="2"/>
  <c r="K194" i="2"/>
  <c r="K67" i="2"/>
  <c r="K90" i="2"/>
  <c r="K142" i="2"/>
  <c r="K146" i="2"/>
  <c r="K190" i="2"/>
  <c r="I245" i="2"/>
  <c r="K229" i="2"/>
  <c r="K221" i="2"/>
  <c r="I165" i="2"/>
  <c r="I117" i="2"/>
  <c r="K109" i="2"/>
  <c r="I85" i="2"/>
  <c r="I236" i="2"/>
  <c r="I228" i="2"/>
  <c r="I220" i="2"/>
  <c r="I212" i="2"/>
  <c r="I204" i="2"/>
  <c r="I196" i="2"/>
  <c r="I188" i="2"/>
  <c r="I172" i="2"/>
  <c r="I164" i="2"/>
  <c r="I156" i="2"/>
  <c r="K60" i="2"/>
  <c r="K44" i="2"/>
  <c r="K28" i="2"/>
  <c r="I244" i="2"/>
  <c r="K244" i="2"/>
  <c r="K144" i="2"/>
  <c r="I71" i="2"/>
  <c r="K208" i="2"/>
  <c r="K201" i="2"/>
  <c r="I201" i="2"/>
  <c r="K133" i="2"/>
  <c r="I133" i="2"/>
  <c r="K237" i="2"/>
  <c r="I237" i="2"/>
  <c r="I233" i="2"/>
  <c r="K233" i="2"/>
  <c r="K101" i="2"/>
  <c r="I101" i="2"/>
  <c r="K216" i="2"/>
  <c r="I67" i="2"/>
  <c r="K176" i="2"/>
  <c r="K226" i="2"/>
  <c r="I226" i="2"/>
  <c r="I153" i="2"/>
  <c r="K153" i="2"/>
  <c r="K177" i="2"/>
  <c r="I177" i="2"/>
  <c r="I93" i="2"/>
  <c r="K93" i="2"/>
  <c r="I125" i="2"/>
  <c r="K125" i="2"/>
  <c r="K189" i="2"/>
  <c r="I189" i="2"/>
  <c r="I225" i="2"/>
  <c r="K225" i="2"/>
  <c r="K178" i="2"/>
  <c r="I178" i="2"/>
  <c r="K94" i="2"/>
  <c r="I94" i="2"/>
  <c r="K126" i="2"/>
  <c r="I126" i="2"/>
  <c r="I96" i="2"/>
  <c r="K96" i="2"/>
  <c r="I128" i="2"/>
  <c r="K128" i="2"/>
  <c r="K210" i="2"/>
  <c r="I210" i="2"/>
  <c r="I157" i="2"/>
  <c r="K157" i="2"/>
  <c r="K82" i="2"/>
  <c r="I82" i="2"/>
  <c r="K114" i="2"/>
  <c r="I114" i="2"/>
  <c r="K148" i="2"/>
  <c r="I162" i="2"/>
  <c r="K169" i="2"/>
  <c r="I194" i="2"/>
  <c r="K220" i="2"/>
  <c r="I221" i="2"/>
  <c r="I222" i="2"/>
  <c r="I10" i="2"/>
  <c r="I73" i="2"/>
  <c r="K160" i="2"/>
  <c r="I161" i="2"/>
  <c r="K212" i="2"/>
  <c r="I229" i="2"/>
  <c r="K248" i="2"/>
  <c r="I81" i="2"/>
  <c r="I89" i="2"/>
  <c r="I113" i="2"/>
  <c r="I121" i="2"/>
  <c r="I173" i="2"/>
  <c r="K180" i="2"/>
  <c r="K192" i="2"/>
  <c r="I205" i="2"/>
  <c r="I97" i="2"/>
  <c r="I129" i="2"/>
  <c r="K185" i="2"/>
  <c r="K164" i="2"/>
  <c r="K196" i="2"/>
  <c r="K224" i="2"/>
  <c r="K30" i="2"/>
  <c r="I30" i="2"/>
  <c r="K62" i="2"/>
  <c r="I62" i="2"/>
  <c r="K17" i="2"/>
  <c r="I17" i="2"/>
  <c r="K50" i="2"/>
  <c r="I50" i="2"/>
  <c r="K66" i="2"/>
  <c r="I66" i="2"/>
  <c r="K74" i="2"/>
  <c r="I74" i="2"/>
  <c r="K6" i="2"/>
  <c r="I6" i="2"/>
  <c r="K11" i="2"/>
  <c r="I21" i="2"/>
  <c r="K21" i="2"/>
  <c r="K27" i="2"/>
  <c r="I27" i="2"/>
  <c r="I37" i="2"/>
  <c r="K37" i="2"/>
  <c r="K43" i="2"/>
  <c r="I43" i="2"/>
  <c r="I53" i="2"/>
  <c r="K53" i="2"/>
  <c r="K59" i="2"/>
  <c r="I59" i="2"/>
  <c r="K72" i="2"/>
  <c r="I72" i="2"/>
  <c r="I104" i="2"/>
  <c r="K104" i="2"/>
  <c r="I136" i="2"/>
  <c r="K136" i="2"/>
  <c r="K23" i="2"/>
  <c r="I23" i="2"/>
  <c r="I33" i="2"/>
  <c r="K33" i="2"/>
  <c r="K39" i="2"/>
  <c r="I39" i="2"/>
  <c r="I49" i="2"/>
  <c r="K49" i="2"/>
  <c r="K55" i="2"/>
  <c r="I55" i="2"/>
  <c r="I65" i="2"/>
  <c r="K65" i="2"/>
  <c r="K68" i="2"/>
  <c r="I68" i="2"/>
  <c r="K76" i="2"/>
  <c r="I76" i="2"/>
  <c r="I80" i="2"/>
  <c r="K80" i="2"/>
  <c r="I88" i="2"/>
  <c r="K88" i="2"/>
  <c r="I112" i="2"/>
  <c r="K112" i="2"/>
  <c r="I120" i="2"/>
  <c r="K120" i="2"/>
  <c r="K16" i="2"/>
  <c r="I16" i="2"/>
  <c r="E255" i="2"/>
  <c r="I9" i="2"/>
  <c r="K9" i="2"/>
  <c r="H255" i="2"/>
  <c r="K15" i="2"/>
  <c r="I15" i="2"/>
  <c r="K20" i="2"/>
  <c r="K26" i="2"/>
  <c r="I26" i="2"/>
  <c r="K36" i="2"/>
  <c r="K42" i="2"/>
  <c r="I42" i="2"/>
  <c r="K52" i="2"/>
  <c r="K58" i="2"/>
  <c r="I58" i="2"/>
  <c r="K14" i="2"/>
  <c r="I14" i="2"/>
  <c r="I29" i="2"/>
  <c r="K29" i="2"/>
  <c r="K35" i="2"/>
  <c r="I35" i="2"/>
  <c r="I45" i="2"/>
  <c r="K45" i="2"/>
  <c r="K51" i="2"/>
  <c r="I51" i="2"/>
  <c r="I61" i="2"/>
  <c r="K61" i="2"/>
  <c r="K70" i="2"/>
  <c r="I70" i="2"/>
  <c r="K46" i="2"/>
  <c r="I46" i="2"/>
  <c r="Z16" i="2"/>
  <c r="I8" i="2"/>
  <c r="K8" i="2"/>
  <c r="K13" i="2"/>
  <c r="I13" i="2"/>
  <c r="I18" i="2"/>
  <c r="K18" i="2"/>
  <c r="K22" i="2"/>
  <c r="I22" i="2"/>
  <c r="K32" i="2"/>
  <c r="K38" i="2"/>
  <c r="I38" i="2"/>
  <c r="K48" i="2"/>
  <c r="K54" i="2"/>
  <c r="I54" i="2"/>
  <c r="K64" i="2"/>
  <c r="I92" i="2"/>
  <c r="K92" i="2"/>
  <c r="I124" i="2"/>
  <c r="K124" i="2"/>
  <c r="I7" i="2"/>
  <c r="K7" i="2"/>
  <c r="K12" i="2"/>
  <c r="I12" i="2"/>
  <c r="I25" i="2"/>
  <c r="K25" i="2"/>
  <c r="K31" i="2"/>
  <c r="I31" i="2"/>
  <c r="I41" i="2"/>
  <c r="K41" i="2"/>
  <c r="K47" i="2"/>
  <c r="I47" i="2"/>
  <c r="I57" i="2"/>
  <c r="K57" i="2"/>
  <c r="K63" i="2"/>
  <c r="I63" i="2"/>
  <c r="I84" i="2"/>
  <c r="K84" i="2"/>
  <c r="I116" i="2"/>
  <c r="K116" i="2"/>
  <c r="K34" i="2"/>
  <c r="I34" i="2"/>
  <c r="K69" i="2"/>
  <c r="I69" i="2"/>
  <c r="I100" i="2"/>
  <c r="K100" i="2"/>
  <c r="I132" i="2"/>
  <c r="K132" i="2"/>
  <c r="K19" i="2"/>
  <c r="Y15" i="2"/>
  <c r="Z15" i="2" s="1"/>
  <c r="K85" i="2"/>
  <c r="I90" i="2"/>
  <c r="K98" i="2"/>
  <c r="K103" i="2"/>
  <c r="I103" i="2"/>
  <c r="K117" i="2"/>
  <c r="I122" i="2"/>
  <c r="K130" i="2"/>
  <c r="K135" i="2"/>
  <c r="I135" i="2"/>
  <c r="K213" i="2"/>
  <c r="I240" i="2"/>
  <c r="K240" i="2"/>
  <c r="K79" i="2"/>
  <c r="I79" i="2"/>
  <c r="K111" i="2"/>
  <c r="I111" i="2"/>
  <c r="I139" i="2"/>
  <c r="K139" i="2"/>
  <c r="I152" i="2"/>
  <c r="K152" i="2"/>
  <c r="K174" i="2"/>
  <c r="I174" i="2"/>
  <c r="K107" i="2"/>
  <c r="I107" i="2"/>
  <c r="K193" i="2"/>
  <c r="I193" i="2"/>
  <c r="K75" i="2"/>
  <c r="K83" i="2"/>
  <c r="I83" i="2"/>
  <c r="I102" i="2"/>
  <c r="K115" i="2"/>
  <c r="I115" i="2"/>
  <c r="I134" i="2"/>
  <c r="K143" i="2"/>
  <c r="J144" i="2"/>
  <c r="I184" i="2"/>
  <c r="K184" i="2"/>
  <c r="I20" i="2"/>
  <c r="I24" i="2"/>
  <c r="I28" i="2"/>
  <c r="I32" i="2"/>
  <c r="I36" i="2"/>
  <c r="I40" i="2"/>
  <c r="I44" i="2"/>
  <c r="I48" i="2"/>
  <c r="I52" i="2"/>
  <c r="I56" i="2"/>
  <c r="I60" i="2"/>
  <c r="I64" i="2"/>
  <c r="K87" i="2"/>
  <c r="I87" i="2"/>
  <c r="I105" i="2"/>
  <c r="I106" i="2"/>
  <c r="K119" i="2"/>
  <c r="I119" i="2"/>
  <c r="I137" i="2"/>
  <c r="K141" i="2"/>
  <c r="I142" i="2"/>
  <c r="I145" i="2"/>
  <c r="I146" i="2"/>
  <c r="K165" i="2"/>
  <c r="I171" i="2"/>
  <c r="K171" i="2"/>
  <c r="K197" i="2"/>
  <c r="K234" i="2"/>
  <c r="I234" i="2"/>
  <c r="K140" i="2"/>
  <c r="I140" i="2"/>
  <c r="Y14" i="2"/>
  <c r="I77" i="2"/>
  <c r="I78" i="2"/>
  <c r="K86" i="2"/>
  <c r="K91" i="2"/>
  <c r="I91" i="2"/>
  <c r="K108" i="2"/>
  <c r="I109" i="2"/>
  <c r="I110" i="2"/>
  <c r="K118" i="2"/>
  <c r="K123" i="2"/>
  <c r="I123" i="2"/>
  <c r="K158" i="2"/>
  <c r="I158" i="2"/>
  <c r="K209" i="2"/>
  <c r="I209" i="2"/>
  <c r="Q16" i="2"/>
  <c r="K95" i="2"/>
  <c r="I95" i="2"/>
  <c r="K127" i="2"/>
  <c r="I127" i="2"/>
  <c r="I243" i="2"/>
  <c r="K243" i="2"/>
  <c r="J245" i="2"/>
  <c r="K245" i="2"/>
  <c r="K99" i="2"/>
  <c r="I99" i="2"/>
  <c r="K131" i="2"/>
  <c r="I131" i="2"/>
  <c r="K149" i="2"/>
  <c r="I155" i="2"/>
  <c r="K155" i="2"/>
  <c r="I168" i="2"/>
  <c r="K168" i="2"/>
  <c r="I147" i="2"/>
  <c r="K147" i="2"/>
  <c r="K150" i="2"/>
  <c r="I163" i="2"/>
  <c r="K163" i="2"/>
  <c r="K166" i="2"/>
  <c r="I179" i="2"/>
  <c r="K179" i="2"/>
  <c r="K182" i="2"/>
  <c r="I195" i="2"/>
  <c r="K195" i="2"/>
  <c r="K198" i="2"/>
  <c r="K200" i="2"/>
  <c r="I211" i="2"/>
  <c r="K211" i="2"/>
  <c r="K214" i="2"/>
  <c r="K217" i="2"/>
  <c r="I223" i="2"/>
  <c r="K223" i="2"/>
  <c r="K236" i="2"/>
  <c r="K246" i="2"/>
  <c r="K249" i="2"/>
  <c r="K252" i="2"/>
  <c r="I252" i="2"/>
  <c r="K254" i="2"/>
  <c r="I159" i="2"/>
  <c r="K159" i="2"/>
  <c r="I175" i="2"/>
  <c r="K175" i="2"/>
  <c r="I181" i="2"/>
  <c r="I191" i="2"/>
  <c r="K191" i="2"/>
  <c r="I197" i="2"/>
  <c r="I207" i="2"/>
  <c r="K207" i="2"/>
  <c r="I213" i="2"/>
  <c r="I231" i="2"/>
  <c r="K231" i="2"/>
  <c r="I219" i="2"/>
  <c r="K219" i="2"/>
  <c r="K232" i="2"/>
  <c r="K242" i="2"/>
  <c r="I251" i="2"/>
  <c r="K251" i="2"/>
  <c r="K253" i="2"/>
  <c r="I187" i="2"/>
  <c r="K187" i="2"/>
  <c r="I203" i="2"/>
  <c r="K203" i="2"/>
  <c r="I239" i="2"/>
  <c r="K239" i="2"/>
  <c r="K218" i="2"/>
  <c r="I227" i="2"/>
  <c r="K227" i="2"/>
  <c r="I242" i="2"/>
  <c r="K250" i="2"/>
  <c r="K138" i="2"/>
  <c r="I151" i="2"/>
  <c r="K151" i="2"/>
  <c r="K154" i="2"/>
  <c r="K156" i="2"/>
  <c r="I167" i="2"/>
  <c r="K167" i="2"/>
  <c r="K170" i="2"/>
  <c r="K172" i="2"/>
  <c r="I183" i="2"/>
  <c r="K183" i="2"/>
  <c r="K186" i="2"/>
  <c r="K188" i="2"/>
  <c r="I190" i="2"/>
  <c r="I199" i="2"/>
  <c r="K199" i="2"/>
  <c r="K202" i="2"/>
  <c r="K204" i="2"/>
  <c r="I206" i="2"/>
  <c r="I215" i="2"/>
  <c r="K215" i="2"/>
  <c r="K228" i="2"/>
  <c r="I230" i="2"/>
  <c r="K238" i="2"/>
  <c r="K241" i="2"/>
  <c r="I247" i="2"/>
  <c r="K247" i="2"/>
  <c r="I235" i="2"/>
  <c r="K235" i="2"/>
  <c r="R16" i="1"/>
  <c r="R17" i="1"/>
  <c r="E255" i="1"/>
  <c r="K61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G6" i="1"/>
  <c r="J6" i="1" s="1"/>
  <c r="G7" i="1"/>
  <c r="G8" i="1"/>
  <c r="G9" i="1"/>
  <c r="G10" i="1"/>
  <c r="G11" i="1"/>
  <c r="K11" i="1" s="1"/>
  <c r="G12" i="1"/>
  <c r="K12" i="1" s="1"/>
  <c r="G13" i="1"/>
  <c r="J13" i="1" s="1"/>
  <c r="G14" i="1"/>
  <c r="J14" i="1" s="1"/>
  <c r="G15" i="1"/>
  <c r="G16" i="1"/>
  <c r="G17" i="1"/>
  <c r="G18" i="1"/>
  <c r="G19" i="1"/>
  <c r="K19" i="1" s="1"/>
  <c r="G20" i="1"/>
  <c r="K20" i="1" s="1"/>
  <c r="G21" i="1"/>
  <c r="J21" i="1" s="1"/>
  <c r="G22" i="1"/>
  <c r="J22" i="1" s="1"/>
  <c r="G23" i="1"/>
  <c r="G24" i="1"/>
  <c r="G25" i="1"/>
  <c r="G26" i="1"/>
  <c r="G27" i="1"/>
  <c r="K27" i="1" s="1"/>
  <c r="G28" i="1"/>
  <c r="K28" i="1" s="1"/>
  <c r="G29" i="1"/>
  <c r="J29" i="1" s="1"/>
  <c r="G30" i="1"/>
  <c r="J30" i="1" s="1"/>
  <c r="G31" i="1"/>
  <c r="G32" i="1"/>
  <c r="G33" i="1"/>
  <c r="G34" i="1"/>
  <c r="G35" i="1"/>
  <c r="K35" i="1" s="1"/>
  <c r="G36" i="1"/>
  <c r="K36" i="1" s="1"/>
  <c r="G37" i="1"/>
  <c r="J37" i="1" s="1"/>
  <c r="G38" i="1"/>
  <c r="J38" i="1" s="1"/>
  <c r="G39" i="1"/>
  <c r="G40" i="1"/>
  <c r="G41" i="1"/>
  <c r="G42" i="1"/>
  <c r="G43" i="1"/>
  <c r="K43" i="1" s="1"/>
  <c r="G44" i="1"/>
  <c r="K44" i="1" s="1"/>
  <c r="G45" i="1"/>
  <c r="J45" i="1" s="1"/>
  <c r="G46" i="1"/>
  <c r="J46" i="1" s="1"/>
  <c r="G47" i="1"/>
  <c r="G48" i="1"/>
  <c r="G49" i="1"/>
  <c r="G50" i="1"/>
  <c r="G51" i="1"/>
  <c r="K51" i="1" s="1"/>
  <c r="G52" i="1"/>
  <c r="K52" i="1" s="1"/>
  <c r="G53" i="1"/>
  <c r="J53" i="1" s="1"/>
  <c r="G54" i="1"/>
  <c r="J54" i="1" s="1"/>
  <c r="G55" i="1"/>
  <c r="G56" i="1"/>
  <c r="G57" i="1"/>
  <c r="G58" i="1"/>
  <c r="G59" i="1"/>
  <c r="K59" i="1" s="1"/>
  <c r="G60" i="1"/>
  <c r="K60" i="1" s="1"/>
  <c r="G61" i="1"/>
  <c r="J61" i="1" s="1"/>
  <c r="G62" i="1"/>
  <c r="J62" i="1" s="1"/>
  <c r="G63" i="1"/>
  <c r="G64" i="1"/>
  <c r="G65" i="1"/>
  <c r="G66" i="1"/>
  <c r="G67" i="1"/>
  <c r="K67" i="1" s="1"/>
  <c r="G68" i="1"/>
  <c r="K68" i="1" s="1"/>
  <c r="G69" i="1"/>
  <c r="J69" i="1" s="1"/>
  <c r="G70" i="1"/>
  <c r="J70" i="1" s="1"/>
  <c r="G71" i="1"/>
  <c r="G72" i="1"/>
  <c r="G73" i="1"/>
  <c r="G74" i="1"/>
  <c r="G75" i="1"/>
  <c r="K75" i="1" s="1"/>
  <c r="G76" i="1"/>
  <c r="K76" i="1" s="1"/>
  <c r="G77" i="1"/>
  <c r="J77" i="1" s="1"/>
  <c r="G78" i="1"/>
  <c r="J78" i="1" s="1"/>
  <c r="G79" i="1"/>
  <c r="G80" i="1"/>
  <c r="G81" i="1"/>
  <c r="G82" i="1"/>
  <c r="G83" i="1"/>
  <c r="K83" i="1" s="1"/>
  <c r="G84" i="1"/>
  <c r="K84" i="1" s="1"/>
  <c r="G85" i="1"/>
  <c r="J85" i="1" s="1"/>
  <c r="G86" i="1"/>
  <c r="J86" i="1" s="1"/>
  <c r="G87" i="1"/>
  <c r="G88" i="1"/>
  <c r="G89" i="1"/>
  <c r="G90" i="1"/>
  <c r="G91" i="1"/>
  <c r="K91" i="1" s="1"/>
  <c r="G92" i="1"/>
  <c r="K92" i="1" s="1"/>
  <c r="G93" i="1"/>
  <c r="J93" i="1" s="1"/>
  <c r="G94" i="1"/>
  <c r="J94" i="1" s="1"/>
  <c r="G95" i="1"/>
  <c r="G96" i="1"/>
  <c r="G97" i="1"/>
  <c r="G98" i="1"/>
  <c r="G99" i="1"/>
  <c r="K99" i="1" s="1"/>
  <c r="G100" i="1"/>
  <c r="K100" i="1" s="1"/>
  <c r="G101" i="1"/>
  <c r="J101" i="1" s="1"/>
  <c r="G102" i="1"/>
  <c r="J102" i="1" s="1"/>
  <c r="G103" i="1"/>
  <c r="G104" i="1"/>
  <c r="G105" i="1"/>
  <c r="G106" i="1"/>
  <c r="G107" i="1"/>
  <c r="K107" i="1" s="1"/>
  <c r="G108" i="1"/>
  <c r="K108" i="1" s="1"/>
  <c r="G109" i="1"/>
  <c r="J109" i="1" s="1"/>
  <c r="G110" i="1"/>
  <c r="J110" i="1" s="1"/>
  <c r="G111" i="1"/>
  <c r="G112" i="1"/>
  <c r="G113" i="1"/>
  <c r="G114" i="1"/>
  <c r="G115" i="1"/>
  <c r="K115" i="1" s="1"/>
  <c r="G116" i="1"/>
  <c r="K116" i="1" s="1"/>
  <c r="G117" i="1"/>
  <c r="J117" i="1" s="1"/>
  <c r="G118" i="1"/>
  <c r="J118" i="1" s="1"/>
  <c r="G119" i="1"/>
  <c r="G120" i="1"/>
  <c r="G121" i="1"/>
  <c r="G122" i="1"/>
  <c r="G123" i="1"/>
  <c r="K123" i="1" s="1"/>
  <c r="G124" i="1"/>
  <c r="K124" i="1" s="1"/>
  <c r="G125" i="1"/>
  <c r="J125" i="1" s="1"/>
  <c r="G126" i="1"/>
  <c r="G127" i="1"/>
  <c r="G128" i="1"/>
  <c r="G129" i="1"/>
  <c r="G130" i="1"/>
  <c r="G131" i="1"/>
  <c r="K131" i="1" s="1"/>
  <c r="G132" i="1"/>
  <c r="K132" i="1" s="1"/>
  <c r="G133" i="1"/>
  <c r="J133" i="1" s="1"/>
  <c r="G134" i="1"/>
  <c r="G135" i="1"/>
  <c r="G136" i="1"/>
  <c r="G137" i="1"/>
  <c r="G138" i="1"/>
  <c r="G139" i="1"/>
  <c r="K139" i="1" s="1"/>
  <c r="G140" i="1"/>
  <c r="K140" i="1" s="1"/>
  <c r="G141" i="1"/>
  <c r="J141" i="1" s="1"/>
  <c r="G142" i="1"/>
  <c r="G143" i="1"/>
  <c r="G144" i="1"/>
  <c r="G145" i="1"/>
  <c r="G146" i="1"/>
  <c r="G147" i="1"/>
  <c r="K147" i="1" s="1"/>
  <c r="G148" i="1"/>
  <c r="K148" i="1" s="1"/>
  <c r="G149" i="1"/>
  <c r="J149" i="1" s="1"/>
  <c r="G150" i="1"/>
  <c r="G151" i="1"/>
  <c r="G152" i="1"/>
  <c r="G153" i="1"/>
  <c r="G154" i="1"/>
  <c r="G155" i="1"/>
  <c r="K155" i="1" s="1"/>
  <c r="G156" i="1"/>
  <c r="K156" i="1" s="1"/>
  <c r="G157" i="1"/>
  <c r="J157" i="1" s="1"/>
  <c r="G158" i="1"/>
  <c r="G159" i="1"/>
  <c r="G160" i="1"/>
  <c r="G161" i="1"/>
  <c r="G162" i="1"/>
  <c r="G163" i="1"/>
  <c r="K163" i="1" s="1"/>
  <c r="G164" i="1"/>
  <c r="K164" i="1" s="1"/>
  <c r="G165" i="1"/>
  <c r="J165" i="1" s="1"/>
  <c r="G166" i="1"/>
  <c r="G167" i="1"/>
  <c r="G168" i="1"/>
  <c r="G169" i="1"/>
  <c r="G170" i="1"/>
  <c r="G171" i="1"/>
  <c r="K171" i="1" s="1"/>
  <c r="G172" i="1"/>
  <c r="K172" i="1" s="1"/>
  <c r="G173" i="1"/>
  <c r="J173" i="1" s="1"/>
  <c r="G174" i="1"/>
  <c r="G175" i="1"/>
  <c r="G176" i="1"/>
  <c r="G177" i="1"/>
  <c r="G178" i="1"/>
  <c r="G179" i="1"/>
  <c r="G180" i="1"/>
  <c r="G181" i="1"/>
  <c r="J181" i="1" s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AJ10" i="1" l="1"/>
  <c r="AK10" i="1" s="1"/>
  <c r="J36" i="1"/>
  <c r="I255" i="1"/>
  <c r="J99" i="1"/>
  <c r="J100" i="1"/>
  <c r="K93" i="1"/>
  <c r="J68" i="1"/>
  <c r="K29" i="1"/>
  <c r="J67" i="1"/>
  <c r="J164" i="1"/>
  <c r="J163" i="1"/>
  <c r="J35" i="1"/>
  <c r="J132" i="1"/>
  <c r="K157" i="1"/>
  <c r="J131" i="1"/>
  <c r="K125" i="1"/>
  <c r="J246" i="1"/>
  <c r="K246" i="1"/>
  <c r="J198" i="1"/>
  <c r="K198" i="1"/>
  <c r="J134" i="1"/>
  <c r="K134" i="1"/>
  <c r="J253" i="1"/>
  <c r="K253" i="1"/>
  <c r="J245" i="1"/>
  <c r="K245" i="1"/>
  <c r="J237" i="1"/>
  <c r="K237" i="1"/>
  <c r="J229" i="1"/>
  <c r="K229" i="1"/>
  <c r="J221" i="1"/>
  <c r="K221" i="1"/>
  <c r="J213" i="1"/>
  <c r="K213" i="1"/>
  <c r="J205" i="1"/>
  <c r="K205" i="1"/>
  <c r="J197" i="1"/>
  <c r="K197" i="1"/>
  <c r="J189" i="1"/>
  <c r="K189" i="1"/>
  <c r="J238" i="1"/>
  <c r="K238" i="1"/>
  <c r="J190" i="1"/>
  <c r="K190" i="1"/>
  <c r="J150" i="1"/>
  <c r="K150" i="1"/>
  <c r="K252" i="1"/>
  <c r="J252" i="1"/>
  <c r="K244" i="1"/>
  <c r="J244" i="1"/>
  <c r="K236" i="1"/>
  <c r="J236" i="1"/>
  <c r="K228" i="1"/>
  <c r="J228" i="1"/>
  <c r="K220" i="1"/>
  <c r="J220" i="1"/>
  <c r="K212" i="1"/>
  <c r="J212" i="1"/>
  <c r="K204" i="1"/>
  <c r="J204" i="1"/>
  <c r="K196" i="1"/>
  <c r="J196" i="1"/>
  <c r="K188" i="1"/>
  <c r="J188" i="1"/>
  <c r="K180" i="1"/>
  <c r="J180" i="1"/>
  <c r="J222" i="1"/>
  <c r="K222" i="1"/>
  <c r="J158" i="1"/>
  <c r="K158" i="1"/>
  <c r="K251" i="1"/>
  <c r="J251" i="1"/>
  <c r="K243" i="1"/>
  <c r="J243" i="1"/>
  <c r="K235" i="1"/>
  <c r="J235" i="1"/>
  <c r="K227" i="1"/>
  <c r="J227" i="1"/>
  <c r="K219" i="1"/>
  <c r="J219" i="1"/>
  <c r="K211" i="1"/>
  <c r="J211" i="1"/>
  <c r="K203" i="1"/>
  <c r="J203" i="1"/>
  <c r="K195" i="1"/>
  <c r="J195" i="1"/>
  <c r="K187" i="1"/>
  <c r="J187" i="1"/>
  <c r="K179" i="1"/>
  <c r="J179" i="1"/>
  <c r="J174" i="1"/>
  <c r="K174" i="1"/>
  <c r="K250" i="1"/>
  <c r="J250" i="1"/>
  <c r="K242" i="1"/>
  <c r="J242" i="1"/>
  <c r="K234" i="1"/>
  <c r="J234" i="1"/>
  <c r="K226" i="1"/>
  <c r="J226" i="1"/>
  <c r="K218" i="1"/>
  <c r="J218" i="1"/>
  <c r="K210" i="1"/>
  <c r="J210" i="1"/>
  <c r="K202" i="1"/>
  <c r="J202" i="1"/>
  <c r="K194" i="1"/>
  <c r="J194" i="1"/>
  <c r="K186" i="1"/>
  <c r="J186" i="1"/>
  <c r="K178" i="1"/>
  <c r="J178" i="1"/>
  <c r="J214" i="1"/>
  <c r="K214" i="1"/>
  <c r="J182" i="1"/>
  <c r="K182" i="1"/>
  <c r="J142" i="1"/>
  <c r="K142" i="1"/>
  <c r="K177" i="1"/>
  <c r="J177" i="1"/>
  <c r="K169" i="1"/>
  <c r="J169" i="1"/>
  <c r="K161" i="1"/>
  <c r="J161" i="1"/>
  <c r="K153" i="1"/>
  <c r="J153" i="1"/>
  <c r="K145" i="1"/>
  <c r="J145" i="1"/>
  <c r="K137" i="1"/>
  <c r="J137" i="1"/>
  <c r="K129" i="1"/>
  <c r="J129" i="1"/>
  <c r="K121" i="1"/>
  <c r="J121" i="1"/>
  <c r="K113" i="1"/>
  <c r="J113" i="1"/>
  <c r="K97" i="1"/>
  <c r="J97" i="1"/>
  <c r="K89" i="1"/>
  <c r="J89" i="1"/>
  <c r="K73" i="1"/>
  <c r="J73" i="1"/>
  <c r="K57" i="1"/>
  <c r="J57" i="1"/>
  <c r="K49" i="1"/>
  <c r="J49" i="1"/>
  <c r="K33" i="1"/>
  <c r="J33" i="1"/>
  <c r="K25" i="1"/>
  <c r="J25" i="1"/>
  <c r="K9" i="1"/>
  <c r="J9" i="1"/>
  <c r="J254" i="1"/>
  <c r="K254" i="1"/>
  <c r="J206" i="1"/>
  <c r="K206" i="1"/>
  <c r="J166" i="1"/>
  <c r="K166" i="1"/>
  <c r="J126" i="1"/>
  <c r="K126" i="1"/>
  <c r="K168" i="1"/>
  <c r="J168" i="1"/>
  <c r="K152" i="1"/>
  <c r="J152" i="1"/>
  <c r="K136" i="1"/>
  <c r="J136" i="1"/>
  <c r="K120" i="1"/>
  <c r="J120" i="1"/>
  <c r="K112" i="1"/>
  <c r="J112" i="1"/>
  <c r="K104" i="1"/>
  <c r="J104" i="1"/>
  <c r="K96" i="1"/>
  <c r="J96" i="1"/>
  <c r="K80" i="1"/>
  <c r="J80" i="1"/>
  <c r="K72" i="1"/>
  <c r="J72" i="1"/>
  <c r="K56" i="1"/>
  <c r="J56" i="1"/>
  <c r="K48" i="1"/>
  <c r="J48" i="1"/>
  <c r="K40" i="1"/>
  <c r="J40" i="1"/>
  <c r="K32" i="1"/>
  <c r="J32" i="1"/>
  <c r="K16" i="1"/>
  <c r="J16" i="1"/>
  <c r="K8" i="1"/>
  <c r="J8" i="1"/>
  <c r="J230" i="1"/>
  <c r="K230" i="1"/>
  <c r="H255" i="1"/>
  <c r="K247" i="1"/>
  <c r="J247" i="1"/>
  <c r="K239" i="1"/>
  <c r="J239" i="1"/>
  <c r="K231" i="1"/>
  <c r="J231" i="1"/>
  <c r="K223" i="1"/>
  <c r="J223" i="1"/>
  <c r="K215" i="1"/>
  <c r="J215" i="1"/>
  <c r="K207" i="1"/>
  <c r="J207" i="1"/>
  <c r="K199" i="1"/>
  <c r="J199" i="1"/>
  <c r="K191" i="1"/>
  <c r="J191" i="1"/>
  <c r="K183" i="1"/>
  <c r="J183" i="1"/>
  <c r="K175" i="1"/>
  <c r="J175" i="1"/>
  <c r="K167" i="1"/>
  <c r="J167" i="1"/>
  <c r="K159" i="1"/>
  <c r="J159" i="1"/>
  <c r="K151" i="1"/>
  <c r="J151" i="1"/>
  <c r="K143" i="1"/>
  <c r="J143" i="1"/>
  <c r="K135" i="1"/>
  <c r="J135" i="1"/>
  <c r="K127" i="1"/>
  <c r="J127" i="1"/>
  <c r="K119" i="1"/>
  <c r="J119" i="1"/>
  <c r="K111" i="1"/>
  <c r="J111" i="1"/>
  <c r="K103" i="1"/>
  <c r="J103" i="1"/>
  <c r="K95" i="1"/>
  <c r="J95" i="1"/>
  <c r="K87" i="1"/>
  <c r="J87" i="1"/>
  <c r="K79" i="1"/>
  <c r="J79" i="1"/>
  <c r="K71" i="1"/>
  <c r="J71" i="1"/>
  <c r="K63" i="1"/>
  <c r="J63" i="1"/>
  <c r="K55" i="1"/>
  <c r="J55" i="1"/>
  <c r="K47" i="1"/>
  <c r="J47" i="1"/>
  <c r="K39" i="1"/>
  <c r="J39" i="1"/>
  <c r="K31" i="1"/>
  <c r="J31" i="1"/>
  <c r="K23" i="1"/>
  <c r="J23" i="1"/>
  <c r="K15" i="1"/>
  <c r="J15" i="1"/>
  <c r="K7" i="1"/>
  <c r="J7" i="1"/>
  <c r="K249" i="1"/>
  <c r="J249" i="1"/>
  <c r="K241" i="1"/>
  <c r="J241" i="1"/>
  <c r="K233" i="1"/>
  <c r="J233" i="1"/>
  <c r="K225" i="1"/>
  <c r="J225" i="1"/>
  <c r="K217" i="1"/>
  <c r="J217" i="1"/>
  <c r="K209" i="1"/>
  <c r="J209" i="1"/>
  <c r="K201" i="1"/>
  <c r="J201" i="1"/>
  <c r="K193" i="1"/>
  <c r="J193" i="1"/>
  <c r="K185" i="1"/>
  <c r="J185" i="1"/>
  <c r="K176" i="1"/>
  <c r="J176" i="1"/>
  <c r="K160" i="1"/>
  <c r="J160" i="1"/>
  <c r="K144" i="1"/>
  <c r="J144" i="1"/>
  <c r="K128" i="1"/>
  <c r="J128" i="1"/>
  <c r="K88" i="1"/>
  <c r="J88" i="1"/>
  <c r="K65" i="1"/>
  <c r="J65" i="1"/>
  <c r="K24" i="1"/>
  <c r="J24" i="1"/>
  <c r="K94" i="1"/>
  <c r="K62" i="1"/>
  <c r="K30" i="1"/>
  <c r="K224" i="1"/>
  <c r="J224" i="1"/>
  <c r="K184" i="1"/>
  <c r="J184" i="1"/>
  <c r="K64" i="1"/>
  <c r="J64" i="1"/>
  <c r="K81" i="1"/>
  <c r="J81" i="1"/>
  <c r="K17" i="1"/>
  <c r="J17" i="1"/>
  <c r="J156" i="1"/>
  <c r="J124" i="1"/>
  <c r="J92" i="1"/>
  <c r="J60" i="1"/>
  <c r="J28" i="1"/>
  <c r="K118" i="1"/>
  <c r="K86" i="1"/>
  <c r="K54" i="1"/>
  <c r="K22" i="1"/>
  <c r="J155" i="1"/>
  <c r="J123" i="1"/>
  <c r="J91" i="1"/>
  <c r="J59" i="1"/>
  <c r="J27" i="1"/>
  <c r="K181" i="1"/>
  <c r="K149" i="1"/>
  <c r="K117" i="1"/>
  <c r="K85" i="1"/>
  <c r="K53" i="1"/>
  <c r="K21" i="1"/>
  <c r="K240" i="1"/>
  <c r="J240" i="1"/>
  <c r="K208" i="1"/>
  <c r="J208" i="1"/>
  <c r="K105" i="1"/>
  <c r="J105" i="1"/>
  <c r="J148" i="1"/>
  <c r="J116" i="1"/>
  <c r="J84" i="1"/>
  <c r="J52" i="1"/>
  <c r="J20" i="1"/>
  <c r="K110" i="1"/>
  <c r="K78" i="1"/>
  <c r="K46" i="1"/>
  <c r="K14" i="1"/>
  <c r="K248" i="1"/>
  <c r="J248" i="1"/>
  <c r="K200" i="1"/>
  <c r="J200" i="1"/>
  <c r="K41" i="1"/>
  <c r="J41" i="1"/>
  <c r="K170" i="1"/>
  <c r="J170" i="1"/>
  <c r="K162" i="1"/>
  <c r="J162" i="1"/>
  <c r="K154" i="1"/>
  <c r="J154" i="1"/>
  <c r="K146" i="1"/>
  <c r="J146" i="1"/>
  <c r="K138" i="1"/>
  <c r="J138" i="1"/>
  <c r="K130" i="1"/>
  <c r="J130" i="1"/>
  <c r="K122" i="1"/>
  <c r="J122" i="1"/>
  <c r="K114" i="1"/>
  <c r="J114" i="1"/>
  <c r="K106" i="1"/>
  <c r="J106" i="1"/>
  <c r="K98" i="1"/>
  <c r="J98" i="1"/>
  <c r="K90" i="1"/>
  <c r="J90" i="1"/>
  <c r="K82" i="1"/>
  <c r="J82" i="1"/>
  <c r="K74" i="1"/>
  <c r="J74" i="1"/>
  <c r="K66" i="1"/>
  <c r="J66" i="1"/>
  <c r="K58" i="1"/>
  <c r="J58" i="1"/>
  <c r="K50" i="1"/>
  <c r="J50" i="1"/>
  <c r="K42" i="1"/>
  <c r="J42" i="1"/>
  <c r="K34" i="1"/>
  <c r="J34" i="1"/>
  <c r="K26" i="1"/>
  <c r="J26" i="1"/>
  <c r="K18" i="1"/>
  <c r="J18" i="1"/>
  <c r="K10" i="1"/>
  <c r="J10" i="1"/>
  <c r="J147" i="1"/>
  <c r="J115" i="1"/>
  <c r="J83" i="1"/>
  <c r="J51" i="1"/>
  <c r="J19" i="1"/>
  <c r="K173" i="1"/>
  <c r="K141" i="1"/>
  <c r="K109" i="1"/>
  <c r="K77" i="1"/>
  <c r="K45" i="1"/>
  <c r="K13" i="1"/>
  <c r="K216" i="1"/>
  <c r="J216" i="1"/>
  <c r="J172" i="1"/>
  <c r="J140" i="1"/>
  <c r="J108" i="1"/>
  <c r="J76" i="1"/>
  <c r="J44" i="1"/>
  <c r="J12" i="1"/>
  <c r="K102" i="1"/>
  <c r="K70" i="1"/>
  <c r="K38" i="1"/>
  <c r="K6" i="1"/>
  <c r="K232" i="1"/>
  <c r="J232" i="1"/>
  <c r="K192" i="1"/>
  <c r="J192" i="1"/>
  <c r="J171" i="1"/>
  <c r="J139" i="1"/>
  <c r="J107" i="1"/>
  <c r="J75" i="1"/>
  <c r="J43" i="1"/>
  <c r="J11" i="1"/>
  <c r="K165" i="1"/>
  <c r="K133" i="1"/>
  <c r="K101" i="1"/>
  <c r="K69" i="1"/>
  <c r="K37" i="1"/>
  <c r="K255" i="2"/>
  <c r="I255" i="2"/>
  <c r="J255" i="2"/>
  <c r="J255" i="1" l="1"/>
  <c r="K255" i="1"/>
  <c r="E264" i="2" l="1"/>
  <c r="E263" i="2"/>
  <c r="C115" i="3" l="1"/>
  <c r="B114" i="3"/>
  <c r="K8" i="3" s="1"/>
  <c r="E5" i="3" l="1"/>
  <c r="F5" i="3" s="1"/>
  <c r="E9" i="3"/>
  <c r="F9" i="3" s="1"/>
  <c r="E13" i="3"/>
  <c r="F13" i="3" s="1"/>
  <c r="E17" i="3"/>
  <c r="F17" i="3" s="1"/>
  <c r="E21" i="3"/>
  <c r="F21" i="3" s="1"/>
  <c r="E25" i="3"/>
  <c r="F25" i="3" s="1"/>
  <c r="E29" i="3"/>
  <c r="F29" i="3" s="1"/>
  <c r="E33" i="3"/>
  <c r="F33" i="3" s="1"/>
  <c r="E41" i="3"/>
  <c r="F41" i="3" s="1"/>
  <c r="E45" i="3"/>
  <c r="F45" i="3" s="1"/>
  <c r="E49" i="3"/>
  <c r="F49" i="3" s="1"/>
  <c r="E65" i="3"/>
  <c r="F65" i="3" s="1"/>
  <c r="E73" i="3"/>
  <c r="F73" i="3" s="1"/>
  <c r="E89" i="3"/>
  <c r="F89" i="3" s="1"/>
  <c r="E70" i="3"/>
  <c r="F70" i="3" s="1"/>
  <c r="E94" i="3"/>
  <c r="F94" i="3" s="1"/>
  <c r="E82" i="3"/>
  <c r="F82" i="3" s="1"/>
  <c r="F2" i="3"/>
  <c r="E6" i="3"/>
  <c r="F6" i="3" s="1"/>
  <c r="E10" i="3"/>
  <c r="F10" i="3" s="1"/>
  <c r="E14" i="3"/>
  <c r="F14" i="3" s="1"/>
  <c r="E18" i="3"/>
  <c r="F18" i="3" s="1"/>
  <c r="E22" i="3"/>
  <c r="F22" i="3" s="1"/>
  <c r="E26" i="3"/>
  <c r="F26" i="3" s="1"/>
  <c r="E30" i="3"/>
  <c r="F30" i="3" s="1"/>
  <c r="E34" i="3"/>
  <c r="F34" i="3" s="1"/>
  <c r="E38" i="3"/>
  <c r="F38" i="3" s="1"/>
  <c r="E42" i="3"/>
  <c r="F42" i="3" s="1"/>
  <c r="E46" i="3"/>
  <c r="F46" i="3" s="1"/>
  <c r="E50" i="3"/>
  <c r="F50" i="3" s="1"/>
  <c r="E54" i="3"/>
  <c r="F54" i="3" s="1"/>
  <c r="E58" i="3"/>
  <c r="F58" i="3" s="1"/>
  <c r="E86" i="3"/>
  <c r="F86" i="3" s="1"/>
  <c r="E83" i="3"/>
  <c r="F83" i="3" s="1"/>
  <c r="E99" i="3"/>
  <c r="F99" i="3" s="1"/>
  <c r="E12" i="3"/>
  <c r="F12" i="3" s="1"/>
  <c r="E20" i="3"/>
  <c r="F20" i="3" s="1"/>
  <c r="E36" i="3"/>
  <c r="F36" i="3" s="1"/>
  <c r="E52" i="3"/>
  <c r="F52" i="3" s="1"/>
  <c r="E64" i="3"/>
  <c r="F64" i="3" s="1"/>
  <c r="E76" i="3"/>
  <c r="F76" i="3" s="1"/>
  <c r="E88" i="3"/>
  <c r="F88" i="3" s="1"/>
  <c r="E100" i="3"/>
  <c r="F100" i="3" s="1"/>
  <c r="E61" i="3"/>
  <c r="F61" i="3" s="1"/>
  <c r="E81" i="3"/>
  <c r="F81" i="3" s="1"/>
  <c r="E101" i="3"/>
  <c r="F101" i="3" s="1"/>
  <c r="E66" i="3"/>
  <c r="F66" i="3" s="1"/>
  <c r="E3" i="3"/>
  <c r="F3" i="3" s="1"/>
  <c r="E7" i="3"/>
  <c r="F7" i="3" s="1"/>
  <c r="E11" i="3"/>
  <c r="F11" i="3" s="1"/>
  <c r="E15" i="3"/>
  <c r="F15" i="3" s="1"/>
  <c r="E19" i="3"/>
  <c r="F19" i="3" s="1"/>
  <c r="E23" i="3"/>
  <c r="F23" i="3" s="1"/>
  <c r="E27" i="3"/>
  <c r="F27" i="3" s="1"/>
  <c r="E31" i="3"/>
  <c r="F31" i="3" s="1"/>
  <c r="E35" i="3"/>
  <c r="F35" i="3" s="1"/>
  <c r="E39" i="3"/>
  <c r="F39" i="3" s="1"/>
  <c r="E43" i="3"/>
  <c r="F43" i="3" s="1"/>
  <c r="E47" i="3"/>
  <c r="F47" i="3" s="1"/>
  <c r="E51" i="3"/>
  <c r="F51" i="3" s="1"/>
  <c r="E55" i="3"/>
  <c r="F55" i="3" s="1"/>
  <c r="E59" i="3"/>
  <c r="F59" i="3" s="1"/>
  <c r="E63" i="3"/>
  <c r="F63" i="3" s="1"/>
  <c r="E67" i="3"/>
  <c r="F67" i="3" s="1"/>
  <c r="E71" i="3"/>
  <c r="F71" i="3" s="1"/>
  <c r="E75" i="3"/>
  <c r="F75" i="3" s="1"/>
  <c r="E79" i="3"/>
  <c r="F79" i="3" s="1"/>
  <c r="E87" i="3"/>
  <c r="F87" i="3" s="1"/>
  <c r="E91" i="3"/>
  <c r="F91" i="3" s="1"/>
  <c r="E95" i="3"/>
  <c r="F95" i="3" s="1"/>
  <c r="E8" i="3"/>
  <c r="F8" i="3" s="1"/>
  <c r="E24" i="3"/>
  <c r="F24" i="3" s="1"/>
  <c r="E32" i="3"/>
  <c r="F32" i="3" s="1"/>
  <c r="E48" i="3"/>
  <c r="F48" i="3" s="1"/>
  <c r="E60" i="3"/>
  <c r="F60" i="3" s="1"/>
  <c r="E72" i="3"/>
  <c r="F72" i="3" s="1"/>
  <c r="E84" i="3"/>
  <c r="F84" i="3" s="1"/>
  <c r="E96" i="3"/>
  <c r="F96" i="3" s="1"/>
  <c r="E57" i="3"/>
  <c r="F57" i="3" s="1"/>
  <c r="E85" i="3"/>
  <c r="F85" i="3" s="1"/>
  <c r="E78" i="3"/>
  <c r="F78" i="3" s="1"/>
  <c r="E102" i="3"/>
  <c r="F102" i="3" s="1"/>
  <c r="E4" i="3"/>
  <c r="F4" i="3" s="1"/>
  <c r="E16" i="3"/>
  <c r="F16" i="3" s="1"/>
  <c r="E28" i="3"/>
  <c r="F28" i="3" s="1"/>
  <c r="E40" i="3"/>
  <c r="F40" i="3" s="1"/>
  <c r="E44" i="3"/>
  <c r="F44" i="3" s="1"/>
  <c r="E56" i="3"/>
  <c r="F56" i="3" s="1"/>
  <c r="E68" i="3"/>
  <c r="F68" i="3" s="1"/>
  <c r="E80" i="3"/>
  <c r="F80" i="3" s="1"/>
  <c r="E92" i="3"/>
  <c r="F92" i="3" s="1"/>
  <c r="E53" i="3"/>
  <c r="F53" i="3" s="1"/>
  <c r="E77" i="3"/>
  <c r="F77" i="3" s="1"/>
  <c r="E97" i="3"/>
  <c r="F97" i="3" s="1"/>
  <c r="E74" i="3"/>
  <c r="F74" i="3" s="1"/>
  <c r="E90" i="3"/>
  <c r="F90" i="3" s="1"/>
  <c r="E37" i="3"/>
  <c r="F37" i="3" s="1"/>
  <c r="E69" i="3"/>
  <c r="F69" i="3" s="1"/>
  <c r="E93" i="3"/>
  <c r="F93" i="3" s="1"/>
  <c r="E62" i="3"/>
  <c r="F62" i="3" s="1"/>
  <c r="E98" i="3"/>
  <c r="F98" i="3" s="1"/>
  <c r="G18" i="3" l="1"/>
  <c r="G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79292</author>
  </authors>
  <commentList>
    <comment ref="Q19" authorId="0" shapeId="0" xr:uid="{B28AA0D0-79BF-43B3-A591-F749DD6B16BF}">
      <text>
        <r>
          <rPr>
            <b/>
            <sz val="9"/>
            <color indexed="81"/>
            <rFont val="Tahoma"/>
            <family val="2"/>
            <charset val="204"/>
          </rPr>
          <t>79292:</t>
        </r>
        <r>
          <rPr>
            <sz val="9"/>
            <color indexed="81"/>
            <rFont val="Tahoma"/>
            <family val="2"/>
            <charset val="204"/>
          </rPr>
          <t xml:space="preserve">
Среднее значение первых Ист.наблюдений (мин.)</t>
        </r>
      </text>
    </comment>
    <comment ref="Y19" authorId="0" shapeId="0" xr:uid="{7F91F75C-EAF2-4CF4-A3BD-7FFEB02C1B7F}">
      <text>
        <r>
          <rPr>
            <b/>
            <sz val="9"/>
            <color indexed="81"/>
            <rFont val="Tahoma"/>
            <family val="2"/>
            <charset val="204"/>
          </rPr>
          <t>79292:</t>
        </r>
        <r>
          <rPr>
            <sz val="9"/>
            <color indexed="81"/>
            <rFont val="Tahoma"/>
            <family val="2"/>
            <charset val="204"/>
          </rPr>
          <t xml:space="preserve">
Среднее значение первых Ист.наблюдений (мин.)</t>
        </r>
      </text>
    </comment>
    <comment ref="AJ19" authorId="0" shapeId="0" xr:uid="{590C634B-E12D-414A-B184-C3B9E34F3F0F}">
      <text>
        <r>
          <rPr>
            <b/>
            <sz val="9"/>
            <color indexed="81"/>
            <rFont val="Tahoma"/>
            <family val="2"/>
            <charset val="204"/>
          </rPr>
          <t>79292:</t>
        </r>
        <r>
          <rPr>
            <sz val="9"/>
            <color indexed="81"/>
            <rFont val="Tahoma"/>
            <family val="2"/>
            <charset val="204"/>
          </rPr>
          <t xml:space="preserve">
Среднее значение первых Ист.наблюдений (мин.)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79292</author>
  </authors>
  <commentList>
    <comment ref="Q19" authorId="0" shapeId="0" xr:uid="{00AC89FA-C328-4630-B76C-7D64786CE0FC}">
      <text>
        <r>
          <rPr>
            <b/>
            <sz val="9"/>
            <color indexed="81"/>
            <rFont val="Tahoma"/>
            <family val="2"/>
            <charset val="204"/>
          </rPr>
          <t>79292:</t>
        </r>
        <r>
          <rPr>
            <sz val="9"/>
            <color indexed="81"/>
            <rFont val="Tahoma"/>
            <family val="2"/>
            <charset val="204"/>
          </rPr>
          <t xml:space="preserve">
Среднее значение первых Ист.наблюдений (мин.)</t>
        </r>
      </text>
    </comment>
    <comment ref="Y19" authorId="0" shapeId="0" xr:uid="{FBD36E34-5AC2-4260-80CB-2125D71E3941}">
      <text>
        <r>
          <rPr>
            <b/>
            <sz val="9"/>
            <color indexed="81"/>
            <rFont val="Tahoma"/>
            <family val="2"/>
            <charset val="204"/>
          </rPr>
          <t>79292:</t>
        </r>
        <r>
          <rPr>
            <sz val="9"/>
            <color indexed="81"/>
            <rFont val="Tahoma"/>
            <family val="2"/>
            <charset val="204"/>
          </rPr>
          <t xml:space="preserve">
Среднее значение первых Ист.наблюдений (мин.)</t>
        </r>
      </text>
    </comment>
    <comment ref="AJ19" authorId="0" shapeId="0" xr:uid="{5FBFCC7A-40B4-4BC1-B880-9907F78CA1C6}">
      <text>
        <r>
          <rPr>
            <b/>
            <sz val="9"/>
            <color indexed="81"/>
            <rFont val="Tahoma"/>
            <family val="2"/>
            <charset val="204"/>
          </rPr>
          <t>79292:</t>
        </r>
        <r>
          <rPr>
            <sz val="9"/>
            <color indexed="81"/>
            <rFont val="Tahoma"/>
            <family val="2"/>
            <charset val="204"/>
          </rPr>
          <t xml:space="preserve">
Среднее значение первых Ист.наблюдений (мин.)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79292</author>
  </authors>
  <commentList>
    <comment ref="H8" authorId="0" shapeId="0" xr:uid="{810833B4-413F-4455-8215-53A4BCE43C3B}">
      <text>
        <r>
          <rPr>
            <b/>
            <sz val="9"/>
            <color indexed="81"/>
            <rFont val="Tahoma"/>
            <family val="2"/>
            <charset val="204"/>
          </rPr>
          <t>79292:</t>
        </r>
        <r>
          <rPr>
            <sz val="9"/>
            <color indexed="81"/>
            <rFont val="Tahoma"/>
            <family val="2"/>
            <charset val="204"/>
          </rPr>
          <t xml:space="preserve">
Поиск решения</t>
        </r>
      </text>
    </comment>
    <comment ref="I8" authorId="0" shapeId="0" xr:uid="{84AC21AB-95A1-4611-9285-BE9E168373F0}">
      <text>
        <r>
          <rPr>
            <b/>
            <sz val="9"/>
            <color indexed="81"/>
            <rFont val="Tahoma"/>
            <family val="2"/>
            <charset val="204"/>
          </rPr>
          <t>79292:</t>
        </r>
        <r>
          <rPr>
            <sz val="9"/>
            <color indexed="81"/>
            <rFont val="Tahoma"/>
            <family val="2"/>
            <charset val="204"/>
          </rPr>
          <t xml:space="preserve">
Поиск решения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79292</author>
  </authors>
  <commentList>
    <comment ref="S28" authorId="0" shapeId="0" xr:uid="{004C8E4E-CC47-4239-8ED3-311EAA118549}">
      <text>
        <r>
          <rPr>
            <b/>
            <sz val="9"/>
            <color indexed="81"/>
            <rFont val="Tahoma"/>
            <family val="2"/>
            <charset val="204"/>
          </rPr>
          <t>79292:</t>
        </r>
        <r>
          <rPr>
            <sz val="9"/>
            <color indexed="81"/>
            <rFont val="Tahoma"/>
            <family val="2"/>
            <charset val="204"/>
          </rPr>
          <t xml:space="preserve">
Среднее значение первых Ист.наблюдений (мин.)</t>
        </r>
      </text>
    </comment>
    <comment ref="AA28" authorId="0" shapeId="0" xr:uid="{4F88382B-98B0-4E0D-9736-37D7244AC7C0}">
      <text>
        <r>
          <rPr>
            <b/>
            <sz val="9"/>
            <color indexed="81"/>
            <rFont val="Tahoma"/>
            <family val="2"/>
            <charset val="204"/>
          </rPr>
          <t>79292:</t>
        </r>
        <r>
          <rPr>
            <sz val="9"/>
            <color indexed="81"/>
            <rFont val="Tahoma"/>
            <family val="2"/>
            <charset val="204"/>
          </rPr>
          <t xml:space="preserve">
Среднее значение первых Ист.наблюдений (мин.)</t>
        </r>
      </text>
    </comment>
    <comment ref="AL28" authorId="0" shapeId="0" xr:uid="{F2ACE126-2439-4CF5-BF84-D929A097684F}">
      <text>
        <r>
          <rPr>
            <b/>
            <sz val="9"/>
            <color indexed="81"/>
            <rFont val="Tahoma"/>
            <family val="2"/>
            <charset val="204"/>
          </rPr>
          <t>79292:</t>
        </r>
        <r>
          <rPr>
            <sz val="9"/>
            <color indexed="81"/>
            <rFont val="Tahoma"/>
            <family val="2"/>
            <charset val="204"/>
          </rPr>
          <t xml:space="preserve">
Среднее значение первых Ист.наблюдений (мин.)</t>
        </r>
      </text>
    </comment>
  </commentList>
</comments>
</file>

<file path=xl/sharedStrings.xml><?xml version="1.0" encoding="utf-8"?>
<sst xmlns="http://schemas.openxmlformats.org/spreadsheetml/2006/main" count="431" uniqueCount="151">
  <si>
    <t>Y^2</t>
  </si>
  <si>
    <t>X^2</t>
  </si>
  <si>
    <t>Y*X</t>
  </si>
  <si>
    <t>Сумма</t>
  </si>
  <si>
    <t>Дата</t>
  </si>
  <si>
    <t>Апостериорная характеристическая линия для акции Сургутнефтегаз об</t>
  </si>
  <si>
    <t>Количество наблюдений</t>
  </si>
  <si>
    <t>Бета</t>
  </si>
  <si>
    <t>Альфа</t>
  </si>
  <si>
    <t>Стандартное отклонение случайно погрешности</t>
  </si>
  <si>
    <t>Стандартная ошибка беты</t>
  </si>
  <si>
    <t>Стандартная ошибка альфы</t>
  </si>
  <si>
    <t>Коэффициент корреляции</t>
  </si>
  <si>
    <t>Коэффициент детерминации</t>
  </si>
  <si>
    <t>Коэффициент непределенности</t>
  </si>
  <si>
    <t>Положительна, хорошо, по данному активу фактическая доходность больше, чем ожидаемая</t>
  </si>
  <si>
    <t>Высокая ошибка, с учетом низкой доходности акции</t>
  </si>
  <si>
    <t>Расчет VAR и ES (все приросты)</t>
  </si>
  <si>
    <t>Среднее</t>
  </si>
  <si>
    <t>Станд.отклонение</t>
  </si>
  <si>
    <t>Квантиль распределения</t>
  </si>
  <si>
    <t>Ист.наблюдение (мин.) №</t>
  </si>
  <si>
    <t>Ист.наблюдение (макс.) №</t>
  </si>
  <si>
    <t>Ист.наблюдение (точное) №</t>
  </si>
  <si>
    <t>Ист.наблюдение (мин.)</t>
  </si>
  <si>
    <t>Ист.наблюдение (макс.)</t>
  </si>
  <si>
    <t>Expected Shortfall</t>
  </si>
  <si>
    <t>Rt</t>
  </si>
  <si>
    <t>VAR (1, 95%)</t>
  </si>
  <si>
    <t>C вероятность 95% убыток не превысит 1,94 руб.</t>
  </si>
  <si>
    <t>251 дата</t>
  </si>
  <si>
    <t>250 доходностей</t>
  </si>
  <si>
    <t>Исторический VAR (1, 95%)</t>
  </si>
  <si>
    <t>руб.</t>
  </si>
  <si>
    <t>Потенциальный размер убытка, если он превысит VaR, составит 2,54 руб.</t>
  </si>
  <si>
    <t>C вероятность 95% убыток не превысит 2,03 руб.</t>
  </si>
  <si>
    <t>C вероятность 95% убыток не превысит 2,20 руб.</t>
  </si>
  <si>
    <t>Потенциальный размер убытка, если он превысит VaR, составит 3,14 руб.</t>
  </si>
  <si>
    <t>Расчет VAR и ES (отрицательные приросты)</t>
  </si>
  <si>
    <t>Цена акции SNGS</t>
  </si>
  <si>
    <t>Цена FXGD ETF</t>
  </si>
  <si>
    <t>Избыточная дох-ть FXGD ETF, % (Y)</t>
  </si>
  <si>
    <t>Доходность FXGD ETF, %</t>
  </si>
  <si>
    <t>Безрисковая доходность MosPrime Rate, %</t>
  </si>
  <si>
    <t>Доходность акции SNGS, %</t>
  </si>
  <si>
    <t>Избыточная дох-ть акции SNGS, % (Y)</t>
  </si>
  <si>
    <t>Значение бенчмарка IMOEX</t>
  </si>
  <si>
    <t>Доходность бенчмарка IMOEX,%</t>
  </si>
  <si>
    <t>Избыточная дох-ть бенчмарка IMOEX,% (X)</t>
  </si>
  <si>
    <r>
      <t>Избыточная дох-ть бенчмарка I</t>
    </r>
    <r>
      <rPr>
        <sz val="11"/>
        <color theme="1"/>
        <rFont val="Calibri"/>
        <family val="2"/>
        <charset val="204"/>
        <scheme val="minor"/>
      </rPr>
      <t>MOEX, %</t>
    </r>
    <r>
      <rPr>
        <sz val="11"/>
        <color theme="1"/>
        <rFont val="Calibri"/>
        <family val="2"/>
        <scheme val="minor"/>
      </rPr>
      <t xml:space="preserve"> (X)</t>
    </r>
  </si>
  <si>
    <t>Актив изменяется быстрее, чем рынок (бенчмарк)</t>
  </si>
  <si>
    <t>61% осталось не объяснено</t>
  </si>
  <si>
    <t>Когда изменения рынка положительны, изменения цены актива склонны быть отрицательными</t>
  </si>
  <si>
    <t>Низкое отрицательное значение, величина избыточной доходности ETF физического золота слабо зависит от избыточной доходности МосБиржи</t>
  </si>
  <si>
    <t>C вероятность 95% убыток не превысит 15,29 руб.</t>
  </si>
  <si>
    <t>C вероятность 95% убыток не превысит 14,88 руб.</t>
  </si>
  <si>
    <t>Потенциальный размер убытка, если он превысит VaR, составит 19,28 руб.</t>
  </si>
  <si>
    <t>C вероятность 95% убыток не превысит 16,23 руб.</t>
  </si>
  <si>
    <t>C вероятность 95% убыток не превысит 17,86 руб.</t>
  </si>
  <si>
    <t>Потенциальный размер убытка, если он превысит VaR, составит 23,44 руб.</t>
  </si>
  <si>
    <t>Расчет VAR и ES (все приросты без учета знака)</t>
  </si>
  <si>
    <t>C вероятность 95% убыток или прибыль не превысит 47,95 руб.</t>
  </si>
  <si>
    <t>C вероятность 95% убыток или прибыль не превысит 2,36 руб.</t>
  </si>
  <si>
    <t>C вероятность 95% убыток или прибыль не превысит 2,90 руб.</t>
  </si>
  <si>
    <t>Потенциальный размер убытка или прибыли, если он превысит VaR, составит 2,90 руб.</t>
  </si>
  <si>
    <t>C вероятность 95% убыток или прибыль не превысит 59,07 руб.</t>
  </si>
  <si>
    <t>Потенциальный размер убытка или прибыли, если он превысит VaR, составит 79,42 руб.</t>
  </si>
  <si>
    <t>Акция SNGS</t>
  </si>
  <si>
    <t>FXGD ETF</t>
  </si>
  <si>
    <t>Риск</t>
  </si>
  <si>
    <t>Доходносить портфеля</t>
  </si>
  <si>
    <t>Мат ожидание доходности акции</t>
  </si>
  <si>
    <t>Мат ожидание доходности ETF</t>
  </si>
  <si>
    <t>SNGS</t>
  </si>
  <si>
    <t>r</t>
  </si>
  <si>
    <t>b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</si>
  <si>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</si>
  <si>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</si>
  <si>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</si>
  <si>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</si>
  <si>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</si>
  <si>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</si>
  <si>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</si>
  <si>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</si>
  <si>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</si>
  <si>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</si>
  <si>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</si>
  <si>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</si>
  <si>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</si>
  <si>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</si>
  <si>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</si>
  <si>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</si>
  <si>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</si>
  <si>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</si>
  <si>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</si>
  <si>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</si>
  <si>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</si>
  <si>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</si>
  <si>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</si>
  <si>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</si>
  <si>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</si>
  <si>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t>Бета портфеля</t>
  </si>
  <si>
    <t>Ковариация доходностей активов</t>
  </si>
  <si>
    <t>Риск портфеля Sx^2 (через cov)</t>
  </si>
  <si>
    <t>коррел</t>
  </si>
  <si>
    <t>Риск портфеля Sx (через cov)</t>
  </si>
  <si>
    <t>Для 2-ух данных активов риск (стд.откл.) находится в пределах [10,43%; 30,88%]</t>
  </si>
  <si>
    <t>Для нахождения эффективного портфеля зафиксируем величину риска на уровне 25% и найдем веса активов</t>
  </si>
  <si>
    <t>Эффективный портфель при риске 25%</t>
  </si>
  <si>
    <t>Предположим, что мы вложили в портфель 1 000 000 руб.</t>
  </si>
  <si>
    <t>Проведем бэктестинг</t>
  </si>
  <si>
    <t>Апостериорная характеристическая линия для ETF на физическое золото</t>
  </si>
  <si>
    <t>Апостериорная характеристическая линия для портфеля</t>
  </si>
  <si>
    <t>Стоимость портфеля</t>
  </si>
  <si>
    <t>Избыточная дох-ть портфеля, % (Y)</t>
  </si>
  <si>
    <t>Прирост,%</t>
  </si>
  <si>
    <t>FXGD</t>
  </si>
  <si>
    <t>Доля</t>
  </si>
  <si>
    <t>Стоимость</t>
  </si>
  <si>
    <t>Вложено</t>
  </si>
  <si>
    <t>Количество изначально</t>
  </si>
  <si>
    <t>Доходность портфеля,%</t>
  </si>
  <si>
    <t>Безрисковая доходность MosPrime Rate (дневная), %</t>
  </si>
  <si>
    <t>Безрисковая годовая</t>
  </si>
  <si>
    <t>Безрисковая дневная</t>
  </si>
  <si>
    <t>Положительна, хорошо, по данному активу фактическая доходность выше, чем ожидаемая</t>
  </si>
  <si>
    <t>Среднее значение, величина избыточной доходности акции Сургутнефтегаза зависит от избыточной доходности МосБиржи на 62%</t>
  </si>
  <si>
    <t>91% осталост не объяснено</t>
  </si>
  <si>
    <t>Модель объясняет изменение прогнозируемой величины (избыточную доходность FXGD ETF) плохо</t>
  </si>
  <si>
    <t>Модель объясняет изменение прогнозируемой величины (избыточную доходность Сургутнефтегаза) на 39%</t>
  </si>
  <si>
    <t>Актив изменяется почти так же как и рынок (бенчмарк)</t>
  </si>
  <si>
    <t>Положительна, хорошо, по данному портфелю фактическая доходность выше , чем ожидаемая</t>
  </si>
  <si>
    <t>Высокая ошибка, с учетом низкой доходности портфеля</t>
  </si>
  <si>
    <t>Среднее значение, величина избыточной доходности портфеля зависит от избыточной доходности МосБиржи на 59%</t>
  </si>
  <si>
    <t>Модель объясняет изменение прогнозируемой величины (избыточная доходность портфеля) на 35%</t>
  </si>
  <si>
    <t>65% осталось не объяснено</t>
  </si>
  <si>
    <t>C вероятность 95% убыток не превысит 61879,62 руб.</t>
  </si>
  <si>
    <t>C вероятность 95% убыток не превысит 55332,25 руб.</t>
  </si>
  <si>
    <t>Потенциальный размер убытка, если он превысит VaR, составит 81089,07 руб.</t>
  </si>
  <si>
    <t>C вероятность 95% убыток не превысит 64045,01 руб.</t>
  </si>
  <si>
    <t>C вероятность 95% убыток не превысит 69399,24 руб.</t>
  </si>
  <si>
    <t>Потенциальный размер убытка, если он превысит VaR, составит 99536,23 руб.</t>
  </si>
  <si>
    <t>C вероятность 95% убыток или прибыль не превысит 75387,53 руб.</t>
  </si>
  <si>
    <t>C вероятность 95% убыток или прибыль не превысит 97416,08 руб.</t>
  </si>
  <si>
    <t>Потенциальный размер убытка или прибыли, если он превысит VaR, составит 124907,47 руб.</t>
  </si>
  <si>
    <t>Коэффициент Шарпа</t>
  </si>
  <si>
    <t>Коэффициент Тейнера</t>
  </si>
  <si>
    <t>Return replacement</t>
  </si>
  <si>
    <t>годовое отношение/убытки</t>
  </si>
  <si>
    <t>a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</si>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</sst>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#,##0.00\ &quot;₽&quot;"/>
    <numFmt numFmtId="165" formatCode="0.000"/>
    <numFmt numFmtId="166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2" fontId="0" fillId="0" borderId="1" xfId="0" applyNumberFormat="1" applyBorder="1"/>
    <xf numFmtId="0" fontId="3" fillId="0" borderId="1" xfId="0" applyFont="1" applyBorder="1"/>
    <xf numFmtId="2" fontId="3" fillId="0" borderId="1" xfId="0" applyNumberFormat="1" applyFont="1" applyBorder="1"/>
    <xf numFmtId="0" fontId="0" fillId="0" borderId="0" xfId="0" applyAlignment="1">
      <alignment wrapText="1"/>
    </xf>
    <xf numFmtId="10" fontId="0" fillId="0" borderId="0" xfId="0" applyNumberFormat="1"/>
    <xf numFmtId="2" fontId="0" fillId="0" borderId="0" xfId="0" applyNumberFormat="1"/>
    <xf numFmtId="14" fontId="0" fillId="0" borderId="1" xfId="0" applyNumberFormat="1" applyBorder="1"/>
    <xf numFmtId="2" fontId="0" fillId="0" borderId="1" xfId="0" applyNumberFormat="1" applyBorder="1" applyAlignment="1">
      <alignment vertical="center" wrapText="1"/>
    </xf>
    <xf numFmtId="164" fontId="0" fillId="0" borderId="1" xfId="0" applyNumberFormat="1" applyBorder="1"/>
    <xf numFmtId="0" fontId="0" fillId="0" borderId="2" xfId="0" applyBorder="1"/>
    <xf numFmtId="10" fontId="0" fillId="0" borderId="0" xfId="1" applyNumberFormat="1" applyFont="1" applyBorder="1"/>
    <xf numFmtId="0" fontId="0" fillId="2" borderId="3" xfId="0" applyFill="1" applyBorder="1"/>
    <xf numFmtId="10" fontId="0" fillId="2" borderId="3" xfId="1" applyNumberFormat="1" applyFont="1" applyFill="1" applyBorder="1"/>
    <xf numFmtId="2" fontId="0" fillId="2" borderId="3" xfId="0" applyNumberFormat="1" applyFill="1" applyBorder="1"/>
    <xf numFmtId="9" fontId="0" fillId="0" borderId="2" xfId="0" applyNumberFormat="1" applyBorder="1"/>
    <xf numFmtId="10" fontId="0" fillId="3" borderId="3" xfId="1" applyNumberFormat="1" applyFont="1" applyFill="1" applyBorder="1"/>
    <xf numFmtId="0" fontId="0" fillId="2" borderId="4" xfId="0" applyFill="1" applyBorder="1"/>
    <xf numFmtId="10" fontId="0" fillId="2" borderId="4" xfId="0" applyNumberFormat="1" applyFill="1" applyBorder="1"/>
    <xf numFmtId="2" fontId="0" fillId="2" borderId="4" xfId="0" applyNumberFormat="1" applyFill="1" applyBorder="1"/>
    <xf numFmtId="9" fontId="0" fillId="0" borderId="0" xfId="0" applyNumberFormat="1"/>
    <xf numFmtId="0" fontId="0" fillId="4" borderId="0" xfId="0" applyFill="1" applyBorder="1"/>
    <xf numFmtId="0" fontId="0" fillId="4" borderId="0" xfId="0" applyFill="1"/>
    <xf numFmtId="10" fontId="0" fillId="5" borderId="0" xfId="0" applyNumberFormat="1" applyFill="1"/>
    <xf numFmtId="10" fontId="0" fillId="6" borderId="0" xfId="0" applyNumberFormat="1" applyFill="1"/>
    <xf numFmtId="0" fontId="0" fillId="6" borderId="0" xfId="0" applyFill="1"/>
    <xf numFmtId="0" fontId="3" fillId="5" borderId="2" xfId="0" applyFont="1" applyFill="1" applyBorder="1"/>
    <xf numFmtId="10" fontId="0" fillId="7" borderId="0" xfId="0" applyNumberFormat="1" applyFill="1"/>
    <xf numFmtId="0" fontId="0" fillId="7" borderId="0" xfId="0" applyFill="1"/>
    <xf numFmtId="10" fontId="0" fillId="7" borderId="0" xfId="1" applyNumberFormat="1" applyFont="1" applyFill="1" applyBorder="1"/>
    <xf numFmtId="10" fontId="0" fillId="5" borderId="0" xfId="1" applyNumberFormat="1" applyFont="1" applyFill="1" applyBorder="1"/>
    <xf numFmtId="10" fontId="0" fillId="8" borderId="0" xfId="0" applyNumberFormat="1" applyFill="1"/>
    <xf numFmtId="44" fontId="0" fillId="0" borderId="1" xfId="0" applyNumberFormat="1" applyBorder="1"/>
    <xf numFmtId="9" fontId="0" fillId="9" borderId="0" xfId="0" applyNumberFormat="1" applyFill="1"/>
    <xf numFmtId="10" fontId="0" fillId="10" borderId="0" xfId="0" applyNumberFormat="1" applyFill="1"/>
    <xf numFmtId="0" fontId="0" fillId="0" borderId="0" xfId="0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6" fillId="0" borderId="5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Continuous"/>
    </xf>
    <xf numFmtId="0" fontId="0" fillId="4" borderId="0" xfId="0" applyFill="1" applyBorder="1" applyAlignment="1"/>
    <xf numFmtId="0" fontId="0" fillId="4" borderId="3" xfId="0" applyFill="1" applyBorder="1" applyAlignment="1"/>
    <xf numFmtId="2" fontId="0" fillId="0" borderId="0" xfId="0" applyNumberFormat="1" applyAlignment="1">
      <alignment horizontal="center"/>
    </xf>
    <xf numFmtId="0" fontId="6" fillId="0" borderId="5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0" fontId="0" fillId="0" borderId="0" xfId="0"/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0" xfId="0" applyFont="1"/>
    <xf numFmtId="10" fontId="0" fillId="4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4" fontId="0" fillId="0" borderId="0" xfId="0" applyNumberFormat="1"/>
    <xf numFmtId="164" fontId="0" fillId="0" borderId="0" xfId="0" applyNumberFormat="1"/>
    <xf numFmtId="0" fontId="0" fillId="0" borderId="0" xfId="0" applyBorder="1"/>
    <xf numFmtId="10" fontId="0" fillId="0" borderId="0" xfId="0" applyNumberFormat="1" applyBorder="1"/>
    <xf numFmtId="0" fontId="0" fillId="0" borderId="0" xfId="0" applyNumberFormat="1"/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Эффективное</a:t>
            </a:r>
            <a:r>
              <a:rPr lang="ru-RU" baseline="0"/>
              <a:t> множество портфелей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'Составление портфеля'!$F$2:$F$102</c:f>
              <c:numCache>
                <c:formatCode>0.00%</c:formatCode>
                <c:ptCount val="101"/>
                <c:pt idx="0">
                  <c:v>0.30884692945325348</c:v>
                </c:pt>
                <c:pt idx="1">
                  <c:v>0.30551903726480467</c:v>
                </c:pt>
                <c:pt idx="2">
                  <c:v>0.30219591574179405</c:v>
                </c:pt>
                <c:pt idx="3">
                  <c:v>0.29887772401456764</c:v>
                </c:pt>
                <c:pt idx="4">
                  <c:v>0.29556462811800205</c:v>
                </c:pt>
                <c:pt idx="5">
                  <c:v>0.29225680135496551</c:v>
                </c:pt>
                <c:pt idx="6">
                  <c:v>0.28895442468188115</c:v>
                </c:pt>
                <c:pt idx="7">
                  <c:v>0.28565768711787931</c:v>
                </c:pt>
                <c:pt idx="8">
                  <c:v>0.28236678617913574</c:v>
                </c:pt>
                <c:pt idx="9">
                  <c:v>0.27908192834010132</c:v>
                </c:pt>
                <c:pt idx="10">
                  <c:v>0.27580332952345465</c:v>
                </c:pt>
                <c:pt idx="11">
                  <c:v>0.27253121562073473</c:v>
                </c:pt>
                <c:pt idx="12">
                  <c:v>0.26926582304575092</c:v>
                </c:pt>
                <c:pt idx="13">
                  <c:v>0.26600739932301526</c:v>
                </c:pt>
                <c:pt idx="14">
                  <c:v>0.26275620371359593</c:v>
                </c:pt>
                <c:pt idx="15">
                  <c:v>0.25951250788096047</c:v>
                </c:pt>
                <c:pt idx="16">
                  <c:v>0.25627659659955015</c:v>
                </c:pt>
                <c:pt idx="17">
                  <c:v>0.25304876850901642</c:v>
                </c:pt>
                <c:pt idx="18">
                  <c:v>0.24982933691724268</c:v>
                </c:pt>
                <c:pt idx="19">
                  <c:v>0.24661863065548548</c:v>
                </c:pt>
                <c:pt idx="20">
                  <c:v>0.24341699498918007</c:v>
                </c:pt>
                <c:pt idx="21">
                  <c:v>0.24022479258818494</c:v>
                </c:pt>
                <c:pt idx="22">
                  <c:v>0.23704240456046807</c:v>
                </c:pt>
                <c:pt idx="23">
                  <c:v>0.23387023155348124</c:v>
                </c:pt>
                <c:pt idx="24">
                  <c:v>0.23070869492771062</c:v>
                </c:pt>
                <c:pt idx="25">
                  <c:v>0.22755823800713995</c:v>
                </c:pt>
                <c:pt idx="26">
                  <c:v>0.22441932741160919</c:v>
                </c:pt>
                <c:pt idx="27">
                  <c:v>0.22129245447629284</c:v>
                </c:pt>
                <c:pt idx="28">
                  <c:v>0.21817813676375408</c:v>
                </c:pt>
                <c:pt idx="29">
                  <c:v>0.21507691967424783</c:v>
                </c:pt>
                <c:pt idx="30">
                  <c:v>0.21198937816013444</c:v>
                </c:pt>
                <c:pt idx="31">
                  <c:v>0.2089161185504276</c:v>
                </c:pt>
                <c:pt idx="32">
                  <c:v>0.20585778049160627</c:v>
                </c:pt>
                <c:pt idx="33">
                  <c:v>0.20281503901087455</c:v>
                </c:pt>
                <c:pt idx="34">
                  <c:v>0.19978860670802268</c:v>
                </c:pt>
                <c:pt idx="35">
                  <c:v>0.19677923608191375</c:v>
                </c:pt>
                <c:pt idx="36">
                  <c:v>0.19378772199736574</c:v>
                </c:pt>
                <c:pt idx="37">
                  <c:v>0.19081490429778611</c:v>
                </c:pt>
                <c:pt idx="38">
                  <c:v>0.18786167056831049</c:v>
                </c:pt>
                <c:pt idx="39">
                  <c:v>0.1849289590533558</c:v>
                </c:pt>
                <c:pt idx="40">
                  <c:v>0.18201776173136858</c:v>
                </c:pt>
                <c:pt idx="41">
                  <c:v>0.17912912754807628</c:v>
                </c:pt>
                <c:pt idx="42">
                  <c:v>0.17626416580766177</c:v>
                </c:pt>
                <c:pt idx="43">
                  <c:v>0.17342404971890424</c:v>
                </c:pt>
                <c:pt idx="44">
                  <c:v>0.17061002009037232</c:v>
                </c:pt>
                <c:pt idx="45">
                  <c:v>0.16782338916512116</c:v>
                </c:pt>
                <c:pt idx="46">
                  <c:v>0.16506554458092204</c:v>
                </c:pt>
                <c:pt idx="47">
                  <c:v>0.16233795343672164</c:v>
                </c:pt>
                <c:pt idx="48">
                  <c:v>0.15964216643966037</c:v>
                </c:pt>
                <c:pt idx="49">
                  <c:v>0.15697982209943873</c:v>
                </c:pt>
                <c:pt idx="50">
                  <c:v>0.15435265092797351</c:v>
                </c:pt>
                <c:pt idx="51">
                  <c:v>0.15176247959200068</c:v>
                </c:pt>
                <c:pt idx="52">
                  <c:v>0.14921123495444372</c:v>
                </c:pt>
                <c:pt idx="53">
                  <c:v>0.14670094792688346</c:v>
                </c:pt>
                <c:pt idx="54">
                  <c:v>0.14423375704030014</c:v>
                </c:pt>
                <c:pt idx="55">
                  <c:v>0.14181191162442128</c:v>
                </c:pt>
                <c:pt idx="56">
                  <c:v>0.13943777446762121</c:v>
                </c:pt>
                <c:pt idx="57">
                  <c:v>0.13711382380960666</c:v>
                </c:pt>
                <c:pt idx="58">
                  <c:v>0.13484265449848856</c:v>
                </c:pt>
                <c:pt idx="59">
                  <c:v>0.13262697812286856</c:v>
                </c:pt>
                <c:pt idx="60">
                  <c:v>0.13046962190911393</c:v>
                </c:pt>
                <c:pt idx="61">
                  <c:v>0.12837352615515635</c:v>
                </c:pt>
                <c:pt idx="62">
                  <c:v>0.12634173995639078</c:v>
                </c:pt>
                <c:pt idx="63">
                  <c:v>0.12437741496833787</c:v>
                </c:pt>
                <c:pt idx="64">
                  <c:v>0.12248379694678865</c:v>
                </c:pt>
                <c:pt idx="65">
                  <c:v>0.12066421481158519</c:v>
                </c:pt>
                <c:pt idx="66">
                  <c:v>0.11892206699762997</c:v>
                </c:pt>
                <c:pt idx="67">
                  <c:v>0.11726080488884334</c:v>
                </c:pt>
                <c:pt idx="68">
                  <c:v>0.11568391318013138</c:v>
                </c:pt>
                <c:pt idx="69">
                  <c:v>0.11419488708105609</c:v>
                </c:pt>
                <c:pt idx="70">
                  <c:v>0.11279720636407761</c:v>
                </c:pt>
                <c:pt idx="71">
                  <c:v>0.11149430636998314</c:v>
                </c:pt>
                <c:pt idx="72">
                  <c:v>0.11028954621180198</c:v>
                </c:pt>
                <c:pt idx="73">
                  <c:v>0.10918617456246431</c:v>
                </c:pt>
                <c:pt idx="74">
                  <c:v>0.10818729356473819</c:v>
                </c:pt>
                <c:pt idx="75">
                  <c:v>0.1072958215562887</c:v>
                </c:pt>
                <c:pt idx="76">
                  <c:v>0.10651445544766792</c:v>
                </c:pt>
                <c:pt idx="77">
                  <c:v>0.10584563371479105</c:v>
                </c:pt>
                <c:pt idx="78">
                  <c:v>0.10529150105757054</c:v>
                </c:pt>
                <c:pt idx="79">
                  <c:v>0.10485387582118857</c:v>
                </c:pt>
                <c:pt idx="80">
                  <c:v>0.10453422126649375</c:v>
                </c:pt>
                <c:pt idx="81">
                  <c:v>0.10433362170536162</c:v>
                </c:pt>
                <c:pt idx="82">
                  <c:v>0.10425276438455204</c:v>
                </c:pt>
                <c:pt idx="83">
                  <c:v>0.1042919278121875</c:v>
                </c:pt>
                <c:pt idx="84">
                  <c:v>0.10445097698462338</c:v>
                </c:pt>
                <c:pt idx="85">
                  <c:v>0.10472936570322722</c:v>
                </c:pt>
                <c:pt idx="86">
                  <c:v>0.10512614588891041</c:v>
                </c:pt>
                <c:pt idx="87">
                  <c:v>0.10563998352712306</c:v>
                </c:pt>
                <c:pt idx="88">
                  <c:v>0.10626918062666793</c:v>
                </c:pt>
                <c:pt idx="89">
                  <c:v>0.10701170236854524</c:v>
                </c:pt>
                <c:pt idx="90">
                  <c:v>0.10786520846808313</c:v>
                </c:pt>
                <c:pt idx="91">
                  <c:v>0.1088270876813771</c:v>
                </c:pt>
                <c:pt idx="92">
                  <c:v>0.10989449435643005</c:v>
                </c:pt>
                <c:pt idx="93">
                  <c:v>0.1110643859560702</c:v>
                </c:pt>
                <c:pt idx="94">
                  <c:v>0.11233356055534158</c:v>
                </c:pt>
                <c:pt idx="95">
                  <c:v>0.11369869342952212</c:v>
                </c:pt>
                <c:pt idx="96">
                  <c:v>0.11515637198791261</c:v>
                </c:pt>
                <c:pt idx="97">
                  <c:v>0.11670312846087177</c:v>
                </c:pt>
                <c:pt idx="98">
                  <c:v>0.11833546990226204</c:v>
                </c:pt>
                <c:pt idx="99">
                  <c:v>0.1200499052174627</c:v>
                </c:pt>
                <c:pt idx="100">
                  <c:v>0.12184296906162674</c:v>
                </c:pt>
              </c:numCache>
            </c:numRef>
          </c:xVal>
          <c:yVal>
            <c:numRef>
              <c:f>'Составление портфеля'!$C$2:$C$102</c:f>
              <c:numCache>
                <c:formatCode>0.00%</c:formatCode>
                <c:ptCount val="101"/>
                <c:pt idx="0">
                  <c:v>0.23180000000000001</c:v>
                </c:pt>
                <c:pt idx="1">
                  <c:v>0.23076199999999999</c:v>
                </c:pt>
                <c:pt idx="2">
                  <c:v>0.22972400000000001</c:v>
                </c:pt>
                <c:pt idx="3">
                  <c:v>0.228686</c:v>
                </c:pt>
                <c:pt idx="4">
                  <c:v>0.22764800000000002</c:v>
                </c:pt>
                <c:pt idx="5">
                  <c:v>0.22661000000000001</c:v>
                </c:pt>
                <c:pt idx="6">
                  <c:v>0.22557200000000002</c:v>
                </c:pt>
                <c:pt idx="7">
                  <c:v>0.22453400000000001</c:v>
                </c:pt>
                <c:pt idx="8">
                  <c:v>0.223496</c:v>
                </c:pt>
                <c:pt idx="9">
                  <c:v>0.22245800000000002</c:v>
                </c:pt>
                <c:pt idx="10">
                  <c:v>0.22142000000000001</c:v>
                </c:pt>
                <c:pt idx="11">
                  <c:v>0.22038200000000002</c:v>
                </c:pt>
                <c:pt idx="12">
                  <c:v>0.21934400000000001</c:v>
                </c:pt>
                <c:pt idx="13">
                  <c:v>0.218306</c:v>
                </c:pt>
                <c:pt idx="14">
                  <c:v>0.21726799999999999</c:v>
                </c:pt>
                <c:pt idx="15">
                  <c:v>0.21623000000000001</c:v>
                </c:pt>
                <c:pt idx="16">
                  <c:v>0.21519199999999999</c:v>
                </c:pt>
                <c:pt idx="17">
                  <c:v>0.21415400000000001</c:v>
                </c:pt>
                <c:pt idx="18">
                  <c:v>0.213116</c:v>
                </c:pt>
                <c:pt idx="19">
                  <c:v>0.21207799999999999</c:v>
                </c:pt>
                <c:pt idx="20">
                  <c:v>0.21104000000000001</c:v>
                </c:pt>
                <c:pt idx="21">
                  <c:v>0.21000199999999999</c:v>
                </c:pt>
                <c:pt idx="22">
                  <c:v>0.20896400000000001</c:v>
                </c:pt>
                <c:pt idx="23">
                  <c:v>0.207926</c:v>
                </c:pt>
                <c:pt idx="24">
                  <c:v>0.20688800000000002</c:v>
                </c:pt>
                <c:pt idx="25">
                  <c:v>0.20585000000000001</c:v>
                </c:pt>
                <c:pt idx="26">
                  <c:v>0.20481199999999999</c:v>
                </c:pt>
                <c:pt idx="27">
                  <c:v>0.20377400000000001</c:v>
                </c:pt>
                <c:pt idx="28">
                  <c:v>0.202736</c:v>
                </c:pt>
                <c:pt idx="29">
                  <c:v>0.20169800000000002</c:v>
                </c:pt>
                <c:pt idx="30">
                  <c:v>0.20066000000000001</c:v>
                </c:pt>
                <c:pt idx="31">
                  <c:v>0.19962200000000002</c:v>
                </c:pt>
                <c:pt idx="32">
                  <c:v>0.19858400000000001</c:v>
                </c:pt>
                <c:pt idx="33">
                  <c:v>0.197546</c:v>
                </c:pt>
                <c:pt idx="34">
                  <c:v>0.19650800000000002</c:v>
                </c:pt>
                <c:pt idx="35">
                  <c:v>0.19547</c:v>
                </c:pt>
                <c:pt idx="36">
                  <c:v>0.19443199999999999</c:v>
                </c:pt>
                <c:pt idx="37">
                  <c:v>0.19339400000000001</c:v>
                </c:pt>
                <c:pt idx="38">
                  <c:v>0.19235600000000003</c:v>
                </c:pt>
                <c:pt idx="39">
                  <c:v>0.19131799999999999</c:v>
                </c:pt>
                <c:pt idx="40">
                  <c:v>0.19028</c:v>
                </c:pt>
                <c:pt idx="41">
                  <c:v>0.18924199999999999</c:v>
                </c:pt>
                <c:pt idx="42">
                  <c:v>0.18820400000000001</c:v>
                </c:pt>
                <c:pt idx="43">
                  <c:v>0.187166</c:v>
                </c:pt>
                <c:pt idx="44">
                  <c:v>0.18612800000000002</c:v>
                </c:pt>
                <c:pt idx="45">
                  <c:v>0.18509000000000003</c:v>
                </c:pt>
                <c:pt idx="46">
                  <c:v>0.18405199999999999</c:v>
                </c:pt>
                <c:pt idx="47">
                  <c:v>0.18301400000000001</c:v>
                </c:pt>
                <c:pt idx="48">
                  <c:v>0.181976</c:v>
                </c:pt>
                <c:pt idx="49">
                  <c:v>0.18093799999999999</c:v>
                </c:pt>
                <c:pt idx="50">
                  <c:v>0.1799</c:v>
                </c:pt>
                <c:pt idx="51">
                  <c:v>0.17886200000000002</c:v>
                </c:pt>
                <c:pt idx="52">
                  <c:v>0.17782400000000001</c:v>
                </c:pt>
                <c:pt idx="53">
                  <c:v>0.176786</c:v>
                </c:pt>
                <c:pt idx="54">
                  <c:v>0.17574800000000002</c:v>
                </c:pt>
                <c:pt idx="55">
                  <c:v>0.17471</c:v>
                </c:pt>
                <c:pt idx="56">
                  <c:v>0.17367199999999999</c:v>
                </c:pt>
                <c:pt idx="57">
                  <c:v>0.1726339999999999</c:v>
                </c:pt>
                <c:pt idx="58">
                  <c:v>0.17159599999999989</c:v>
                </c:pt>
                <c:pt idx="59">
                  <c:v>0.17055799999999988</c:v>
                </c:pt>
                <c:pt idx="60">
                  <c:v>0.16951999999999989</c:v>
                </c:pt>
                <c:pt idx="61">
                  <c:v>0.16848199999999991</c:v>
                </c:pt>
                <c:pt idx="62">
                  <c:v>0.1674439999999999</c:v>
                </c:pt>
                <c:pt idx="63">
                  <c:v>0.16640599999999989</c:v>
                </c:pt>
                <c:pt idx="64">
                  <c:v>0.1653679999999999</c:v>
                </c:pt>
                <c:pt idx="65">
                  <c:v>0.16432999999999992</c:v>
                </c:pt>
                <c:pt idx="66">
                  <c:v>0.16329199999999991</c:v>
                </c:pt>
                <c:pt idx="67">
                  <c:v>0.1622539999999999</c:v>
                </c:pt>
                <c:pt idx="68">
                  <c:v>0.16121599999999991</c:v>
                </c:pt>
                <c:pt idx="69">
                  <c:v>0.1601779999999999</c:v>
                </c:pt>
                <c:pt idx="70">
                  <c:v>0.15913999999999989</c:v>
                </c:pt>
                <c:pt idx="71">
                  <c:v>0.15810199999999991</c:v>
                </c:pt>
                <c:pt idx="72">
                  <c:v>0.15706399999999993</c:v>
                </c:pt>
                <c:pt idx="73">
                  <c:v>0.15602599999999991</c:v>
                </c:pt>
                <c:pt idx="74">
                  <c:v>0.1549879999999999</c:v>
                </c:pt>
                <c:pt idx="75">
                  <c:v>0.15394999999999989</c:v>
                </c:pt>
                <c:pt idx="76">
                  <c:v>0.15291199999999988</c:v>
                </c:pt>
                <c:pt idx="77">
                  <c:v>0.1518739999999999</c:v>
                </c:pt>
                <c:pt idx="78">
                  <c:v>0.15083599999999991</c:v>
                </c:pt>
                <c:pt idx="79">
                  <c:v>0.1497979999999999</c:v>
                </c:pt>
                <c:pt idx="80">
                  <c:v>0.14875999999999989</c:v>
                </c:pt>
                <c:pt idx="81">
                  <c:v>0.14772199999999988</c:v>
                </c:pt>
                <c:pt idx="82">
                  <c:v>0.1466839999999999</c:v>
                </c:pt>
                <c:pt idx="83">
                  <c:v>0.14564599999999989</c:v>
                </c:pt>
                <c:pt idx="84">
                  <c:v>0.1446079999999999</c:v>
                </c:pt>
                <c:pt idx="85">
                  <c:v>0.14356999999999989</c:v>
                </c:pt>
                <c:pt idx="86">
                  <c:v>0.14253199999999988</c:v>
                </c:pt>
                <c:pt idx="87">
                  <c:v>0.1414939999999999</c:v>
                </c:pt>
                <c:pt idx="88">
                  <c:v>0.14045599999999989</c:v>
                </c:pt>
                <c:pt idx="89">
                  <c:v>0.1394179999999999</c:v>
                </c:pt>
                <c:pt idx="90">
                  <c:v>0.13837999999999989</c:v>
                </c:pt>
                <c:pt idx="91">
                  <c:v>0.13734199999999991</c:v>
                </c:pt>
                <c:pt idx="92">
                  <c:v>0.13630399999999993</c:v>
                </c:pt>
                <c:pt idx="93">
                  <c:v>0.13526599999999989</c:v>
                </c:pt>
                <c:pt idx="94">
                  <c:v>0.1342279999999999</c:v>
                </c:pt>
                <c:pt idx="95">
                  <c:v>0.13318999999999989</c:v>
                </c:pt>
                <c:pt idx="96">
                  <c:v>0.13215199999999991</c:v>
                </c:pt>
                <c:pt idx="97">
                  <c:v>0.1311139999999999</c:v>
                </c:pt>
                <c:pt idx="98">
                  <c:v>0.13007599999999991</c:v>
                </c:pt>
                <c:pt idx="99">
                  <c:v>0.1290379999999999</c:v>
                </c:pt>
                <c:pt idx="100">
                  <c:v>0.128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4C-45B3-9021-D1041819661A}"/>
            </c:ext>
          </c:extLst>
        </c:ser>
        <c:ser>
          <c:idx val="1"/>
          <c:order val="1"/>
          <c:spPr>
            <a:ln w="603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85725" cap="rnd">
                <a:solidFill>
                  <a:srgbClr val="FFFF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'Составление портфеля'!$K$10</c:f>
              <c:numCache>
                <c:formatCode>0%</c:formatCode>
                <c:ptCount val="1"/>
                <c:pt idx="0">
                  <c:v>0.25</c:v>
                </c:pt>
              </c:numCache>
            </c:numRef>
          </c:xVal>
          <c:yVal>
            <c:numRef>
              <c:f>'Составление портфеля'!$J$10</c:f>
              <c:numCache>
                <c:formatCode>0.00%</c:formatCode>
                <c:ptCount val="1"/>
                <c:pt idx="0">
                  <c:v>0.2132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4C-45B3-9021-D10418196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537712"/>
        <c:axId val="573538040"/>
      </c:scatterChart>
      <c:valAx>
        <c:axId val="57353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Риск</a:t>
                </a:r>
                <a:r>
                  <a:rPr lang="ru-RU" baseline="0"/>
                  <a:t> (стд.откл), %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538040"/>
        <c:crosses val="autoZero"/>
        <c:crossBetween val="midCat"/>
      </c:valAx>
      <c:valAx>
        <c:axId val="573538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Доходность,</a:t>
                </a:r>
                <a:r>
                  <a:rPr lang="ru-RU" baseline="0"/>
                  <a:t> %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53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10</xdr:row>
      <xdr:rowOff>104775</xdr:rowOff>
    </xdr:from>
    <xdr:to>
      <xdr:col>12</xdr:col>
      <xdr:colOff>523875</xdr:colOff>
      <xdr:row>33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8955F62-6A56-44F3-8CE1-8E3B5DB3C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97"/>
  <sheetViews>
    <sheetView tabSelected="1" topLeftCell="K1" workbookViewId="0">
      <selection activeCell="Q13" sqref="Q13"/>
    </sheetView>
  </sheetViews>
  <sheetFormatPr defaultRowHeight="14.5" x14ac:dyDescent="0.35"/>
  <cols>
    <col min="1" max="1" width="12" customWidth="1"/>
    <col min="2" max="2" width="14.54296875" bestFit="1" customWidth="1"/>
    <col min="3" max="3" width="11.54296875" bestFit="1" customWidth="1"/>
    <col min="4" max="4" width="14.7265625" customWidth="1"/>
    <col min="5" max="5" width="18.453125" customWidth="1"/>
    <col min="6" max="6" width="25.26953125" customWidth="1"/>
    <col min="7" max="7" width="21.81640625" customWidth="1"/>
    <col min="8" max="8" width="22.453125" customWidth="1"/>
    <col min="9" max="9" width="15.54296875" bestFit="1" customWidth="1"/>
    <col min="10" max="10" width="12" bestFit="1" customWidth="1"/>
    <col min="11" max="11" width="14.7265625" bestFit="1" customWidth="1"/>
    <col min="12" max="12" width="5.453125" customWidth="1"/>
    <col min="13" max="13" width="14.7265625" bestFit="1" customWidth="1"/>
    <col min="14" max="14" width="14.81640625" bestFit="1" customWidth="1"/>
    <col min="15" max="15" width="5.1796875" customWidth="1"/>
    <col min="16" max="16" width="27.81640625" bestFit="1" customWidth="1"/>
    <col min="18" max="18" width="11.81640625" customWidth="1"/>
    <col min="21" max="21" width="5.453125" customWidth="1"/>
    <col min="22" max="22" width="7.81640625" bestFit="1" customWidth="1"/>
    <col min="23" max="23" width="4" customWidth="1"/>
    <col min="24" max="24" width="29.453125" customWidth="1"/>
    <col min="25" max="25" width="10.26953125" customWidth="1"/>
    <col min="27" max="27" width="10" customWidth="1"/>
    <col min="29" max="29" width="3.453125" customWidth="1"/>
    <col min="30" max="32" width="6.26953125" bestFit="1" customWidth="1"/>
    <col min="33" max="33" width="7.81640625" bestFit="1" customWidth="1"/>
    <col min="34" max="34" width="6.26953125" customWidth="1"/>
    <col min="35" max="35" width="27.7265625" customWidth="1"/>
    <col min="36" max="36" width="9.81640625" customWidth="1"/>
    <col min="39" max="39" width="11.7265625" customWidth="1"/>
  </cols>
  <sheetData>
    <row r="1" spans="1:38" x14ac:dyDescent="0.35">
      <c r="A1" t="s">
        <v>5</v>
      </c>
      <c r="F1" s="8"/>
      <c r="G1" s="8"/>
    </row>
    <row r="2" spans="1:38" x14ac:dyDescent="0.35">
      <c r="A2" t="s">
        <v>30</v>
      </c>
      <c r="D2" t="s">
        <v>31</v>
      </c>
      <c r="F2" s="22">
        <v>0.01</v>
      </c>
    </row>
    <row r="3" spans="1:38" ht="75" customHeight="1" x14ac:dyDescent="0.35">
      <c r="A3" s="2" t="s">
        <v>4</v>
      </c>
      <c r="B3" s="1" t="s">
        <v>122</v>
      </c>
      <c r="C3" s="1" t="s">
        <v>39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2" t="s">
        <v>0</v>
      </c>
      <c r="J3" s="2" t="s">
        <v>1</v>
      </c>
      <c r="K3" s="2" t="s">
        <v>2</v>
      </c>
      <c r="N3" t="s">
        <v>27</v>
      </c>
      <c r="P3" s="69" t="s">
        <v>17</v>
      </c>
      <c r="Q3" s="69"/>
      <c r="R3" s="69"/>
      <c r="S3" s="69"/>
      <c r="V3" t="s">
        <v>27</v>
      </c>
      <c r="X3" s="69" t="s">
        <v>38</v>
      </c>
      <c r="Y3" s="69"/>
      <c r="Z3" s="69"/>
      <c r="AA3" s="69"/>
      <c r="AG3" t="s">
        <v>27</v>
      </c>
      <c r="AI3" s="69" t="s">
        <v>60</v>
      </c>
      <c r="AJ3" s="69"/>
      <c r="AK3" s="69"/>
      <c r="AL3" s="69"/>
    </row>
    <row r="4" spans="1:38" x14ac:dyDescent="0.35">
      <c r="A4" s="9">
        <v>43621</v>
      </c>
      <c r="B4" s="38">
        <f>Расчеты!G17/360</f>
        <v>2.1888888888888888E-2</v>
      </c>
      <c r="C4" s="11">
        <v>25.204999999999998</v>
      </c>
      <c r="D4" s="2"/>
      <c r="E4" s="2"/>
      <c r="F4" s="34">
        <v>2701.84</v>
      </c>
      <c r="G4" s="2"/>
      <c r="H4" s="2"/>
      <c r="I4" s="2"/>
      <c r="J4" s="2"/>
      <c r="K4" s="2"/>
      <c r="N4" s="35">
        <v>0.01</v>
      </c>
      <c r="P4" s="6"/>
      <c r="Q4" s="6"/>
      <c r="R4" s="6"/>
      <c r="S4" s="6"/>
      <c r="X4" s="6"/>
      <c r="Y4" s="6"/>
      <c r="Z4" s="6"/>
      <c r="AA4" s="6"/>
      <c r="AG4" s="22">
        <v>0.01</v>
      </c>
      <c r="AI4" s="6"/>
      <c r="AJ4" s="6"/>
      <c r="AK4" s="6"/>
      <c r="AL4" s="6"/>
    </row>
    <row r="5" spans="1:38" x14ac:dyDescent="0.35">
      <c r="A5" s="9">
        <v>43622</v>
      </c>
      <c r="B5" s="38">
        <f>Расчеты!G18/360</f>
        <v>2.1972222222222223E-2</v>
      </c>
      <c r="C5" s="11">
        <v>25.26</v>
      </c>
      <c r="D5" s="3">
        <f>(C5/C4-1)*100</f>
        <v>0.21821067248564141</v>
      </c>
      <c r="E5" s="3">
        <f>D5-B5</f>
        <v>0.19623845026341918</v>
      </c>
      <c r="F5" s="34">
        <v>2728.25</v>
      </c>
      <c r="G5" s="3">
        <f>(F5/F4-1)*100</f>
        <v>0.97748201225831277</v>
      </c>
      <c r="H5" s="3">
        <f>G5-B5</f>
        <v>0.9555097900360906</v>
      </c>
      <c r="I5" s="3">
        <f>E5^2</f>
        <v>3.8509529361788447E-2</v>
      </c>
      <c r="J5" s="3">
        <f>H5^2</f>
        <v>0.91299895885481397</v>
      </c>
      <c r="K5" s="3">
        <f>E5*H5</f>
        <v>0.18750776040820746</v>
      </c>
      <c r="M5" s="8">
        <v>-13.579035874439461</v>
      </c>
      <c r="N5" s="26">
        <f>M5*$N$4</f>
        <v>-0.1357903587443946</v>
      </c>
      <c r="P5" s="12" t="s">
        <v>6</v>
      </c>
      <c r="Q5" s="12">
        <v>250</v>
      </c>
      <c r="R5" s="12"/>
      <c r="S5" s="12"/>
      <c r="V5" s="7">
        <v>-0.1357903587443946</v>
      </c>
      <c r="X5" s="12" t="s">
        <v>6</v>
      </c>
      <c r="Y5" s="12">
        <f>COUNT(V5:V125)</f>
        <v>121</v>
      </c>
      <c r="Z5" s="12"/>
      <c r="AA5" s="12"/>
      <c r="AD5" s="8">
        <v>-13.579035874439461</v>
      </c>
      <c r="AE5" s="8">
        <f>IF(AD5&lt;0,AD5,AD5*(-1))</f>
        <v>-13.579035874439461</v>
      </c>
      <c r="AF5" s="8">
        <v>-15.166261151662599</v>
      </c>
      <c r="AG5" s="7">
        <f>AF5*$AG$4</f>
        <v>-0.15166261151662599</v>
      </c>
      <c r="AI5" s="12" t="s">
        <v>6</v>
      </c>
      <c r="AJ5" s="12">
        <v>250</v>
      </c>
      <c r="AK5" s="12"/>
      <c r="AL5" s="12"/>
    </row>
    <row r="6" spans="1:38" x14ac:dyDescent="0.35">
      <c r="A6" s="9">
        <v>43623</v>
      </c>
      <c r="B6" s="38">
        <f>Расчеты!G19/360</f>
        <v>2.2027777777777778E-2</v>
      </c>
      <c r="C6" s="11">
        <v>25.2</v>
      </c>
      <c r="D6" s="3">
        <f t="shared" ref="D6:D69" si="0">(C6/C5-1)*100</f>
        <v>-0.23752969121141332</v>
      </c>
      <c r="E6" s="3">
        <f t="shared" ref="E6:E69" si="1">D6-B6</f>
        <v>-0.25955746898919108</v>
      </c>
      <c r="F6" s="34">
        <v>2729.61</v>
      </c>
      <c r="G6" s="3">
        <f t="shared" ref="G6:G69" si="2">(F6/F5-1)*100</f>
        <v>4.9848804178509454E-2</v>
      </c>
      <c r="H6" s="3">
        <f t="shared" ref="H6:H69" si="3">G6-B6</f>
        <v>2.7821026400731676E-2</v>
      </c>
      <c r="I6" s="3">
        <f>E6^2</f>
        <v>6.737007970807489E-2</v>
      </c>
      <c r="J6" s="3">
        <f t="shared" ref="J6:J69" si="4">H6^2</f>
        <v>7.740095099902089E-4</v>
      </c>
      <c r="K6" s="3">
        <f t="shared" ref="K6:K69" si="5">E6*H6</f>
        <v>-7.2211551972553778E-3</v>
      </c>
      <c r="M6" s="8">
        <v>-9.9999999999999982</v>
      </c>
      <c r="N6" s="26">
        <f t="shared" ref="N6:N69" si="6">M6*$N$4</f>
        <v>-9.9999999999999978E-2</v>
      </c>
      <c r="P6" t="s">
        <v>18</v>
      </c>
      <c r="Q6" s="13">
        <f>AVERAGE(N5:N254)</f>
        <v>2.3176307835826196E-3</v>
      </c>
      <c r="V6" s="7">
        <v>-9.9999999999999978E-2</v>
      </c>
      <c r="X6" t="s">
        <v>18</v>
      </c>
      <c r="Y6" s="13">
        <f>AVERAGE(V5:V125)</f>
        <v>-1.8262730275275387E-2</v>
      </c>
      <c r="AD6" s="8">
        <v>-9.9999999999999982</v>
      </c>
      <c r="AE6" s="8">
        <f t="shared" ref="AE6:AE69" si="7">IF(AD6&lt;0,AD6,AD6*(-1))</f>
        <v>-9.9999999999999982</v>
      </c>
      <c r="AF6" s="8">
        <v>-13.5790358744395</v>
      </c>
      <c r="AG6" s="7">
        <f t="shared" ref="AG6:AG69" si="8">AF6*$AG$4</f>
        <v>-0.13579035874439499</v>
      </c>
      <c r="AI6" t="s">
        <v>18</v>
      </c>
      <c r="AJ6" s="13">
        <f>AVERAGE(AG5:AG254)</f>
        <v>-1.9995953690049206E-2</v>
      </c>
    </row>
    <row r="7" spans="1:38" ht="15" thickBot="1" x14ac:dyDescent="0.4">
      <c r="A7" s="9">
        <v>43626</v>
      </c>
      <c r="B7" s="38">
        <f>Расчеты!G20/360</f>
        <v>2.2055555555555557E-2</v>
      </c>
      <c r="C7" s="11">
        <v>25.08</v>
      </c>
      <c r="D7" s="3">
        <f t="shared" si="0"/>
        <v>-0.4761904761904856</v>
      </c>
      <c r="E7" s="3">
        <f t="shared" si="1"/>
        <v>-0.49824603174604115</v>
      </c>
      <c r="F7" s="34">
        <v>2742.59</v>
      </c>
      <c r="G7" s="3">
        <f t="shared" si="2"/>
        <v>0.47552580771612618</v>
      </c>
      <c r="H7" s="3">
        <f t="shared" si="3"/>
        <v>0.45347025216057063</v>
      </c>
      <c r="I7" s="3">
        <f t="shared" ref="I7:I69" si="9">E7^2</f>
        <v>0.24824910815067705</v>
      </c>
      <c r="J7" s="3">
        <f t="shared" si="4"/>
        <v>0.20563526959457151</v>
      </c>
      <c r="K7" s="3">
        <f t="shared" si="5"/>
        <v>-0.22593975365388097</v>
      </c>
      <c r="M7" s="8">
        <v>-6.4625850340136015</v>
      </c>
      <c r="N7" s="26">
        <f t="shared" si="6"/>
        <v>-6.4625850340136015E-2</v>
      </c>
      <c r="P7" s="14" t="s">
        <v>19</v>
      </c>
      <c r="Q7" s="15">
        <f>_xlfn.STDEV.S(N5:N254)</f>
        <v>3.0946648259237253E-2</v>
      </c>
      <c r="R7" s="16">
        <f>Q7*C254</f>
        <v>1.2372469974043052</v>
      </c>
      <c r="S7" s="16" t="s">
        <v>33</v>
      </c>
      <c r="V7" s="7">
        <v>-6.4625850340136015E-2</v>
      </c>
      <c r="X7" s="14" t="s">
        <v>19</v>
      </c>
      <c r="Y7" s="15">
        <f>_xlfn.STDEV.S(V5:V125)</f>
        <v>1.9836539202375186E-2</v>
      </c>
      <c r="Z7" s="16">
        <f>Y7*C254</f>
        <v>0.79306483731095989</v>
      </c>
      <c r="AA7" s="16" t="s">
        <v>33</v>
      </c>
      <c r="AD7" s="8">
        <v>-6.4625850340136015</v>
      </c>
      <c r="AE7" s="8">
        <f t="shared" si="7"/>
        <v>-6.4625850340136015</v>
      </c>
      <c r="AF7" s="8">
        <v>-12.295081967213118</v>
      </c>
      <c r="AG7" s="7">
        <f t="shared" si="8"/>
        <v>-0.12295081967213119</v>
      </c>
      <c r="AI7" s="14" t="s">
        <v>19</v>
      </c>
      <c r="AJ7" s="15">
        <f>_xlfn.STDEV.S(AG5:AG254)</f>
        <v>2.3699031269948205E-2</v>
      </c>
      <c r="AK7" s="16">
        <f>AJ7*C254</f>
        <v>0.94748727017252921</v>
      </c>
      <c r="AL7" s="16" t="s">
        <v>33</v>
      </c>
    </row>
    <row r="8" spans="1:38" x14ac:dyDescent="0.35">
      <c r="A8" s="9">
        <v>43627</v>
      </c>
      <c r="B8" s="38">
        <f>Расчеты!G21/360</f>
        <v>2.1833333333333333E-2</v>
      </c>
      <c r="C8" s="11">
        <v>25.39</v>
      </c>
      <c r="D8" s="3">
        <f t="shared" si="0"/>
        <v>1.2360446570973016</v>
      </c>
      <c r="E8" s="3">
        <f t="shared" si="1"/>
        <v>1.2142113237639682</v>
      </c>
      <c r="F8" s="34">
        <v>2751.75</v>
      </c>
      <c r="G8" s="3">
        <f t="shared" si="2"/>
        <v>0.33399086265171185</v>
      </c>
      <c r="H8" s="3">
        <f t="shared" si="3"/>
        <v>0.31215752931837853</v>
      </c>
      <c r="I8" s="3">
        <f t="shared" si="9"/>
        <v>1.474309138756648</v>
      </c>
      <c r="J8" s="3">
        <f t="shared" si="4"/>
        <v>9.7442323110154355E-2</v>
      </c>
      <c r="K8" s="3">
        <f t="shared" si="5"/>
        <v>0.37902520689655811</v>
      </c>
      <c r="M8" s="8">
        <v>-5.9049447911665887</v>
      </c>
      <c r="N8" s="26">
        <f t="shared" si="6"/>
        <v>-5.9049447911665887E-2</v>
      </c>
      <c r="V8" s="7">
        <v>-5.9049447911665887E-2</v>
      </c>
      <c r="AD8" s="8">
        <v>-5.9049447911665887</v>
      </c>
      <c r="AE8" s="8">
        <f t="shared" si="7"/>
        <v>-5.9049447911665887</v>
      </c>
      <c r="AF8" s="8">
        <v>-9.9999999999999982</v>
      </c>
      <c r="AG8" s="7">
        <f t="shared" si="8"/>
        <v>-9.9999999999999978E-2</v>
      </c>
    </row>
    <row r="9" spans="1:38" x14ac:dyDescent="0.35">
      <c r="A9" s="9">
        <v>43629</v>
      </c>
      <c r="B9" s="38">
        <f>Расчеты!G22/360</f>
        <v>2.1722222222222223E-2</v>
      </c>
      <c r="C9" s="11">
        <v>25.08</v>
      </c>
      <c r="D9" s="3">
        <f t="shared" si="0"/>
        <v>-1.2209531311540012</v>
      </c>
      <c r="E9" s="3">
        <f t="shared" si="1"/>
        <v>-1.2426753533762234</v>
      </c>
      <c r="F9" s="34">
        <v>2758.36</v>
      </c>
      <c r="G9" s="3">
        <f t="shared" si="2"/>
        <v>0.24021077496139132</v>
      </c>
      <c r="H9" s="3">
        <f t="shared" si="3"/>
        <v>0.21848855273916909</v>
      </c>
      <c r="I9" s="3">
        <f t="shared" si="9"/>
        <v>1.5442420338887217</v>
      </c>
      <c r="J9" s="3">
        <f t="shared" si="4"/>
        <v>4.773724767805667E-2</v>
      </c>
      <c r="K9" s="3">
        <f t="shared" si="5"/>
        <v>-0.27151033948380654</v>
      </c>
      <c r="M9" s="8">
        <v>-5.677933915685518</v>
      </c>
      <c r="N9" s="26">
        <f t="shared" si="6"/>
        <v>-5.677933915685518E-2</v>
      </c>
      <c r="P9" s="12" t="s">
        <v>20</v>
      </c>
      <c r="Q9" s="17">
        <v>0.05</v>
      </c>
      <c r="R9" s="12"/>
      <c r="S9" s="12"/>
      <c r="V9" s="7">
        <v>-5.677933915685518E-2</v>
      </c>
      <c r="X9" s="12" t="s">
        <v>20</v>
      </c>
      <c r="Y9" s="17">
        <v>0.05</v>
      </c>
      <c r="Z9" s="12"/>
      <c r="AA9" s="12"/>
      <c r="AD9" s="8">
        <v>-5.677933915685518</v>
      </c>
      <c r="AE9" s="8">
        <f t="shared" si="7"/>
        <v>-5.677933915685518</v>
      </c>
      <c r="AF9" s="8">
        <v>-9.3805309734513287</v>
      </c>
      <c r="AG9" s="7">
        <f t="shared" si="8"/>
        <v>-9.3805309734513287E-2</v>
      </c>
      <c r="AI9" s="12" t="s">
        <v>20</v>
      </c>
      <c r="AJ9" s="17">
        <v>0.05</v>
      </c>
      <c r="AK9" s="12"/>
      <c r="AL9" s="12"/>
    </row>
    <row r="10" spans="1:38" ht="15" thickBot="1" x14ac:dyDescent="0.4">
      <c r="A10" s="9">
        <v>43630</v>
      </c>
      <c r="B10" s="38">
        <f>Расчеты!G23/360</f>
        <v>2.1694444444444443E-2</v>
      </c>
      <c r="C10" s="11">
        <v>25.175000000000001</v>
      </c>
      <c r="D10" s="3">
        <f t="shared" si="0"/>
        <v>0.37878787878788955</v>
      </c>
      <c r="E10" s="3">
        <f t="shared" si="1"/>
        <v>0.35709343434344509</v>
      </c>
      <c r="F10" s="34">
        <v>2739.28</v>
      </c>
      <c r="G10" s="3">
        <f t="shared" si="2"/>
        <v>-0.69171536710218584</v>
      </c>
      <c r="H10" s="3">
        <f t="shared" si="3"/>
        <v>-0.7134098115466303</v>
      </c>
      <c r="I10" s="3">
        <f t="shared" si="9"/>
        <v>0.12751572085119633</v>
      </c>
      <c r="J10" s="3">
        <f t="shared" si="4"/>
        <v>0.50895355921099861</v>
      </c>
      <c r="K10" s="3">
        <f t="shared" si="5"/>
        <v>-0.25475395969949616</v>
      </c>
      <c r="M10" s="8">
        <v>-5.5084745762711833</v>
      </c>
      <c r="N10" s="26">
        <f t="shared" si="6"/>
        <v>-5.5084745762711836E-2</v>
      </c>
      <c r="P10" s="14" t="s">
        <v>28</v>
      </c>
      <c r="Q10" s="18">
        <f>_xlfn.NORM.INV(Q9,Q6,Q7)</f>
        <v>-4.8585075847615254E-2</v>
      </c>
      <c r="R10" s="16">
        <f>Q10*C254</f>
        <v>-1.9424313323876576</v>
      </c>
      <c r="S10" s="16" t="s">
        <v>33</v>
      </c>
      <c r="V10" s="25">
        <v>-5.5084745762711836E-2</v>
      </c>
      <c r="X10" s="14" t="s">
        <v>28</v>
      </c>
      <c r="Y10" s="18">
        <f>_xlfn.NORM.INV(Y9,Y6,Y7)</f>
        <v>-5.0890933728467286E-2</v>
      </c>
      <c r="Z10" s="16">
        <f>Y10*C254</f>
        <v>-2.0346195304641221</v>
      </c>
      <c r="AA10" s="16" t="s">
        <v>33</v>
      </c>
      <c r="AD10" s="8">
        <v>-5.5084745762711833</v>
      </c>
      <c r="AE10" s="8">
        <f t="shared" si="7"/>
        <v>-5.5084745762711833</v>
      </c>
      <c r="AF10" s="8">
        <v>-8.7175357358566519</v>
      </c>
      <c r="AG10" s="7">
        <f t="shared" si="8"/>
        <v>-8.7175357358566519E-2</v>
      </c>
      <c r="AI10" s="14" t="s">
        <v>28</v>
      </c>
      <c r="AJ10" s="18">
        <f>_xlfn.NORM.INV(AJ9,AJ6,AJ7)</f>
        <v>-5.8977391229659878E-2</v>
      </c>
      <c r="AK10" s="16">
        <f>AJ10*C254</f>
        <v>-2.357916101361802</v>
      </c>
      <c r="AL10" s="16" t="s">
        <v>33</v>
      </c>
    </row>
    <row r="11" spans="1:38" x14ac:dyDescent="0.35">
      <c r="A11" s="9">
        <v>43633</v>
      </c>
      <c r="B11" s="38">
        <f>Расчеты!G24/360</f>
        <v>2.1388888888888888E-2</v>
      </c>
      <c r="C11" s="11">
        <v>25.15</v>
      </c>
      <c r="D11" s="3">
        <f t="shared" si="0"/>
        <v>-9.9304865938443232E-2</v>
      </c>
      <c r="E11" s="3">
        <f t="shared" si="1"/>
        <v>-0.12069375482733212</v>
      </c>
      <c r="F11" s="34">
        <v>2734.31</v>
      </c>
      <c r="G11" s="3">
        <f t="shared" si="2"/>
        <v>-0.18143453754272398</v>
      </c>
      <c r="H11" s="3">
        <f t="shared" si="3"/>
        <v>-0.20282342643161289</v>
      </c>
      <c r="I11" s="3">
        <f t="shared" si="9"/>
        <v>1.4566982454320155E-2</v>
      </c>
      <c r="J11" s="3">
        <f t="shared" si="4"/>
        <v>4.1137342309459882E-2</v>
      </c>
      <c r="K11" s="3">
        <f t="shared" si="5"/>
        <v>2.4479520902976518E-2</v>
      </c>
      <c r="M11" s="8">
        <v>-5.3295932678821822</v>
      </c>
      <c r="N11" s="26">
        <f t="shared" si="6"/>
        <v>-5.3295932678821822E-2</v>
      </c>
      <c r="P11" s="23" t="s">
        <v>29</v>
      </c>
      <c r="Q11" s="24"/>
      <c r="R11" s="24"/>
      <c r="S11" s="24"/>
      <c r="V11" s="29">
        <v>-5.3295932678821822E-2</v>
      </c>
      <c r="X11" s="23" t="s">
        <v>35</v>
      </c>
      <c r="Y11" s="24"/>
      <c r="Z11" s="24"/>
      <c r="AA11" s="24"/>
      <c r="AD11" s="8">
        <v>-5.3295932678821822</v>
      </c>
      <c r="AE11" s="8">
        <f t="shared" si="7"/>
        <v>-5.3295932678821822</v>
      </c>
      <c r="AF11" s="8">
        <v>-8.7139726950952401</v>
      </c>
      <c r="AG11" s="7">
        <f t="shared" si="8"/>
        <v>-8.7139726950952401E-2</v>
      </c>
      <c r="AI11" s="23" t="s">
        <v>62</v>
      </c>
      <c r="AJ11" s="24"/>
      <c r="AK11" s="24"/>
      <c r="AL11" s="24"/>
    </row>
    <row r="12" spans="1:38" x14ac:dyDescent="0.35">
      <c r="A12" s="9">
        <v>43634</v>
      </c>
      <c r="B12" s="38">
        <f>Расчеты!G25/360</f>
        <v>2.1388888888888888E-2</v>
      </c>
      <c r="C12" s="11">
        <v>25.28</v>
      </c>
      <c r="D12" s="3">
        <f t="shared" si="0"/>
        <v>0.51689860834991386</v>
      </c>
      <c r="E12" s="3">
        <f t="shared" si="1"/>
        <v>0.49550971946102496</v>
      </c>
      <c r="F12" s="34">
        <v>2761.69</v>
      </c>
      <c r="G12" s="3">
        <f t="shared" si="2"/>
        <v>1.0013495177942477</v>
      </c>
      <c r="H12" s="3">
        <f t="shared" si="3"/>
        <v>0.97996062890535884</v>
      </c>
      <c r="I12" s="3">
        <f t="shared" si="9"/>
        <v>0.24552988208034365</v>
      </c>
      <c r="J12" s="3">
        <f t="shared" si="4"/>
        <v>0.96032283420458642</v>
      </c>
      <c r="K12" s="3">
        <f t="shared" si="5"/>
        <v>0.48558001631174397</v>
      </c>
      <c r="M12" s="8">
        <v>-5.2909090909090795</v>
      </c>
      <c r="N12" s="26">
        <f t="shared" si="6"/>
        <v>-5.2909090909090795E-2</v>
      </c>
      <c r="P12" s="12" t="s">
        <v>21</v>
      </c>
      <c r="Q12" s="28">
        <f>_xlfn.FLOOR.MATH(Q5*Q9)</f>
        <v>12</v>
      </c>
      <c r="R12" s="12"/>
      <c r="S12" s="12"/>
      <c r="V12" s="7">
        <v>-5.2909090909090795E-2</v>
      </c>
      <c r="X12" s="12" t="s">
        <v>21</v>
      </c>
      <c r="Y12" s="28">
        <f>_xlfn.FLOOR.MATH(Y5*Y9)</f>
        <v>6</v>
      </c>
      <c r="Z12" s="12"/>
      <c r="AA12" s="12"/>
      <c r="AD12" s="8">
        <v>-5.2909090909090795</v>
      </c>
      <c r="AE12" s="8">
        <f t="shared" si="7"/>
        <v>-5.2909090909090795</v>
      </c>
      <c r="AF12" s="8">
        <v>-8.4142394822006352</v>
      </c>
      <c r="AG12" s="7">
        <f t="shared" si="8"/>
        <v>-8.4142394822006347E-2</v>
      </c>
      <c r="AI12" s="12" t="s">
        <v>21</v>
      </c>
      <c r="AJ12" s="28">
        <f>_xlfn.FLOOR.MATH(AJ5*AJ9)</f>
        <v>12</v>
      </c>
      <c r="AK12" s="12"/>
      <c r="AL12" s="12"/>
    </row>
    <row r="13" spans="1:38" x14ac:dyDescent="0.35">
      <c r="A13" s="9">
        <v>43635</v>
      </c>
      <c r="B13" s="38">
        <f>Расчеты!G26/360</f>
        <v>2.1277777777777777E-2</v>
      </c>
      <c r="C13" s="11">
        <v>25.41</v>
      </c>
      <c r="D13" s="3">
        <f t="shared" si="0"/>
        <v>0.51424050632911111</v>
      </c>
      <c r="E13" s="3">
        <f t="shared" si="1"/>
        <v>0.49296272855133333</v>
      </c>
      <c r="F13" s="34">
        <v>2759.12</v>
      </c>
      <c r="G13" s="3">
        <f t="shared" si="2"/>
        <v>-9.305896027432814E-2</v>
      </c>
      <c r="H13" s="3">
        <f t="shared" si="3"/>
        <v>-0.11433673805210592</v>
      </c>
      <c r="I13" s="3">
        <f t="shared" si="9"/>
        <v>0.24301225174077554</v>
      </c>
      <c r="J13" s="3">
        <f t="shared" si="4"/>
        <v>1.3072889668395886E-2</v>
      </c>
      <c r="K13" s="3">
        <f t="shared" si="5"/>
        <v>-5.6363750363825196E-2</v>
      </c>
      <c r="M13" s="8">
        <v>-4.9300748693318353</v>
      </c>
      <c r="N13" s="26">
        <f t="shared" si="6"/>
        <v>-4.9300748693318353E-2</v>
      </c>
      <c r="P13" t="s">
        <v>22</v>
      </c>
      <c r="Q13" s="30">
        <f>_xlfn.CEILING.MATH(Q5*Q9)</f>
        <v>13</v>
      </c>
      <c r="V13" s="7">
        <v>-4.9300748693318353E-2</v>
      </c>
      <c r="X13" t="s">
        <v>22</v>
      </c>
      <c r="Y13" s="30">
        <f>_xlfn.CEILING.MATH(Y5*Y9)</f>
        <v>7</v>
      </c>
      <c r="AD13" s="8">
        <v>-4.9300748693318353</v>
      </c>
      <c r="AE13" s="8">
        <f t="shared" si="7"/>
        <v>-4.9300748693318353</v>
      </c>
      <c r="AF13" s="8">
        <v>-8.2582870281663112</v>
      </c>
      <c r="AG13" s="7">
        <f t="shared" si="8"/>
        <v>-8.2582870281663112E-2</v>
      </c>
      <c r="AI13" t="s">
        <v>22</v>
      </c>
      <c r="AJ13" s="30">
        <f>_xlfn.CEILING.MATH(AJ5*AJ9)</f>
        <v>13</v>
      </c>
    </row>
    <row r="14" spans="1:38" x14ac:dyDescent="0.35">
      <c r="A14" s="9">
        <v>43636</v>
      </c>
      <c r="B14" s="38">
        <f>Расчеты!G27/360</f>
        <v>2.1305555555555557E-2</v>
      </c>
      <c r="C14" s="11">
        <v>25.94</v>
      </c>
      <c r="D14" s="3">
        <f t="shared" si="0"/>
        <v>2.0857929948839171</v>
      </c>
      <c r="E14" s="3">
        <f t="shared" si="1"/>
        <v>2.0644874393283614</v>
      </c>
      <c r="F14" s="34">
        <v>2780.2</v>
      </c>
      <c r="G14" s="3">
        <f t="shared" si="2"/>
        <v>0.76401171387978639</v>
      </c>
      <c r="H14" s="3">
        <f t="shared" si="3"/>
        <v>0.74270615832423081</v>
      </c>
      <c r="I14" s="3">
        <f t="shared" si="9"/>
        <v>4.2621083871445746</v>
      </c>
      <c r="J14" s="3">
        <f t="shared" si="4"/>
        <v>0.55161243761273737</v>
      </c>
      <c r="K14" s="3">
        <f t="shared" si="5"/>
        <v>1.5333075349721959</v>
      </c>
      <c r="M14" s="8">
        <v>-4.880860876249038</v>
      </c>
      <c r="N14" s="26">
        <f t="shared" si="6"/>
        <v>-4.880860876249038E-2</v>
      </c>
      <c r="P14" t="s">
        <v>23</v>
      </c>
      <c r="Q14" s="27">
        <f>Q5*Q9</f>
        <v>12.5</v>
      </c>
      <c r="V14" s="7">
        <v>-4.880860876249038E-2</v>
      </c>
      <c r="X14" t="s">
        <v>23</v>
      </c>
      <c r="Y14" s="27">
        <f>Y5*Y9</f>
        <v>6.0500000000000007</v>
      </c>
      <c r="AD14" s="8">
        <v>-4.880860876249038</v>
      </c>
      <c r="AE14" s="8">
        <f t="shared" si="7"/>
        <v>-4.880860876249038</v>
      </c>
      <c r="AF14" s="8">
        <v>-7.7788448346824079</v>
      </c>
      <c r="AG14" s="7">
        <f t="shared" si="8"/>
        <v>-7.7788448346824079E-2</v>
      </c>
      <c r="AI14" t="s">
        <v>23</v>
      </c>
      <c r="AJ14" s="27">
        <f>AJ5*AJ9</f>
        <v>12.5</v>
      </c>
    </row>
    <row r="15" spans="1:38" x14ac:dyDescent="0.35">
      <c r="A15" s="9">
        <v>43637</v>
      </c>
      <c r="B15" s="38">
        <f>Расчеты!G28/360</f>
        <v>2.1305555555555557E-2</v>
      </c>
      <c r="C15" s="11">
        <v>25.824999999999999</v>
      </c>
      <c r="D15" s="3">
        <f t="shared" si="0"/>
        <v>-0.44333076329993171</v>
      </c>
      <c r="E15" s="3">
        <f t="shared" si="1"/>
        <v>-0.46463631885548728</v>
      </c>
      <c r="F15" s="34">
        <v>2761.23</v>
      </c>
      <c r="G15" s="3">
        <f t="shared" si="2"/>
        <v>-0.68232501258901346</v>
      </c>
      <c r="H15" s="3">
        <f t="shared" si="3"/>
        <v>-0.70363056814456904</v>
      </c>
      <c r="I15" s="3">
        <f t="shared" si="9"/>
        <v>0.21588690879957806</v>
      </c>
      <c r="J15" s="3">
        <f t="shared" si="4"/>
        <v>0.49509597642744901</v>
      </c>
      <c r="K15" s="3">
        <f t="shared" si="5"/>
        <v>0.32693231701688763</v>
      </c>
      <c r="M15" s="8">
        <v>-4.4000490256158926</v>
      </c>
      <c r="N15" s="26">
        <f t="shared" si="6"/>
        <v>-4.4000490256158924E-2</v>
      </c>
      <c r="P15" t="s">
        <v>24</v>
      </c>
      <c r="Q15" s="32">
        <f>SMALL(N5:N254,Q12)</f>
        <v>-4.250751395448682E-2</v>
      </c>
      <c r="R15" s="8">
        <f>C254*Q15</f>
        <v>-1.6994504079003829</v>
      </c>
      <c r="S15" t="s">
        <v>33</v>
      </c>
      <c r="V15" s="7">
        <v>-4.4000490256158924E-2</v>
      </c>
      <c r="X15" t="s">
        <v>24</v>
      </c>
      <c r="Y15" s="32">
        <f>SMALL(V5:V125,Y12)</f>
        <v>-5.5084745762711836E-2</v>
      </c>
      <c r="Z15" s="8">
        <f>Y15*C254</f>
        <v>-2.2022881355932191</v>
      </c>
      <c r="AA15" t="s">
        <v>33</v>
      </c>
      <c r="AD15" s="8">
        <v>-4.4000490256158926</v>
      </c>
      <c r="AE15" s="8">
        <f t="shared" si="7"/>
        <v>-4.4000490256158926</v>
      </c>
      <c r="AF15" s="8">
        <v>-7.5697674418604644</v>
      </c>
      <c r="AG15" s="7">
        <f t="shared" si="8"/>
        <v>-7.5697674418604644E-2</v>
      </c>
      <c r="AI15" t="s">
        <v>24</v>
      </c>
      <c r="AJ15" s="32">
        <f>SMALL(AG5:AG254,AJ12)</f>
        <v>-7.3573729606151828E-2</v>
      </c>
      <c r="AK15" s="8">
        <f>AJ15*C254</f>
        <v>-2.9414777096539497</v>
      </c>
      <c r="AL15" t="s">
        <v>33</v>
      </c>
    </row>
    <row r="16" spans="1:38" x14ac:dyDescent="0.35">
      <c r="A16" s="9">
        <v>43640</v>
      </c>
      <c r="B16" s="38">
        <f>Расчеты!G29/360</f>
        <v>2.1277777777777777E-2</v>
      </c>
      <c r="C16" s="11">
        <v>26</v>
      </c>
      <c r="D16" s="3">
        <f t="shared" si="0"/>
        <v>0.6776379477250849</v>
      </c>
      <c r="E16" s="3">
        <f t="shared" si="1"/>
        <v>0.65636016994730717</v>
      </c>
      <c r="F16" s="34">
        <v>2762.65</v>
      </c>
      <c r="G16" s="3">
        <f t="shared" si="2"/>
        <v>5.1426357094475073E-2</v>
      </c>
      <c r="H16" s="3">
        <f t="shared" si="3"/>
        <v>3.0148579316697295E-2</v>
      </c>
      <c r="I16" s="3">
        <f t="shared" si="9"/>
        <v>0.43080867269325795</v>
      </c>
      <c r="J16" s="3">
        <f t="shared" si="4"/>
        <v>9.0893683481518795E-4</v>
      </c>
      <c r="K16" s="3">
        <f t="shared" si="5"/>
        <v>1.9788326643977307E-2</v>
      </c>
      <c r="M16" s="8">
        <v>-4.250751395448682</v>
      </c>
      <c r="N16" s="25">
        <f t="shared" si="6"/>
        <v>-4.250751395448682E-2</v>
      </c>
      <c r="P16" t="s">
        <v>25</v>
      </c>
      <c r="Q16" s="31">
        <f>SMALL(N5:N254,Q13)</f>
        <v>-4.1706769329483591E-2</v>
      </c>
      <c r="R16" s="8">
        <f>C254*Q16</f>
        <v>-1.6674366377927539</v>
      </c>
      <c r="S16" t="s">
        <v>33</v>
      </c>
      <c r="V16" s="7">
        <v>-4.250751395448682E-2</v>
      </c>
      <c r="X16" t="s">
        <v>25</v>
      </c>
      <c r="Y16" s="31">
        <f>SMALL(V5:V125,Y13)</f>
        <v>-5.3295932678821822E-2</v>
      </c>
      <c r="Z16" s="8">
        <f>C254*Y16</f>
        <v>-2.1307713884992965</v>
      </c>
      <c r="AA16" t="s">
        <v>33</v>
      </c>
      <c r="AD16" s="8">
        <v>-4.250751395448682</v>
      </c>
      <c r="AE16" s="8">
        <f t="shared" si="7"/>
        <v>-4.250751395448682</v>
      </c>
      <c r="AF16" s="8">
        <v>-7.3573729606151828</v>
      </c>
      <c r="AG16" s="33">
        <f t="shared" si="8"/>
        <v>-7.3573729606151828E-2</v>
      </c>
      <c r="AI16" t="s">
        <v>25</v>
      </c>
      <c r="AJ16" s="31">
        <f>SMALL(AG5:AG254,AJ13)</f>
        <v>-7.1747543911878431E-2</v>
      </c>
      <c r="AK16" s="8">
        <f>C254*AJ16</f>
        <v>-2.8684668055968996</v>
      </c>
      <c r="AL16" t="s">
        <v>33</v>
      </c>
    </row>
    <row r="17" spans="1:41" ht="15" thickBot="1" x14ac:dyDescent="0.4">
      <c r="A17" s="9">
        <v>43641</v>
      </c>
      <c r="B17" s="38">
        <f>Расчеты!G30/360</f>
        <v>2.1472222222222222E-2</v>
      </c>
      <c r="C17" s="11">
        <v>25.92</v>
      </c>
      <c r="D17" s="3">
        <f t="shared" si="0"/>
        <v>-0.30769230769229772</v>
      </c>
      <c r="E17" s="3">
        <f t="shared" si="1"/>
        <v>-0.32916452991451994</v>
      </c>
      <c r="F17" s="34">
        <v>2753.96</v>
      </c>
      <c r="G17" s="3">
        <f t="shared" si="2"/>
        <v>-0.31455305594266791</v>
      </c>
      <c r="H17" s="3">
        <f t="shared" si="3"/>
        <v>-0.33602527816489014</v>
      </c>
      <c r="I17" s="3">
        <f t="shared" si="9"/>
        <v>0.10834928775384689</v>
      </c>
      <c r="J17" s="3">
        <f t="shared" si="4"/>
        <v>0.11291298756579179</v>
      </c>
      <c r="K17" s="3">
        <f t="shared" si="5"/>
        <v>0.11060760272654187</v>
      </c>
      <c r="M17" s="8">
        <v>-4.1706769329483588</v>
      </c>
      <c r="N17" s="29">
        <f t="shared" si="6"/>
        <v>-4.1706769329483591E-2</v>
      </c>
      <c r="P17" s="14" t="s">
        <v>32</v>
      </c>
      <c r="Q17" s="18">
        <f>(Q16-Q15)*(Q14-Q12)/(Q13-Q12)+Q15</f>
        <v>-4.2107141641985202E-2</v>
      </c>
      <c r="R17" s="16">
        <f>C254*Q17</f>
        <v>-1.6834435228465683</v>
      </c>
      <c r="S17" s="16" t="s">
        <v>33</v>
      </c>
      <c r="V17" s="7">
        <v>-4.1706769329483591E-2</v>
      </c>
      <c r="X17" s="14" t="s">
        <v>32</v>
      </c>
      <c r="Y17" s="18">
        <f>(Y16-Y15)*(Y14-Y12)/(Y13-Y12)+Y15</f>
        <v>-5.4995305108517335E-2</v>
      </c>
      <c r="Z17" s="16">
        <f>C254*Y17</f>
        <v>-2.1987122982385228</v>
      </c>
      <c r="AA17" s="16" t="s">
        <v>33</v>
      </c>
      <c r="AD17" s="8">
        <v>-4.1706769329483588</v>
      </c>
      <c r="AE17" s="8">
        <f t="shared" si="7"/>
        <v>-4.1706769329483588</v>
      </c>
      <c r="AF17" s="8">
        <v>-7.1747543911878431</v>
      </c>
      <c r="AG17" s="29">
        <f t="shared" si="8"/>
        <v>-7.1747543911878431E-2</v>
      </c>
      <c r="AI17" s="14" t="s">
        <v>32</v>
      </c>
      <c r="AJ17" s="18">
        <f>(AJ16-AJ15)*(AJ14-AJ12)/(AJ13-AJ12)+AJ15</f>
        <v>-7.2660636759015129E-2</v>
      </c>
      <c r="AK17" s="16">
        <f>C254*AJ17</f>
        <v>-2.9049722576254244</v>
      </c>
      <c r="AL17" s="16" t="s">
        <v>33</v>
      </c>
    </row>
    <row r="18" spans="1:41" x14ac:dyDescent="0.35">
      <c r="A18" s="9">
        <v>43642</v>
      </c>
      <c r="B18" s="38">
        <f>Расчеты!G31/360</f>
        <v>2.1472222222222222E-2</v>
      </c>
      <c r="C18" s="11">
        <v>26.285</v>
      </c>
      <c r="D18" s="3">
        <f t="shared" si="0"/>
        <v>1.4081790123456672</v>
      </c>
      <c r="E18" s="3">
        <f t="shared" si="1"/>
        <v>1.3867067901234451</v>
      </c>
      <c r="F18" s="34">
        <v>2775.14</v>
      </c>
      <c r="G18" s="3">
        <f t="shared" si="2"/>
        <v>0.7690743511161946</v>
      </c>
      <c r="H18" s="3">
        <f t="shared" si="3"/>
        <v>0.74760212889397237</v>
      </c>
      <c r="I18" s="3">
        <f t="shared" si="9"/>
        <v>1.9229557217744684</v>
      </c>
      <c r="J18" s="3">
        <f t="shared" si="4"/>
        <v>0.55890894312679973</v>
      </c>
      <c r="K18" s="3">
        <f t="shared" si="5"/>
        <v>1.0367049484480144</v>
      </c>
      <c r="M18" s="8">
        <v>-4.1085271317829459</v>
      </c>
      <c r="N18" s="7">
        <f t="shared" si="6"/>
        <v>-4.1085271317829457E-2</v>
      </c>
      <c r="P18" s="23" t="s">
        <v>29</v>
      </c>
      <c r="Q18" s="24"/>
      <c r="R18" s="24"/>
      <c r="V18" s="7">
        <v>-4.1085271317829457E-2</v>
      </c>
      <c r="X18" s="23" t="s">
        <v>36</v>
      </c>
      <c r="Y18" s="24"/>
      <c r="Z18" s="24"/>
      <c r="AD18" s="8">
        <v>-4.1085271317829459</v>
      </c>
      <c r="AE18" s="8">
        <f t="shared" si="7"/>
        <v>-4.1085271317829459</v>
      </c>
      <c r="AF18" s="8">
        <v>-7.0278672143888166</v>
      </c>
      <c r="AG18" s="7">
        <f t="shared" si="8"/>
        <v>-7.0278672143888166E-2</v>
      </c>
      <c r="AI18" s="23" t="s">
        <v>63</v>
      </c>
      <c r="AJ18" s="24"/>
      <c r="AK18" s="24"/>
    </row>
    <row r="19" spans="1:41" ht="15" thickBot="1" x14ac:dyDescent="0.4">
      <c r="A19" s="9">
        <v>43643</v>
      </c>
      <c r="B19" s="38">
        <f>Расчеты!G32/360</f>
        <v>2.1416666666666667E-2</v>
      </c>
      <c r="C19" s="11">
        <v>26.32</v>
      </c>
      <c r="D19" s="3">
        <f t="shared" si="0"/>
        <v>0.13315579227697327</v>
      </c>
      <c r="E19" s="3">
        <f t="shared" si="1"/>
        <v>0.11173912561030661</v>
      </c>
      <c r="F19" s="34">
        <v>2779.66</v>
      </c>
      <c r="G19" s="3">
        <f t="shared" si="2"/>
        <v>0.16287466578261967</v>
      </c>
      <c r="H19" s="3">
        <f t="shared" si="3"/>
        <v>0.141457999115953</v>
      </c>
      <c r="I19" s="3">
        <f t="shared" si="9"/>
        <v>1.2485632192155878E-2</v>
      </c>
      <c r="J19" s="3">
        <f t="shared" si="4"/>
        <v>2.0010365513888958E-2</v>
      </c>
      <c r="K19" s="3">
        <f t="shared" si="5"/>
        <v>1.5806393131800114E-2</v>
      </c>
      <c r="M19" s="8">
        <v>-3.9691516709511543</v>
      </c>
      <c r="N19" s="7">
        <f t="shared" si="6"/>
        <v>-3.9691516709511543E-2</v>
      </c>
      <c r="P19" s="19" t="s">
        <v>26</v>
      </c>
      <c r="Q19" s="20">
        <f>AVERAGE(N5:N16)</f>
        <v>-6.3512677264177544E-2</v>
      </c>
      <c r="R19" s="21">
        <f>Q19*C254</f>
        <v>-2.5392368370218179</v>
      </c>
      <c r="S19" s="16" t="s">
        <v>33</v>
      </c>
      <c r="V19" s="7">
        <v>-3.9691516709511543E-2</v>
      </c>
      <c r="X19" s="19" t="s">
        <v>26</v>
      </c>
      <c r="Y19" s="20">
        <f>AVERAGE(V5:V10)</f>
        <v>-7.8554956985960586E-2</v>
      </c>
      <c r="Z19" s="21">
        <f>Y19*C254</f>
        <v>-3.1406271802987038</v>
      </c>
      <c r="AA19" s="16" t="s">
        <v>33</v>
      </c>
      <c r="AD19" s="8">
        <v>-3.9691516709511543</v>
      </c>
      <c r="AE19" s="8">
        <f t="shared" si="7"/>
        <v>-3.9691516709511543</v>
      </c>
      <c r="AF19" s="8">
        <v>-6.9575200918484459</v>
      </c>
      <c r="AG19" s="7">
        <f t="shared" si="8"/>
        <v>-6.9575200918484459E-2</v>
      </c>
      <c r="AI19" s="19" t="s">
        <v>26</v>
      </c>
      <c r="AJ19" s="20">
        <f>AVERAGE(AG5:AG16)</f>
        <v>-9.7692441787702866E-2</v>
      </c>
      <c r="AK19" s="21">
        <f>AJ19*C254</f>
        <v>-3.9057438226723602</v>
      </c>
      <c r="AL19" s="16" t="s">
        <v>33</v>
      </c>
    </row>
    <row r="20" spans="1:41" x14ac:dyDescent="0.35">
      <c r="A20" s="9">
        <v>43644</v>
      </c>
      <c r="B20" s="38">
        <f>Расчеты!G33/360</f>
        <v>2.1444444444444443E-2</v>
      </c>
      <c r="C20" s="11">
        <v>26.34</v>
      </c>
      <c r="D20" s="3">
        <f t="shared" si="0"/>
        <v>7.5987841945290846E-2</v>
      </c>
      <c r="E20" s="3">
        <f t="shared" si="1"/>
        <v>5.4543397500846399E-2</v>
      </c>
      <c r="F20" s="34">
        <v>2765.85</v>
      </c>
      <c r="G20" s="3">
        <f t="shared" si="2"/>
        <v>-0.49682335249634502</v>
      </c>
      <c r="H20" s="3">
        <f t="shared" si="3"/>
        <v>-0.5182677969407895</v>
      </c>
      <c r="I20" s="3">
        <f t="shared" si="9"/>
        <v>2.9749822109353371E-3</v>
      </c>
      <c r="J20" s="3">
        <f t="shared" si="4"/>
        <v>0.26860150934585941</v>
      </c>
      <c r="K20" s="3">
        <f t="shared" si="5"/>
        <v>-2.8268086460429429E-2</v>
      </c>
      <c r="M20" s="8">
        <v>-3.9320657190326846</v>
      </c>
      <c r="N20" s="7">
        <f t="shared" si="6"/>
        <v>-3.9320657190326846E-2</v>
      </c>
      <c r="P20" s="24" t="s">
        <v>34</v>
      </c>
      <c r="Q20" s="24"/>
      <c r="R20" s="24"/>
      <c r="S20" s="24"/>
      <c r="T20" s="24"/>
      <c r="V20" s="7">
        <v>-3.9320657190326846E-2</v>
      </c>
      <c r="X20" s="24" t="s">
        <v>37</v>
      </c>
      <c r="Y20" s="24"/>
      <c r="Z20" s="24"/>
      <c r="AA20" s="24"/>
      <c r="AB20" s="24"/>
      <c r="AD20" s="8">
        <v>-3.9320657190326846</v>
      </c>
      <c r="AE20" s="8">
        <f t="shared" si="7"/>
        <v>-3.9320657190326846</v>
      </c>
      <c r="AF20" s="8">
        <v>-6.9400630914826511</v>
      </c>
      <c r="AG20" s="7">
        <f t="shared" si="8"/>
        <v>-6.9400630914826511E-2</v>
      </c>
      <c r="AI20" s="24" t="s">
        <v>64</v>
      </c>
      <c r="AJ20" s="24"/>
      <c r="AK20" s="24"/>
      <c r="AL20" s="24"/>
      <c r="AM20" s="24"/>
      <c r="AN20" s="24"/>
      <c r="AO20" s="24"/>
    </row>
    <row r="21" spans="1:41" x14ac:dyDescent="0.35">
      <c r="A21" s="9">
        <v>43647</v>
      </c>
      <c r="B21" s="38">
        <f>Расчеты!G34/360</f>
        <v>2.1333333333333333E-2</v>
      </c>
      <c r="C21" s="11">
        <v>26.37</v>
      </c>
      <c r="D21" s="3">
        <f t="shared" si="0"/>
        <v>0.1138952164009055</v>
      </c>
      <c r="E21" s="3">
        <f t="shared" si="1"/>
        <v>9.2561883067572168E-2</v>
      </c>
      <c r="F21" s="34">
        <v>2801.47</v>
      </c>
      <c r="G21" s="3">
        <f t="shared" si="2"/>
        <v>1.2878500280203209</v>
      </c>
      <c r="H21" s="3">
        <f t="shared" si="3"/>
        <v>1.2665166946869875</v>
      </c>
      <c r="I21" s="3">
        <f t="shared" si="9"/>
        <v>8.5677021970149026E-3</v>
      </c>
      <c r="J21" s="3">
        <f t="shared" si="4"/>
        <v>1.6040645379208518</v>
      </c>
      <c r="K21" s="3">
        <f t="shared" si="5"/>
        <v>0.11723117019674494</v>
      </c>
      <c r="M21" s="8">
        <v>-3.8726513569937282</v>
      </c>
      <c r="N21" s="7">
        <f t="shared" si="6"/>
        <v>-3.8726513569937282E-2</v>
      </c>
      <c r="V21" s="7">
        <v>-3.8726513569937282E-2</v>
      </c>
      <c r="AD21" s="8">
        <v>-3.8726513569937282</v>
      </c>
      <c r="AE21" s="8">
        <f t="shared" si="7"/>
        <v>-3.8726513569937282</v>
      </c>
      <c r="AF21" s="8">
        <v>-6.4625850340136015</v>
      </c>
      <c r="AG21" s="7">
        <f t="shared" si="8"/>
        <v>-6.4625850340136015E-2</v>
      </c>
    </row>
    <row r="22" spans="1:41" x14ac:dyDescent="0.35">
      <c r="A22" s="9">
        <v>43648</v>
      </c>
      <c r="B22" s="38">
        <f>Расчеты!G35/360</f>
        <v>2.1222222222222222E-2</v>
      </c>
      <c r="C22" s="11">
        <v>26.734999999999999</v>
      </c>
      <c r="D22" s="3">
        <f t="shared" si="0"/>
        <v>1.3841486537732317</v>
      </c>
      <c r="E22" s="3">
        <f t="shared" si="1"/>
        <v>1.3629264315510095</v>
      </c>
      <c r="F22" s="34">
        <v>2809.81</v>
      </c>
      <c r="G22" s="3">
        <f t="shared" si="2"/>
        <v>0.29770084991094237</v>
      </c>
      <c r="H22" s="3">
        <f t="shared" si="3"/>
        <v>0.27647862768872017</v>
      </c>
      <c r="I22" s="3">
        <f t="shared" si="9"/>
        <v>1.8575684578203684</v>
      </c>
      <c r="J22" s="3">
        <f t="shared" si="4"/>
        <v>7.6440431568637945E-2</v>
      </c>
      <c r="K22" s="3">
        <f t="shared" si="5"/>
        <v>0.37682002943590748</v>
      </c>
      <c r="M22" s="8">
        <v>-3.4531436638071566</v>
      </c>
      <c r="N22" s="7">
        <f t="shared" si="6"/>
        <v>-3.4531436638071566E-2</v>
      </c>
      <c r="V22" s="7">
        <v>-3.4531436638071566E-2</v>
      </c>
      <c r="AD22" s="8">
        <v>-3.4531436638071566</v>
      </c>
      <c r="AE22" s="8">
        <f t="shared" si="7"/>
        <v>-3.4531436638071566</v>
      </c>
      <c r="AF22" s="8">
        <v>-6.3189269746646959</v>
      </c>
      <c r="AG22" s="7">
        <f t="shared" si="8"/>
        <v>-6.3189269746646959E-2</v>
      </c>
    </row>
    <row r="23" spans="1:41" x14ac:dyDescent="0.35">
      <c r="A23" s="9">
        <v>43649</v>
      </c>
      <c r="B23" s="38">
        <f>Расчеты!G36/360</f>
        <v>2.1111111111111112E-2</v>
      </c>
      <c r="C23" s="11">
        <v>26.8</v>
      </c>
      <c r="D23" s="3">
        <f t="shared" si="0"/>
        <v>0.24312698709556546</v>
      </c>
      <c r="E23" s="3">
        <f t="shared" si="1"/>
        <v>0.22201587598445435</v>
      </c>
      <c r="F23" s="34">
        <v>2823.95</v>
      </c>
      <c r="G23" s="3">
        <f t="shared" si="2"/>
        <v>0.50323687366760073</v>
      </c>
      <c r="H23" s="3">
        <f t="shared" si="3"/>
        <v>0.48212576255648959</v>
      </c>
      <c r="I23" s="3">
        <f t="shared" si="9"/>
        <v>4.9291049189144613E-2</v>
      </c>
      <c r="J23" s="3">
        <f t="shared" si="4"/>
        <v>0.23244525092067658</v>
      </c>
      <c r="K23" s="3">
        <f t="shared" si="5"/>
        <v>0.10703957350865208</v>
      </c>
      <c r="M23" s="8">
        <v>-3.4343434343434454</v>
      </c>
      <c r="N23" s="7">
        <f t="shared" si="6"/>
        <v>-3.4343434343434454E-2</v>
      </c>
      <c r="V23" s="7">
        <v>-3.4343434343434454E-2</v>
      </c>
      <c r="AD23" s="8">
        <v>-3.4343434343434454</v>
      </c>
      <c r="AE23" s="8">
        <f t="shared" si="7"/>
        <v>-3.4343434343434454</v>
      </c>
      <c r="AF23" s="8">
        <v>-5.9049447911665887</v>
      </c>
      <c r="AG23" s="7">
        <f t="shared" si="8"/>
        <v>-5.9049447911665887E-2</v>
      </c>
    </row>
    <row r="24" spans="1:41" x14ac:dyDescent="0.35">
      <c r="A24" s="9">
        <v>43650</v>
      </c>
      <c r="B24" s="38">
        <f>Расчеты!G37/360</f>
        <v>2.0999999999999998E-2</v>
      </c>
      <c r="C24" s="11">
        <v>26.85</v>
      </c>
      <c r="D24" s="3">
        <f t="shared" si="0"/>
        <v>0.18656716417910779</v>
      </c>
      <c r="E24" s="3">
        <f t="shared" si="1"/>
        <v>0.1655671641791078</v>
      </c>
      <c r="F24" s="34">
        <v>2842.78</v>
      </c>
      <c r="G24" s="3">
        <f t="shared" si="2"/>
        <v>0.66679650843677329</v>
      </c>
      <c r="H24" s="3">
        <f t="shared" si="3"/>
        <v>0.64579650843677328</v>
      </c>
      <c r="I24" s="3">
        <f t="shared" si="9"/>
        <v>2.7412485854311636E-2</v>
      </c>
      <c r="J24" s="3">
        <f t="shared" si="4"/>
        <v>0.41705313030912738</v>
      </c>
      <c r="K24" s="3">
        <f t="shared" si="5"/>
        <v>0.10692269653864582</v>
      </c>
      <c r="M24" s="8">
        <v>-3.3023872679045163</v>
      </c>
      <c r="N24" s="7">
        <f t="shared" si="6"/>
        <v>-3.3023872679045163E-2</v>
      </c>
      <c r="V24" s="7">
        <v>-3.3023872679045163E-2</v>
      </c>
      <c r="AD24" s="8">
        <v>-3.3023872679045163</v>
      </c>
      <c r="AE24" s="8">
        <f t="shared" si="7"/>
        <v>-3.3023872679045163</v>
      </c>
      <c r="AF24" s="8">
        <v>-5.677933915685518</v>
      </c>
      <c r="AG24" s="7">
        <f t="shared" si="8"/>
        <v>-5.677933915685518E-2</v>
      </c>
    </row>
    <row r="25" spans="1:41" x14ac:dyDescent="0.35">
      <c r="A25" s="9">
        <v>43651</v>
      </c>
      <c r="B25" s="38">
        <f>Расчеты!G38/360</f>
        <v>2.0999999999999998E-2</v>
      </c>
      <c r="C25" s="11">
        <v>26.8</v>
      </c>
      <c r="D25" s="3">
        <f t="shared" si="0"/>
        <v>-0.18621973929237035</v>
      </c>
      <c r="E25" s="3">
        <f t="shared" si="1"/>
        <v>-0.20721973929237034</v>
      </c>
      <c r="F25" s="34">
        <v>2835.35</v>
      </c>
      <c r="G25" s="3">
        <f t="shared" si="2"/>
        <v>-0.26136387620570023</v>
      </c>
      <c r="H25" s="3">
        <f t="shared" si="3"/>
        <v>-0.28236387620570025</v>
      </c>
      <c r="I25" s="3">
        <f t="shared" si="9"/>
        <v>4.2940020352397933E-2</v>
      </c>
      <c r="J25" s="3">
        <f t="shared" si="4"/>
        <v>7.9729358585908017E-2</v>
      </c>
      <c r="K25" s="3">
        <f t="shared" si="5"/>
        <v>5.8511368812928337E-2</v>
      </c>
      <c r="M25" s="8">
        <v>-3.28618968386023</v>
      </c>
      <c r="N25" s="7">
        <f t="shared" si="6"/>
        <v>-3.28618968386023E-2</v>
      </c>
      <c r="V25" s="7">
        <v>-3.28618968386023E-2</v>
      </c>
      <c r="AD25" s="8">
        <v>-3.28618968386023</v>
      </c>
      <c r="AE25" s="8">
        <f t="shared" si="7"/>
        <v>-3.28618968386023</v>
      </c>
      <c r="AF25" s="8">
        <v>-5.5084745762711833</v>
      </c>
      <c r="AG25" s="7">
        <f t="shared" si="8"/>
        <v>-5.5084745762711836E-2</v>
      </c>
    </row>
    <row r="26" spans="1:41" x14ac:dyDescent="0.35">
      <c r="A26" s="9">
        <v>43654</v>
      </c>
      <c r="B26" s="38">
        <f>Расчеты!G39/360</f>
        <v>2.1055555555555557E-2</v>
      </c>
      <c r="C26" s="11">
        <v>26.92</v>
      </c>
      <c r="D26" s="3">
        <f t="shared" si="0"/>
        <v>0.44776119402984982</v>
      </c>
      <c r="E26" s="3">
        <f t="shared" si="1"/>
        <v>0.42670563847429427</v>
      </c>
      <c r="F26" s="34">
        <v>2822.55</v>
      </c>
      <c r="G26" s="3">
        <f t="shared" si="2"/>
        <v>-0.45144338441461818</v>
      </c>
      <c r="H26" s="3">
        <f t="shared" si="3"/>
        <v>-0.47249893997017373</v>
      </c>
      <c r="I26" s="3">
        <f t="shared" si="9"/>
        <v>0.18207770190575512</v>
      </c>
      <c r="J26" s="3">
        <f t="shared" si="4"/>
        <v>0.22325524827293783</v>
      </c>
      <c r="K26" s="3">
        <f t="shared" si="5"/>
        <v>-0.20161796185840022</v>
      </c>
      <c r="M26" s="8">
        <v>-3.0533315239516856</v>
      </c>
      <c r="N26" s="7">
        <f t="shared" si="6"/>
        <v>-3.0533315239516856E-2</v>
      </c>
      <c r="V26" s="7">
        <v>-3.0533315239516856E-2</v>
      </c>
      <c r="AD26" s="8">
        <v>-3.0533315239516856</v>
      </c>
      <c r="AE26" s="8">
        <f t="shared" si="7"/>
        <v>-3.0533315239516856</v>
      </c>
      <c r="AF26" s="8">
        <v>-5.3295932678821822</v>
      </c>
      <c r="AG26" s="7">
        <f t="shared" si="8"/>
        <v>-5.3295932678821822E-2</v>
      </c>
    </row>
    <row r="27" spans="1:41" x14ac:dyDescent="0.35">
      <c r="A27" s="9">
        <v>43655</v>
      </c>
      <c r="B27" s="38">
        <f>Расчеты!G40/360</f>
        <v>2.1138888888888891E-2</v>
      </c>
      <c r="C27" s="11">
        <v>27.2</v>
      </c>
      <c r="D27" s="3">
        <f t="shared" si="0"/>
        <v>1.0401188707280795</v>
      </c>
      <c r="E27" s="3">
        <f t="shared" si="1"/>
        <v>1.0189799818391907</v>
      </c>
      <c r="F27" s="34">
        <v>2822.66</v>
      </c>
      <c r="G27" s="3">
        <f t="shared" si="2"/>
        <v>3.897185169421391E-3</v>
      </c>
      <c r="H27" s="3">
        <f t="shared" si="3"/>
        <v>-1.72417037194675E-2</v>
      </c>
      <c r="I27" s="3">
        <f t="shared" si="9"/>
        <v>1.0383202033889973</v>
      </c>
      <c r="J27" s="3">
        <f t="shared" si="4"/>
        <v>2.9727634714989945E-4</v>
      </c>
      <c r="K27" s="3">
        <f t="shared" si="5"/>
        <v>-1.7568950942939698E-2</v>
      </c>
      <c r="M27" s="8">
        <v>-2.9419191919191845</v>
      </c>
      <c r="N27" s="7">
        <f t="shared" si="6"/>
        <v>-2.9419191919191845E-2</v>
      </c>
      <c r="V27" s="7">
        <v>-2.9419191919191845E-2</v>
      </c>
      <c r="AD27" s="8">
        <v>-2.9419191919191845</v>
      </c>
      <c r="AE27" s="8">
        <f t="shared" si="7"/>
        <v>-2.9419191919191845</v>
      </c>
      <c r="AF27" s="8">
        <v>-5.2909090909090795</v>
      </c>
      <c r="AG27" s="7">
        <f t="shared" si="8"/>
        <v>-5.2909090909090795E-2</v>
      </c>
    </row>
    <row r="28" spans="1:41" x14ac:dyDescent="0.35">
      <c r="A28" s="9">
        <v>43656</v>
      </c>
      <c r="B28" s="38">
        <f>Расчеты!G41/360</f>
        <v>2.1166666666666667E-2</v>
      </c>
      <c r="C28" s="11">
        <v>27.145</v>
      </c>
      <c r="D28" s="3">
        <f t="shared" si="0"/>
        <v>-0.20220588235293491</v>
      </c>
      <c r="E28" s="3">
        <f t="shared" si="1"/>
        <v>-0.22337254901960157</v>
      </c>
      <c r="F28" s="34">
        <v>2822.75</v>
      </c>
      <c r="G28" s="3">
        <f t="shared" si="2"/>
        <v>3.1884817866867365E-3</v>
      </c>
      <c r="H28" s="3">
        <f t="shared" si="3"/>
        <v>-1.797818487997993E-2</v>
      </c>
      <c r="I28" s="3">
        <f t="shared" si="9"/>
        <v>4.9895295655514309E-2</v>
      </c>
      <c r="J28" s="3">
        <f t="shared" si="4"/>
        <v>3.2321513157873897E-4</v>
      </c>
      <c r="K28" s="3">
        <f t="shared" si="5"/>
        <v>4.015832983386777E-3</v>
      </c>
      <c r="M28" s="8">
        <v>-2.8856526429342</v>
      </c>
      <c r="N28" s="7">
        <f t="shared" si="6"/>
        <v>-2.8856526429342E-2</v>
      </c>
      <c r="V28" s="7">
        <v>-2.8856526429342E-2</v>
      </c>
      <c r="AD28" s="8">
        <v>-2.8856526429342</v>
      </c>
      <c r="AE28" s="8">
        <f t="shared" si="7"/>
        <v>-2.8856526429342</v>
      </c>
      <c r="AF28" s="8">
        <v>-5.1428571428571379</v>
      </c>
      <c r="AG28" s="7">
        <f t="shared" si="8"/>
        <v>-5.1428571428571379E-2</v>
      </c>
    </row>
    <row r="29" spans="1:41" x14ac:dyDescent="0.35">
      <c r="A29" s="9">
        <v>43657</v>
      </c>
      <c r="B29" s="38">
        <f>Расчеты!G42/360</f>
        <v>2.1027777777777777E-2</v>
      </c>
      <c r="C29" s="11">
        <v>26.704999999999998</v>
      </c>
      <c r="D29" s="3">
        <f t="shared" si="0"/>
        <v>-1.620924663842338</v>
      </c>
      <c r="E29" s="3">
        <f t="shared" si="1"/>
        <v>-1.6419524416201159</v>
      </c>
      <c r="F29" s="34">
        <v>2789.66</v>
      </c>
      <c r="G29" s="3">
        <f t="shared" si="2"/>
        <v>-1.1722610929058574</v>
      </c>
      <c r="H29" s="3">
        <f t="shared" si="3"/>
        <v>-1.1932888706836353</v>
      </c>
      <c r="I29" s="3">
        <f t="shared" si="9"/>
        <v>2.6960078205422602</v>
      </c>
      <c r="J29" s="3">
        <f t="shared" si="4"/>
        <v>1.4239383288974257</v>
      </c>
      <c r="K29" s="3">
        <f t="shared" si="5"/>
        <v>1.9593235747771058</v>
      </c>
      <c r="M29" s="8">
        <v>-2.8481012658227889</v>
      </c>
      <c r="N29" s="7">
        <f t="shared" si="6"/>
        <v>-2.8481012658227889E-2</v>
      </c>
      <c r="V29" s="7">
        <v>-2.8481012658227889E-2</v>
      </c>
      <c r="AD29" s="8">
        <v>-2.8481012658227889</v>
      </c>
      <c r="AE29" s="8">
        <f t="shared" si="7"/>
        <v>-2.8481012658227889</v>
      </c>
      <c r="AF29" s="8">
        <v>-5.087939698492483</v>
      </c>
      <c r="AG29" s="7">
        <f t="shared" si="8"/>
        <v>-5.087939698492483E-2</v>
      </c>
    </row>
    <row r="30" spans="1:41" x14ac:dyDescent="0.35">
      <c r="A30" s="9">
        <v>43658</v>
      </c>
      <c r="B30" s="38">
        <f>Расчеты!G43/360</f>
        <v>2.0999999999999998E-2</v>
      </c>
      <c r="C30" s="11">
        <v>26.79</v>
      </c>
      <c r="D30" s="3">
        <f t="shared" si="0"/>
        <v>0.31829245459651379</v>
      </c>
      <c r="E30" s="3">
        <f t="shared" si="1"/>
        <v>0.29729245459651377</v>
      </c>
      <c r="F30" s="34">
        <v>2777.58</v>
      </c>
      <c r="G30" s="3">
        <f t="shared" si="2"/>
        <v>-0.43302768079264142</v>
      </c>
      <c r="H30" s="3">
        <f t="shared" si="3"/>
        <v>-0.45402768079264144</v>
      </c>
      <c r="I30" s="3">
        <f t="shared" si="9"/>
        <v>8.8382803560020193E-2</v>
      </c>
      <c r="J30" s="3">
        <f t="shared" si="4"/>
        <v>0.20614113492594471</v>
      </c>
      <c r="K30" s="3">
        <f t="shared" si="5"/>
        <v>-0.13497900367760679</v>
      </c>
      <c r="M30" s="8">
        <v>-2.6253646339769454</v>
      </c>
      <c r="N30" s="7">
        <f t="shared" si="6"/>
        <v>-2.6253646339769454E-2</v>
      </c>
      <c r="V30" s="7">
        <v>-2.6253646339769454E-2</v>
      </c>
      <c r="AD30" s="8">
        <v>-2.6253646339769454</v>
      </c>
      <c r="AE30" s="8">
        <f t="shared" si="7"/>
        <v>-2.6253646339769454</v>
      </c>
      <c r="AF30" s="8">
        <v>-5.0612979417388404</v>
      </c>
      <c r="AG30" s="7">
        <f t="shared" si="8"/>
        <v>-5.0612979417388404E-2</v>
      </c>
    </row>
    <row r="31" spans="1:41" x14ac:dyDescent="0.35">
      <c r="A31" s="9">
        <v>43661</v>
      </c>
      <c r="B31" s="38">
        <f>Расчеты!G44/360</f>
        <v>2.0999999999999998E-2</v>
      </c>
      <c r="C31" s="11">
        <v>26.57</v>
      </c>
      <c r="D31" s="3">
        <f t="shared" si="0"/>
        <v>-0.82120194102276445</v>
      </c>
      <c r="E31" s="3">
        <f t="shared" si="1"/>
        <v>-0.84220194102276447</v>
      </c>
      <c r="F31" s="34">
        <v>2756.44</v>
      </c>
      <c r="G31" s="3">
        <f t="shared" si="2"/>
        <v>-0.7610941899063195</v>
      </c>
      <c r="H31" s="3">
        <f t="shared" si="3"/>
        <v>-0.78209418990631951</v>
      </c>
      <c r="I31" s="3">
        <f t="shared" si="9"/>
        <v>0.70930410946251199</v>
      </c>
      <c r="J31" s="3">
        <f t="shared" si="4"/>
        <v>0.61167132188522222</v>
      </c>
      <c r="K31" s="3">
        <f t="shared" si="5"/>
        <v>0.65868124480172885</v>
      </c>
      <c r="M31" s="8">
        <v>-2.6059525442326037</v>
      </c>
      <c r="N31" s="7">
        <f t="shared" si="6"/>
        <v>-2.6059525442326037E-2</v>
      </c>
      <c r="V31" s="7">
        <v>-2.6059525442326037E-2</v>
      </c>
      <c r="AD31" s="8">
        <v>-2.6059525442326037</v>
      </c>
      <c r="AE31" s="8">
        <f t="shared" si="7"/>
        <v>-2.6059525442326037</v>
      </c>
      <c r="AF31" s="8">
        <v>-5.0088495575221215</v>
      </c>
      <c r="AG31" s="7">
        <f t="shared" si="8"/>
        <v>-5.0088495575221215E-2</v>
      </c>
    </row>
    <row r="32" spans="1:41" x14ac:dyDescent="0.35">
      <c r="A32" s="9">
        <v>43662</v>
      </c>
      <c r="B32" s="38">
        <f>Расчеты!G45/360</f>
        <v>2.0999999999999998E-2</v>
      </c>
      <c r="C32" s="11">
        <v>26.83</v>
      </c>
      <c r="D32" s="3">
        <f t="shared" si="0"/>
        <v>0.97854723372223784</v>
      </c>
      <c r="E32" s="3">
        <f t="shared" si="1"/>
        <v>0.95754723372223782</v>
      </c>
      <c r="F32" s="34">
        <v>2755.88</v>
      </c>
      <c r="G32" s="3">
        <f t="shared" si="2"/>
        <v>-2.031605984530449E-2</v>
      </c>
      <c r="H32" s="3">
        <f t="shared" si="3"/>
        <v>-4.1316059845304488E-2</v>
      </c>
      <c r="I32" s="3">
        <f t="shared" si="9"/>
        <v>0.9168967048091099</v>
      </c>
      <c r="J32" s="3">
        <f t="shared" si="4"/>
        <v>1.707016801140782E-3</v>
      </c>
      <c r="K32" s="3">
        <f t="shared" si="5"/>
        <v>-3.9562078813173744E-2</v>
      </c>
      <c r="M32" s="8">
        <v>-2.5813692480359141</v>
      </c>
      <c r="N32" s="7">
        <f t="shared" si="6"/>
        <v>-2.5813692480359141E-2</v>
      </c>
      <c r="V32" s="7">
        <v>-2.5813692480359141E-2</v>
      </c>
      <c r="AD32" s="8">
        <v>-2.5813692480359141</v>
      </c>
      <c r="AE32" s="8">
        <f t="shared" si="7"/>
        <v>-2.5813692480359141</v>
      </c>
      <c r="AF32" s="8">
        <v>-4.9300748693318353</v>
      </c>
      <c r="AG32" s="7">
        <f t="shared" si="8"/>
        <v>-4.9300748693318353E-2</v>
      </c>
    </row>
    <row r="33" spans="1:33" x14ac:dyDescent="0.35">
      <c r="A33" s="9">
        <v>43663</v>
      </c>
      <c r="B33" s="38">
        <f>Расчеты!G46/360</f>
        <v>2.0972222222222222E-2</v>
      </c>
      <c r="C33" s="11">
        <v>26.405000000000001</v>
      </c>
      <c r="D33" s="3">
        <f t="shared" si="0"/>
        <v>-1.5840477077897819</v>
      </c>
      <c r="E33" s="3">
        <f t="shared" si="1"/>
        <v>-1.605019930012004</v>
      </c>
      <c r="F33" s="34">
        <v>2713.17</v>
      </c>
      <c r="G33" s="3">
        <f t="shared" si="2"/>
        <v>-1.5497772036518254</v>
      </c>
      <c r="H33" s="3">
        <f t="shared" si="3"/>
        <v>-1.5707494258740475</v>
      </c>
      <c r="I33" s="3">
        <f t="shared" si="9"/>
        <v>2.5760889757357384</v>
      </c>
      <c r="J33" s="3">
        <f t="shared" si="4"/>
        <v>2.4672537588836501</v>
      </c>
      <c r="K33" s="3">
        <f t="shared" si="5"/>
        <v>2.5210841335827592</v>
      </c>
      <c r="M33" s="8">
        <v>-2.5657681065280991</v>
      </c>
      <c r="N33" s="7">
        <f t="shared" si="6"/>
        <v>-2.5657681065280991E-2</v>
      </c>
      <c r="V33" s="7">
        <v>-2.5657681065280991E-2</v>
      </c>
      <c r="AD33" s="8">
        <v>-2.5657681065280991</v>
      </c>
      <c r="AE33" s="8">
        <f t="shared" si="7"/>
        <v>-2.5657681065280991</v>
      </c>
      <c r="AF33" s="8">
        <v>-4.880860876249038</v>
      </c>
      <c r="AG33" s="7">
        <f t="shared" si="8"/>
        <v>-4.880860876249038E-2</v>
      </c>
    </row>
    <row r="34" spans="1:33" x14ac:dyDescent="0.35">
      <c r="A34" s="9">
        <v>43664</v>
      </c>
      <c r="B34" s="38">
        <f>Расчеты!G47/360</f>
        <v>2.0972222222222222E-2</v>
      </c>
      <c r="C34" s="11">
        <v>26.265000000000001</v>
      </c>
      <c r="D34" s="3">
        <f t="shared" si="0"/>
        <v>-0.53020261314145056</v>
      </c>
      <c r="E34" s="3">
        <f t="shared" si="1"/>
        <v>-0.55117483536367273</v>
      </c>
      <c r="F34" s="34">
        <v>2702.59</v>
      </c>
      <c r="G34" s="3">
        <f t="shared" si="2"/>
        <v>-0.3899497635607041</v>
      </c>
      <c r="H34" s="3">
        <f t="shared" si="3"/>
        <v>-0.41092198578292632</v>
      </c>
      <c r="I34" s="3">
        <f t="shared" si="9"/>
        <v>0.30379369913817172</v>
      </c>
      <c r="J34" s="3">
        <f t="shared" si="4"/>
        <v>0.1688568783997835</v>
      </c>
      <c r="K34" s="3">
        <f t="shared" si="5"/>
        <v>0.22648985786121789</v>
      </c>
      <c r="M34" s="8">
        <v>-2.4340527577937698</v>
      </c>
      <c r="N34" s="7">
        <f t="shared" si="6"/>
        <v>-2.4340527577937698E-2</v>
      </c>
      <c r="V34" s="7">
        <v>-2.4340527577937698E-2</v>
      </c>
      <c r="AD34" s="8">
        <v>-2.4340527577937698</v>
      </c>
      <c r="AE34" s="8">
        <f t="shared" si="7"/>
        <v>-2.4340527577937698</v>
      </c>
      <c r="AF34" s="8">
        <v>-4.4000490256158926</v>
      </c>
      <c r="AG34" s="7">
        <f t="shared" si="8"/>
        <v>-4.4000490256158924E-2</v>
      </c>
    </row>
    <row r="35" spans="1:33" x14ac:dyDescent="0.35">
      <c r="A35" s="9">
        <v>43665</v>
      </c>
      <c r="B35" s="38">
        <f>Расчеты!G48/360</f>
        <v>2.0999999999999998E-2</v>
      </c>
      <c r="C35" s="11">
        <v>26.385000000000002</v>
      </c>
      <c r="D35" s="3">
        <f t="shared" si="0"/>
        <v>0.45688178183895811</v>
      </c>
      <c r="E35" s="3">
        <f t="shared" si="1"/>
        <v>0.43588178183895809</v>
      </c>
      <c r="F35" s="34">
        <v>2700.57</v>
      </c>
      <c r="G35" s="3">
        <f t="shared" si="2"/>
        <v>-7.4743116787967523E-2</v>
      </c>
      <c r="H35" s="3">
        <f t="shared" si="3"/>
        <v>-9.5743116787967514E-2</v>
      </c>
      <c r="I35" s="3">
        <f t="shared" si="9"/>
        <v>0.18999292773910506</v>
      </c>
      <c r="J35" s="3">
        <f t="shared" si="4"/>
        <v>9.1667444122743875E-3</v>
      </c>
      <c r="K35" s="3">
        <f t="shared" si="5"/>
        <v>-4.173268034435474E-2</v>
      </c>
      <c r="M35" s="8">
        <v>-2.1975308641975277</v>
      </c>
      <c r="N35" s="7">
        <f t="shared" si="6"/>
        <v>-2.1975308641975277E-2</v>
      </c>
      <c r="V35" s="7">
        <v>-2.1975308641975277E-2</v>
      </c>
      <c r="AD35" s="8">
        <v>-2.1975308641975277</v>
      </c>
      <c r="AE35" s="8">
        <f t="shared" si="7"/>
        <v>-2.1975308641975277</v>
      </c>
      <c r="AF35" s="8">
        <v>-4.250751395448682</v>
      </c>
      <c r="AG35" s="7">
        <f t="shared" si="8"/>
        <v>-4.250751395448682E-2</v>
      </c>
    </row>
    <row r="36" spans="1:33" x14ac:dyDescent="0.35">
      <c r="A36" s="9">
        <v>43668</v>
      </c>
      <c r="B36" s="38">
        <f>Расчеты!G49/360</f>
        <v>2.0916666666666667E-2</v>
      </c>
      <c r="C36" s="11">
        <v>25.995000000000001</v>
      </c>
      <c r="D36" s="3">
        <f t="shared" si="0"/>
        <v>-1.4781125639567905</v>
      </c>
      <c r="E36" s="3">
        <f t="shared" si="1"/>
        <v>-1.4990292306234572</v>
      </c>
      <c r="F36" s="34">
        <v>2684.25</v>
      </c>
      <c r="G36" s="3">
        <f t="shared" si="2"/>
        <v>-0.60431686643931393</v>
      </c>
      <c r="H36" s="3">
        <f t="shared" si="3"/>
        <v>-0.62523353310598062</v>
      </c>
      <c r="I36" s="3">
        <f t="shared" si="9"/>
        <v>2.2470886342635539</v>
      </c>
      <c r="J36" s="3">
        <f t="shared" si="4"/>
        <v>0.39091697092018735</v>
      </c>
      <c r="K36" s="3">
        <f t="shared" si="5"/>
        <v>0.93724334209184401</v>
      </c>
      <c r="M36" s="8">
        <v>-2.1178765500905583</v>
      </c>
      <c r="N36" s="7">
        <f t="shared" si="6"/>
        <v>-2.1178765500905583E-2</v>
      </c>
      <c r="V36" s="7">
        <v>-2.1178765500905583E-2</v>
      </c>
      <c r="AD36" s="8">
        <v>-2.1178765500905583</v>
      </c>
      <c r="AE36" s="8">
        <f t="shared" si="7"/>
        <v>-2.1178765500905583</v>
      </c>
      <c r="AF36" s="8">
        <v>-4.1706769329483588</v>
      </c>
      <c r="AG36" s="7">
        <f t="shared" si="8"/>
        <v>-4.1706769329483591E-2</v>
      </c>
    </row>
    <row r="37" spans="1:33" x14ac:dyDescent="0.35">
      <c r="A37" s="9">
        <v>43669</v>
      </c>
      <c r="B37" s="38">
        <f>Расчеты!G50/360</f>
        <v>2.0916666666666667E-2</v>
      </c>
      <c r="C37" s="11">
        <v>26.63</v>
      </c>
      <c r="D37" s="3">
        <f t="shared" si="0"/>
        <v>2.4427774572032934</v>
      </c>
      <c r="E37" s="3">
        <f t="shared" si="1"/>
        <v>2.421860790536627</v>
      </c>
      <c r="F37" s="34">
        <v>2701.06</v>
      </c>
      <c r="G37" s="3">
        <f t="shared" si="2"/>
        <v>0.62624569246529926</v>
      </c>
      <c r="H37" s="3">
        <f t="shared" si="3"/>
        <v>0.60532902579863257</v>
      </c>
      <c r="I37" s="3">
        <f t="shared" si="9"/>
        <v>5.8654096887386959</v>
      </c>
      <c r="J37" s="3">
        <f t="shared" si="4"/>
        <v>0.3664232294743216</v>
      </c>
      <c r="K37" s="3">
        <f t="shared" si="5"/>
        <v>1.4660226329554424</v>
      </c>
      <c r="M37" s="8">
        <v>-1.9433835093237373</v>
      </c>
      <c r="N37" s="7">
        <f t="shared" si="6"/>
        <v>-1.9433835093237373E-2</v>
      </c>
      <c r="V37" s="7">
        <v>-1.9433835093237373E-2</v>
      </c>
      <c r="AD37" s="8">
        <v>-1.9433835093237373</v>
      </c>
      <c r="AE37" s="8">
        <f t="shared" si="7"/>
        <v>-1.9433835093237373</v>
      </c>
      <c r="AF37" s="8">
        <v>-4.1085271317829459</v>
      </c>
      <c r="AG37" s="7">
        <f t="shared" si="8"/>
        <v>-4.1085271317829457E-2</v>
      </c>
    </row>
    <row r="38" spans="1:33" x14ac:dyDescent="0.35">
      <c r="A38" s="9">
        <v>43670</v>
      </c>
      <c r="B38" s="38">
        <f>Расчеты!G51/360</f>
        <v>2.0749999999999998E-2</v>
      </c>
      <c r="C38" s="11">
        <v>26.63</v>
      </c>
      <c r="D38" s="3">
        <f t="shared" si="0"/>
        <v>0</v>
      </c>
      <c r="E38" s="3">
        <f t="shared" si="1"/>
        <v>-2.0749999999999998E-2</v>
      </c>
      <c r="F38" s="34">
        <v>2682.91</v>
      </c>
      <c r="G38" s="3">
        <f t="shared" si="2"/>
        <v>-0.67195841632544662</v>
      </c>
      <c r="H38" s="3">
        <f t="shared" si="3"/>
        <v>-0.69270841632544666</v>
      </c>
      <c r="I38" s="3">
        <f t="shared" si="9"/>
        <v>4.305624999999999E-4</v>
      </c>
      <c r="J38" s="3">
        <f t="shared" si="4"/>
        <v>0.47984495004810834</v>
      </c>
      <c r="K38" s="3">
        <f t="shared" si="5"/>
        <v>1.4373699638753016E-2</v>
      </c>
      <c r="M38" s="8">
        <v>-1.9241119483315305</v>
      </c>
      <c r="N38" s="7">
        <f t="shared" si="6"/>
        <v>-1.9241119483315305E-2</v>
      </c>
      <c r="V38" s="7">
        <v>-1.9241119483315305E-2</v>
      </c>
      <c r="AD38" s="8">
        <v>-1.9241119483315305</v>
      </c>
      <c r="AE38" s="8">
        <f t="shared" si="7"/>
        <v>-1.9241119483315305</v>
      </c>
      <c r="AF38" s="8">
        <v>-4.0510127531882878</v>
      </c>
      <c r="AG38" s="7">
        <f t="shared" si="8"/>
        <v>-4.0510127531882878E-2</v>
      </c>
    </row>
    <row r="39" spans="1:33" x14ac:dyDescent="0.35">
      <c r="A39" s="9">
        <v>43671</v>
      </c>
      <c r="B39" s="38">
        <f>Расчеты!G52/360</f>
        <v>2.0694444444444446E-2</v>
      </c>
      <c r="C39" s="11">
        <v>26.6</v>
      </c>
      <c r="D39" s="3">
        <f t="shared" si="0"/>
        <v>-0.11265490048816273</v>
      </c>
      <c r="E39" s="3">
        <f t="shared" si="1"/>
        <v>-0.13334934493260719</v>
      </c>
      <c r="F39" s="34">
        <v>2701.02</v>
      </c>
      <c r="G39" s="3">
        <f t="shared" si="2"/>
        <v>0.67501332508359546</v>
      </c>
      <c r="H39" s="3">
        <f t="shared" si="3"/>
        <v>0.654318880639151</v>
      </c>
      <c r="I39" s="3">
        <f t="shared" si="9"/>
        <v>1.7782047793955452E-2</v>
      </c>
      <c r="J39" s="3">
        <f t="shared" si="4"/>
        <v>0.42813319756087154</v>
      </c>
      <c r="K39" s="3">
        <f t="shared" si="5"/>
        <v>-8.7252994110267587E-2</v>
      </c>
      <c r="M39" s="8">
        <v>-1.9061302681992465</v>
      </c>
      <c r="N39" s="7">
        <f t="shared" si="6"/>
        <v>-1.9061302681992465E-2</v>
      </c>
      <c r="V39" s="7">
        <v>-1.9061302681992465E-2</v>
      </c>
      <c r="AD39" s="8">
        <v>-1.9061302681992465</v>
      </c>
      <c r="AE39" s="8">
        <f t="shared" si="7"/>
        <v>-1.9061302681992465</v>
      </c>
      <c r="AF39" s="8">
        <v>-3.9691516709511543</v>
      </c>
      <c r="AG39" s="7">
        <f t="shared" si="8"/>
        <v>-3.9691516709511543E-2</v>
      </c>
    </row>
    <row r="40" spans="1:33" x14ac:dyDescent="0.35">
      <c r="A40" s="9">
        <v>43672</v>
      </c>
      <c r="B40" s="38">
        <f>Расчеты!G53/360</f>
        <v>2.0722222222222222E-2</v>
      </c>
      <c r="C40" s="11">
        <v>26.105</v>
      </c>
      <c r="D40" s="3">
        <f t="shared" si="0"/>
        <v>-1.8609022556390964</v>
      </c>
      <c r="E40" s="3">
        <f t="shared" si="1"/>
        <v>-1.8816244778613187</v>
      </c>
      <c r="F40" s="34">
        <v>2715.68</v>
      </c>
      <c r="G40" s="3">
        <f t="shared" si="2"/>
        <v>0.54275792108164911</v>
      </c>
      <c r="H40" s="3">
        <f t="shared" si="3"/>
        <v>0.52203569885942691</v>
      </c>
      <c r="I40" s="3">
        <f t="shared" si="9"/>
        <v>3.54051067568688</v>
      </c>
      <c r="J40" s="3">
        <f t="shared" si="4"/>
        <v>0.27252127088365025</v>
      </c>
      <c r="K40" s="3">
        <f t="shared" si="5"/>
        <v>-0.98227514929133775</v>
      </c>
      <c r="M40" s="8">
        <v>-1.8995015492388689</v>
      </c>
      <c r="N40" s="7">
        <f t="shared" si="6"/>
        <v>-1.8995015492388689E-2</v>
      </c>
      <c r="V40" s="7">
        <v>-1.8995015492388689E-2</v>
      </c>
      <c r="AD40" s="8">
        <v>-1.8995015492388689</v>
      </c>
      <c r="AE40" s="8">
        <f t="shared" si="7"/>
        <v>-1.8995015492388689</v>
      </c>
      <c r="AF40" s="8">
        <v>-3.9320657190326846</v>
      </c>
      <c r="AG40" s="7">
        <f t="shared" si="8"/>
        <v>-3.9320657190326846E-2</v>
      </c>
    </row>
    <row r="41" spans="1:33" x14ac:dyDescent="0.35">
      <c r="A41" s="9">
        <v>43675</v>
      </c>
      <c r="B41" s="38">
        <f>Расчеты!G54/360</f>
        <v>2.0527777777777777E-2</v>
      </c>
      <c r="C41" s="11">
        <v>26.725000000000001</v>
      </c>
      <c r="D41" s="3">
        <f t="shared" si="0"/>
        <v>2.3750239417736019</v>
      </c>
      <c r="E41" s="3">
        <f t="shared" si="1"/>
        <v>2.3544961639958242</v>
      </c>
      <c r="F41" s="34">
        <v>2728.27</v>
      </c>
      <c r="G41" s="3">
        <f t="shared" si="2"/>
        <v>0.46360395922937503</v>
      </c>
      <c r="H41" s="3">
        <f t="shared" si="3"/>
        <v>0.44307618145159727</v>
      </c>
      <c r="I41" s="3">
        <f t="shared" si="9"/>
        <v>5.5436521862710508</v>
      </c>
      <c r="J41" s="3">
        <f t="shared" si="4"/>
        <v>0.19631650256972874</v>
      </c>
      <c r="K41" s="3">
        <f t="shared" si="5"/>
        <v>1.0432211695857034</v>
      </c>
      <c r="M41" s="8">
        <v>-1.8820861678004452</v>
      </c>
      <c r="N41" s="7">
        <f t="shared" si="6"/>
        <v>-1.8820861678004452E-2</v>
      </c>
      <c r="V41" s="7">
        <v>-1.8820861678004452E-2</v>
      </c>
      <c r="AD41" s="8">
        <v>-1.8820861678004452</v>
      </c>
      <c r="AE41" s="8">
        <f t="shared" si="7"/>
        <v>-1.8820861678004452</v>
      </c>
      <c r="AF41" s="8">
        <v>-3.8726513569937282</v>
      </c>
      <c r="AG41" s="7">
        <f t="shared" si="8"/>
        <v>-3.8726513569937282E-2</v>
      </c>
    </row>
    <row r="42" spans="1:33" x14ac:dyDescent="0.35">
      <c r="A42" s="9">
        <v>43676</v>
      </c>
      <c r="B42" s="38">
        <f>Расчеты!G55/360</f>
        <v>2.0638888888888887E-2</v>
      </c>
      <c r="C42" s="11">
        <v>26.91</v>
      </c>
      <c r="D42" s="3">
        <f t="shared" si="0"/>
        <v>0.69223573433114804</v>
      </c>
      <c r="E42" s="3">
        <f t="shared" si="1"/>
        <v>0.67159684544225917</v>
      </c>
      <c r="F42" s="34">
        <v>2734.68</v>
      </c>
      <c r="G42" s="3">
        <f t="shared" si="2"/>
        <v>0.23494742089309462</v>
      </c>
      <c r="H42" s="3">
        <f t="shared" si="3"/>
        <v>0.21430853200420574</v>
      </c>
      <c r="I42" s="3">
        <f t="shared" si="9"/>
        <v>0.45104232280799378</v>
      </c>
      <c r="J42" s="3">
        <f t="shared" si="4"/>
        <v>4.5928146889797676E-2</v>
      </c>
      <c r="K42" s="3">
        <f t="shared" si="5"/>
        <v>0.14392893404538601</v>
      </c>
      <c r="M42" s="8">
        <v>-1.8612521150592087</v>
      </c>
      <c r="N42" s="7">
        <f t="shared" si="6"/>
        <v>-1.8612521150592087E-2</v>
      </c>
      <c r="V42" s="7">
        <v>-1.8612521150592087E-2</v>
      </c>
      <c r="AD42" s="8">
        <v>-1.8612521150592087</v>
      </c>
      <c r="AE42" s="8">
        <f t="shared" si="7"/>
        <v>-1.8612521150592087</v>
      </c>
      <c r="AF42" s="8">
        <v>-3.7911961281401174</v>
      </c>
      <c r="AG42" s="7">
        <f t="shared" si="8"/>
        <v>-3.7911961281401174E-2</v>
      </c>
    </row>
    <row r="43" spans="1:33" x14ac:dyDescent="0.35">
      <c r="A43" s="9">
        <v>43677</v>
      </c>
      <c r="B43" s="38">
        <f>Расчеты!G56/360</f>
        <v>2.0861111111111112E-2</v>
      </c>
      <c r="C43" s="11">
        <v>27.06</v>
      </c>
      <c r="D43" s="3">
        <f t="shared" si="0"/>
        <v>0.55741360089185399</v>
      </c>
      <c r="E43" s="3">
        <f t="shared" si="1"/>
        <v>0.53655248978074288</v>
      </c>
      <c r="F43" s="34">
        <v>2739.5</v>
      </c>
      <c r="G43" s="3">
        <f t="shared" si="2"/>
        <v>0.17625462576975615</v>
      </c>
      <c r="H43" s="3">
        <f t="shared" si="3"/>
        <v>0.15539351465864504</v>
      </c>
      <c r="I43" s="3">
        <f t="shared" si="9"/>
        <v>0.28788857428991421</v>
      </c>
      <c r="J43" s="3">
        <f t="shared" si="4"/>
        <v>2.414714439796653E-2</v>
      </c>
      <c r="K43" s="3">
        <f t="shared" si="5"/>
        <v>8.3376777185876355E-2</v>
      </c>
      <c r="M43" s="8">
        <v>-1.8609022556390964</v>
      </c>
      <c r="N43" s="7">
        <f t="shared" si="6"/>
        <v>-1.8609022556390964E-2</v>
      </c>
      <c r="V43" s="7">
        <v>-1.8609022556390964E-2</v>
      </c>
      <c r="AD43" s="8">
        <v>-1.8609022556390964</v>
      </c>
      <c r="AE43" s="8">
        <f t="shared" si="7"/>
        <v>-1.8609022556390964</v>
      </c>
      <c r="AF43" s="8">
        <v>-3.4531436638071566</v>
      </c>
      <c r="AG43" s="7">
        <f t="shared" si="8"/>
        <v>-3.4531436638071566E-2</v>
      </c>
    </row>
    <row r="44" spans="1:33" x14ac:dyDescent="0.35">
      <c r="A44" s="9">
        <v>43678</v>
      </c>
      <c r="B44" s="38">
        <f>Расчеты!G57/360</f>
        <v>2.0722222222222222E-2</v>
      </c>
      <c r="C44" s="11">
        <v>27.08</v>
      </c>
      <c r="D44" s="3">
        <f t="shared" si="0"/>
        <v>7.3909830007390376E-2</v>
      </c>
      <c r="E44" s="3">
        <f t="shared" si="1"/>
        <v>5.3187607785168151E-2</v>
      </c>
      <c r="F44" s="34">
        <v>2729.42</v>
      </c>
      <c r="G44" s="3">
        <f t="shared" si="2"/>
        <v>-0.36795035590435621</v>
      </c>
      <c r="H44" s="3">
        <f t="shared" si="3"/>
        <v>-0.38867257812657841</v>
      </c>
      <c r="I44" s="3">
        <f t="shared" si="9"/>
        <v>2.8289216219088797E-3</v>
      </c>
      <c r="J44" s="3">
        <f t="shared" si="4"/>
        <v>0.1510663729875612</v>
      </c>
      <c r="K44" s="3">
        <f t="shared" si="5"/>
        <v>-2.0672564642246576E-2</v>
      </c>
      <c r="M44" s="8">
        <v>-1.8258426966292096</v>
      </c>
      <c r="N44" s="7">
        <f t="shared" si="6"/>
        <v>-1.8258426966292096E-2</v>
      </c>
      <c r="V44" s="7">
        <v>-1.8258426966292096E-2</v>
      </c>
      <c r="AD44" s="8">
        <v>-1.8258426966292096</v>
      </c>
      <c r="AE44" s="8">
        <f t="shared" si="7"/>
        <v>-1.8258426966292096</v>
      </c>
      <c r="AF44" s="8">
        <v>-3.4343434343434454</v>
      </c>
      <c r="AG44" s="7">
        <f t="shared" si="8"/>
        <v>-3.4343434343434454E-2</v>
      </c>
    </row>
    <row r="45" spans="1:33" x14ac:dyDescent="0.35">
      <c r="A45" s="9">
        <v>43679</v>
      </c>
      <c r="B45" s="38">
        <f>Расчеты!G58/360</f>
        <v>2.0722222222222222E-2</v>
      </c>
      <c r="C45" s="11">
        <v>26.81</v>
      </c>
      <c r="D45" s="3">
        <f t="shared" si="0"/>
        <v>-0.9970457902511054</v>
      </c>
      <c r="E45" s="3">
        <f t="shared" si="1"/>
        <v>-1.0177680124733277</v>
      </c>
      <c r="F45" s="34">
        <v>2674.9</v>
      </c>
      <c r="G45" s="3">
        <f t="shared" si="2"/>
        <v>-1.9974939730785235</v>
      </c>
      <c r="H45" s="3">
        <f t="shared" si="3"/>
        <v>-2.0182161953007456</v>
      </c>
      <c r="I45" s="3">
        <f t="shared" si="9"/>
        <v>1.0358517272139078</v>
      </c>
      <c r="J45" s="3">
        <f t="shared" si="4"/>
        <v>4.0731966109742173</v>
      </c>
      <c r="K45" s="3">
        <f t="shared" si="5"/>
        <v>2.054075885832721</v>
      </c>
      <c r="M45" s="8">
        <v>-1.807307242231182</v>
      </c>
      <c r="N45" s="7">
        <f t="shared" si="6"/>
        <v>-1.807307242231182E-2</v>
      </c>
      <c r="V45" s="7">
        <v>-1.807307242231182E-2</v>
      </c>
      <c r="AD45" s="8">
        <v>-1.807307242231182</v>
      </c>
      <c r="AE45" s="8">
        <f t="shared" si="7"/>
        <v>-1.807307242231182</v>
      </c>
      <c r="AF45" s="8">
        <v>-3.4287867370007552</v>
      </c>
      <c r="AG45" s="7">
        <f t="shared" si="8"/>
        <v>-3.4287867370007552E-2</v>
      </c>
    </row>
    <row r="46" spans="1:33" x14ac:dyDescent="0.35">
      <c r="A46" s="9">
        <v>43682</v>
      </c>
      <c r="B46" s="38">
        <f>Расчеты!G59/360</f>
        <v>2.0638888888888887E-2</v>
      </c>
      <c r="C46" s="11">
        <v>26.335000000000001</v>
      </c>
      <c r="D46" s="3">
        <f t="shared" si="0"/>
        <v>-1.7717269675494141</v>
      </c>
      <c r="E46" s="3">
        <f t="shared" si="1"/>
        <v>-1.7923658564383029</v>
      </c>
      <c r="F46" s="34">
        <v>2649.16</v>
      </c>
      <c r="G46" s="3">
        <f t="shared" si="2"/>
        <v>-0.96227896369958099</v>
      </c>
      <c r="H46" s="3">
        <f t="shared" si="3"/>
        <v>-0.98291785258846986</v>
      </c>
      <c r="I46" s="3">
        <f t="shared" si="9"/>
        <v>3.212575363325811</v>
      </c>
      <c r="J46" s="3">
        <f t="shared" si="4"/>
        <v>0.96612750493712896</v>
      </c>
      <c r="K46" s="3">
        <f t="shared" si="5"/>
        <v>1.7617483986632303</v>
      </c>
      <c r="M46" s="8">
        <v>-1.7970401691331794</v>
      </c>
      <c r="N46" s="7">
        <f t="shared" si="6"/>
        <v>-1.7970401691331794E-2</v>
      </c>
      <c r="V46" s="7">
        <v>-1.7970401691331794E-2</v>
      </c>
      <c r="AD46" s="8">
        <v>-1.7970401691331794</v>
      </c>
      <c r="AE46" s="8">
        <f t="shared" si="7"/>
        <v>-1.7970401691331794</v>
      </c>
      <c r="AF46" s="8">
        <v>-3.3023872679045163</v>
      </c>
      <c r="AG46" s="7">
        <f t="shared" si="8"/>
        <v>-3.3023872679045163E-2</v>
      </c>
    </row>
    <row r="47" spans="1:33" x14ac:dyDescent="0.35">
      <c r="A47" s="9">
        <v>43683</v>
      </c>
      <c r="B47" s="38">
        <f>Расчеты!G60/360</f>
        <v>2.0472222222222222E-2</v>
      </c>
      <c r="C47" s="11">
        <v>26</v>
      </c>
      <c r="D47" s="3">
        <f t="shared" si="0"/>
        <v>-1.2720713878868417</v>
      </c>
      <c r="E47" s="3">
        <f t="shared" si="1"/>
        <v>-1.2925436101090639</v>
      </c>
      <c r="F47" s="34">
        <v>2683.35</v>
      </c>
      <c r="G47" s="3">
        <f t="shared" si="2"/>
        <v>1.2905977743888686</v>
      </c>
      <c r="H47" s="3">
        <f t="shared" si="3"/>
        <v>1.2701255521666464</v>
      </c>
      <c r="I47" s="3">
        <f t="shared" si="9"/>
        <v>1.6706689840337718</v>
      </c>
      <c r="J47" s="3">
        <f t="shared" si="4"/>
        <v>1.6132189182666283</v>
      </c>
      <c r="K47" s="3">
        <f t="shared" si="5"/>
        <v>-1.6416926664892453</v>
      </c>
      <c r="M47" s="8">
        <v>-1.7966744782948352</v>
      </c>
      <c r="N47" s="7">
        <f t="shared" si="6"/>
        <v>-1.7966744782948352E-2</v>
      </c>
      <c r="V47" s="7">
        <v>-1.7966744782948352E-2</v>
      </c>
      <c r="AD47" s="8">
        <v>-1.7966744782948352</v>
      </c>
      <c r="AE47" s="8">
        <f t="shared" si="7"/>
        <v>-1.7966744782948352</v>
      </c>
      <c r="AF47" s="8">
        <v>-3.28618968386023</v>
      </c>
      <c r="AG47" s="7">
        <f t="shared" si="8"/>
        <v>-3.28618968386023E-2</v>
      </c>
    </row>
    <row r="48" spans="1:33" x14ac:dyDescent="0.35">
      <c r="A48" s="9">
        <v>43684</v>
      </c>
      <c r="B48" s="38">
        <f>Расчеты!G61/360</f>
        <v>2.0583333333333335E-2</v>
      </c>
      <c r="C48" s="11">
        <v>26.07</v>
      </c>
      <c r="D48" s="3">
        <f t="shared" si="0"/>
        <v>0.26923076923077716</v>
      </c>
      <c r="E48" s="3">
        <f t="shared" si="1"/>
        <v>0.24864743589744381</v>
      </c>
      <c r="F48" s="34">
        <v>2674.98</v>
      </c>
      <c r="G48" s="3">
        <f t="shared" si="2"/>
        <v>-0.31192352842528415</v>
      </c>
      <c r="H48" s="3">
        <f t="shared" si="3"/>
        <v>-0.33250686175861749</v>
      </c>
      <c r="I48" s="3">
        <f t="shared" si="9"/>
        <v>6.1825547378373431E-2</v>
      </c>
      <c r="J48" s="3">
        <f t="shared" si="4"/>
        <v>0.11056081311656436</v>
      </c>
      <c r="K48" s="3">
        <f t="shared" si="5"/>
        <v>-8.2676978594586059E-2</v>
      </c>
      <c r="M48" s="8">
        <v>-1.7885659533695364</v>
      </c>
      <c r="N48" s="7">
        <f t="shared" si="6"/>
        <v>-1.7885659533695364E-2</v>
      </c>
      <c r="V48" s="7">
        <v>-1.7885659533695364E-2</v>
      </c>
      <c r="AD48" s="8">
        <v>-1.7885659533695364</v>
      </c>
      <c r="AE48" s="8">
        <f t="shared" si="7"/>
        <v>-1.7885659533695364</v>
      </c>
      <c r="AF48" s="8">
        <v>-3.256166161834706</v>
      </c>
      <c r="AG48" s="7">
        <f t="shared" si="8"/>
        <v>-3.256166161834706E-2</v>
      </c>
    </row>
    <row r="49" spans="1:33" x14ac:dyDescent="0.35">
      <c r="A49" s="9">
        <v>43685</v>
      </c>
      <c r="B49" s="38">
        <f>Расчеты!G62/360</f>
        <v>2.0555555555555556E-2</v>
      </c>
      <c r="C49" s="11">
        <v>26.1</v>
      </c>
      <c r="D49" s="3">
        <f t="shared" si="0"/>
        <v>0.11507479861909697</v>
      </c>
      <c r="E49" s="3">
        <f t="shared" si="1"/>
        <v>9.4519243063541425E-2</v>
      </c>
      <c r="F49" s="34">
        <v>2696.69</v>
      </c>
      <c r="G49" s="3">
        <f t="shared" si="2"/>
        <v>0.8115948530456274</v>
      </c>
      <c r="H49" s="3">
        <f t="shared" si="3"/>
        <v>0.79103929749007185</v>
      </c>
      <c r="I49" s="3">
        <f t="shared" si="9"/>
        <v>8.9338873093048245E-3</v>
      </c>
      <c r="J49" s="3">
        <f t="shared" si="4"/>
        <v>0.62574317017358638</v>
      </c>
      <c r="K49" s="3">
        <f t="shared" si="5"/>
        <v>7.4768435632277155E-2</v>
      </c>
      <c r="M49" s="8">
        <v>-1.7717269675494141</v>
      </c>
      <c r="N49" s="7">
        <f t="shared" si="6"/>
        <v>-1.7717269675494141E-2</v>
      </c>
      <c r="V49" s="7">
        <v>-1.7717269675494141E-2</v>
      </c>
      <c r="AD49" s="8">
        <v>-1.7717269675494141</v>
      </c>
      <c r="AE49" s="8">
        <f t="shared" si="7"/>
        <v>-1.7717269675494141</v>
      </c>
      <c r="AF49" s="8">
        <v>-3.2448377581121068</v>
      </c>
      <c r="AG49" s="7">
        <f t="shared" si="8"/>
        <v>-3.2448377581121068E-2</v>
      </c>
    </row>
    <row r="50" spans="1:33" x14ac:dyDescent="0.35">
      <c r="A50" s="9">
        <v>43686</v>
      </c>
      <c r="B50" s="38">
        <f>Расчеты!G63/360</f>
        <v>2.0583333333333335E-2</v>
      </c>
      <c r="C50" s="11">
        <v>26.245000000000001</v>
      </c>
      <c r="D50" s="3">
        <f t="shared" si="0"/>
        <v>0.55555555555555358</v>
      </c>
      <c r="E50" s="3">
        <f t="shared" si="1"/>
        <v>0.53497222222222029</v>
      </c>
      <c r="F50" s="34">
        <v>2679.71</v>
      </c>
      <c r="G50" s="3">
        <f t="shared" si="2"/>
        <v>-0.62966080639599298</v>
      </c>
      <c r="H50" s="3">
        <f t="shared" si="3"/>
        <v>-0.65024413972932626</v>
      </c>
      <c r="I50" s="3">
        <f t="shared" si="9"/>
        <v>0.28619527854938065</v>
      </c>
      <c r="J50" s="3">
        <f t="shared" si="4"/>
        <v>0.42281744125233156</v>
      </c>
      <c r="K50" s="3">
        <f t="shared" si="5"/>
        <v>-0.34786255241797359</v>
      </c>
      <c r="M50" s="8">
        <v>-1.6870811185578982</v>
      </c>
      <c r="N50" s="7">
        <f t="shared" si="6"/>
        <v>-1.6870811185578982E-2</v>
      </c>
      <c r="V50" s="7">
        <v>-1.6870811185578982E-2</v>
      </c>
      <c r="AD50" s="8">
        <v>-1.6870811185578982</v>
      </c>
      <c r="AE50" s="8">
        <f t="shared" si="7"/>
        <v>-1.6870811185578982</v>
      </c>
      <c r="AF50" s="8">
        <v>-3.1634615384615428</v>
      </c>
      <c r="AG50" s="7">
        <f t="shared" si="8"/>
        <v>-3.1634615384615428E-2</v>
      </c>
    </row>
    <row r="51" spans="1:33" x14ac:dyDescent="0.35">
      <c r="A51" s="9">
        <v>43689</v>
      </c>
      <c r="B51" s="38">
        <f>Расчеты!G64/360</f>
        <v>2.0583333333333335E-2</v>
      </c>
      <c r="C51" s="11">
        <v>26.645</v>
      </c>
      <c r="D51" s="3">
        <f t="shared" si="0"/>
        <v>1.5240998285387608</v>
      </c>
      <c r="E51" s="3">
        <f t="shared" si="1"/>
        <v>1.5035164952054274</v>
      </c>
      <c r="F51" s="34">
        <v>2689.93</v>
      </c>
      <c r="G51" s="3">
        <f t="shared" si="2"/>
        <v>0.38138455280607442</v>
      </c>
      <c r="H51" s="3">
        <f t="shared" si="3"/>
        <v>0.36080121947274107</v>
      </c>
      <c r="I51" s="3">
        <f t="shared" si="9"/>
        <v>2.260561851354812</v>
      </c>
      <c r="J51" s="3">
        <f t="shared" si="4"/>
        <v>0.13017751997301708</v>
      </c>
      <c r="K51" s="3">
        <f t="shared" si="5"/>
        <v>0.54247058496749989</v>
      </c>
      <c r="M51" s="8">
        <v>-1.620924663842338</v>
      </c>
      <c r="N51" s="7">
        <f t="shared" si="6"/>
        <v>-1.620924663842338E-2</v>
      </c>
      <c r="V51" s="7">
        <v>-1.620924663842338E-2</v>
      </c>
      <c r="AD51" s="8">
        <v>-1.620924663842338</v>
      </c>
      <c r="AE51" s="8">
        <f t="shared" si="7"/>
        <v>-1.620924663842338</v>
      </c>
      <c r="AF51" s="8">
        <v>-3.0533315239516856</v>
      </c>
      <c r="AG51" s="7">
        <f t="shared" si="8"/>
        <v>-3.0533315239516856E-2</v>
      </c>
    </row>
    <row r="52" spans="1:33" x14ac:dyDescent="0.35">
      <c r="A52" s="9">
        <v>43690</v>
      </c>
      <c r="B52" s="38">
        <f>Расчеты!G65/360</f>
        <v>2.0500000000000001E-2</v>
      </c>
      <c r="C52" s="11">
        <v>26.594999999999999</v>
      </c>
      <c r="D52" s="3">
        <f t="shared" si="0"/>
        <v>-0.18765246762995069</v>
      </c>
      <c r="E52" s="3">
        <f t="shared" si="1"/>
        <v>-0.20815246762995068</v>
      </c>
      <c r="F52" s="34">
        <v>2680.12</v>
      </c>
      <c r="G52" s="3">
        <f t="shared" si="2"/>
        <v>-0.36469350503544051</v>
      </c>
      <c r="H52" s="3">
        <f t="shared" si="3"/>
        <v>-0.38519350503544053</v>
      </c>
      <c r="I52" s="3">
        <f t="shared" si="9"/>
        <v>4.332744978043767E-2</v>
      </c>
      <c r="J52" s="3">
        <f t="shared" si="4"/>
        <v>0.14837403632148796</v>
      </c>
      <c r="K52" s="3">
        <f t="shared" si="5"/>
        <v>8.0178978588156785E-2</v>
      </c>
      <c r="M52" s="8">
        <v>-1.5840477077897819</v>
      </c>
      <c r="N52" s="7">
        <f t="shared" si="6"/>
        <v>-1.5840477077897819E-2</v>
      </c>
      <c r="V52" s="7">
        <v>-1.5840477077897819E-2</v>
      </c>
      <c r="AD52" s="8">
        <v>-1.5840477077897819</v>
      </c>
      <c r="AE52" s="8">
        <f t="shared" si="7"/>
        <v>-1.5840477077897819</v>
      </c>
      <c r="AF52" s="8">
        <v>-2.9419191919191845</v>
      </c>
      <c r="AG52" s="7">
        <f t="shared" si="8"/>
        <v>-2.9419191919191845E-2</v>
      </c>
    </row>
    <row r="53" spans="1:33" x14ac:dyDescent="0.35">
      <c r="A53" s="9">
        <v>43691</v>
      </c>
      <c r="B53" s="38">
        <f>Расчеты!G66/360</f>
        <v>2.0472222222222222E-2</v>
      </c>
      <c r="C53" s="11">
        <v>26.1</v>
      </c>
      <c r="D53" s="3">
        <f t="shared" si="0"/>
        <v>-1.8612521150592087</v>
      </c>
      <c r="E53" s="3">
        <f t="shared" si="1"/>
        <v>-1.881724337281431</v>
      </c>
      <c r="F53" s="34">
        <v>2637.04</v>
      </c>
      <c r="G53" s="3">
        <f t="shared" si="2"/>
        <v>-1.6073907138486332</v>
      </c>
      <c r="H53" s="3">
        <f t="shared" si="3"/>
        <v>-1.6278629360708554</v>
      </c>
      <c r="I53" s="3">
        <f t="shared" si="9"/>
        <v>3.5408864815172407</v>
      </c>
      <c r="J53" s="3">
        <f t="shared" si="4"/>
        <v>2.6499377386332261</v>
      </c>
      <c r="K53" s="3">
        <f t="shared" si="5"/>
        <v>3.0631893045629348</v>
      </c>
      <c r="M53" s="8">
        <v>-1.5236875800256011</v>
      </c>
      <c r="N53" s="7">
        <f t="shared" si="6"/>
        <v>-1.5236875800256011E-2</v>
      </c>
      <c r="V53" s="7">
        <v>-1.5236875800256011E-2</v>
      </c>
      <c r="AD53" s="8">
        <v>-1.5236875800256011</v>
      </c>
      <c r="AE53" s="8">
        <f t="shared" si="7"/>
        <v>-1.5236875800256011</v>
      </c>
      <c r="AF53" s="8">
        <v>-2.8856526429342</v>
      </c>
      <c r="AG53" s="7">
        <f t="shared" si="8"/>
        <v>-2.8856526429342E-2</v>
      </c>
    </row>
    <row r="54" spans="1:33" x14ac:dyDescent="0.35">
      <c r="A54" s="9">
        <v>43692</v>
      </c>
      <c r="B54" s="38">
        <f>Расчеты!G67/360</f>
        <v>2.0444444444444446E-2</v>
      </c>
      <c r="C54" s="11">
        <v>25.8</v>
      </c>
      <c r="D54" s="3">
        <f t="shared" si="0"/>
        <v>-1.1494252873563204</v>
      </c>
      <c r="E54" s="3">
        <f t="shared" si="1"/>
        <v>-1.1698697318007649</v>
      </c>
      <c r="F54" s="34">
        <v>2625.58</v>
      </c>
      <c r="G54" s="3">
        <f t="shared" si="2"/>
        <v>-0.43457816339532718</v>
      </c>
      <c r="H54" s="3">
        <f t="shared" si="3"/>
        <v>-0.45502260783977161</v>
      </c>
      <c r="I54" s="3">
        <f t="shared" si="9"/>
        <v>1.3685951893835937</v>
      </c>
      <c r="J54" s="3">
        <f t="shared" si="4"/>
        <v>0.2070455736453066</v>
      </c>
      <c r="K54" s="3">
        <f t="shared" si="5"/>
        <v>0.53231717619679819</v>
      </c>
      <c r="M54" s="8">
        <v>-1.5027829313543517</v>
      </c>
      <c r="N54" s="7">
        <f t="shared" si="6"/>
        <v>-1.5027829313543517E-2</v>
      </c>
      <c r="V54" s="7">
        <v>-1.5027829313543517E-2</v>
      </c>
      <c r="AD54" s="8">
        <v>-1.5027829313543517</v>
      </c>
      <c r="AE54" s="8">
        <f t="shared" si="7"/>
        <v>-1.5027829313543517</v>
      </c>
      <c r="AF54" s="8">
        <v>-2.8481012658227889</v>
      </c>
      <c r="AG54" s="7">
        <f t="shared" si="8"/>
        <v>-2.8481012658227889E-2</v>
      </c>
    </row>
    <row r="55" spans="1:33" x14ac:dyDescent="0.35">
      <c r="A55" s="9">
        <v>43693</v>
      </c>
      <c r="B55" s="38">
        <f>Расчеты!G68/360</f>
        <v>2.0472222222222222E-2</v>
      </c>
      <c r="C55" s="11">
        <v>25.8</v>
      </c>
      <c r="D55" s="3">
        <f t="shared" si="0"/>
        <v>0</v>
      </c>
      <c r="E55" s="3">
        <f t="shared" si="1"/>
        <v>-2.0472222222222222E-2</v>
      </c>
      <c r="F55" s="34">
        <v>2615.1999999999998</v>
      </c>
      <c r="G55" s="3">
        <f t="shared" si="2"/>
        <v>-0.39534121984475812</v>
      </c>
      <c r="H55" s="3">
        <f t="shared" si="3"/>
        <v>-0.41581344206698034</v>
      </c>
      <c r="I55" s="3">
        <f t="shared" si="9"/>
        <v>4.1911188271604935E-4</v>
      </c>
      <c r="J55" s="3">
        <f t="shared" si="4"/>
        <v>0.17290081860359002</v>
      </c>
      <c r="K55" s="3">
        <f t="shared" si="5"/>
        <v>8.5126251889823465E-3</v>
      </c>
      <c r="M55" s="8">
        <v>-1.4781125639567905</v>
      </c>
      <c r="N55" s="7">
        <f t="shared" si="6"/>
        <v>-1.4781125639567905E-2</v>
      </c>
      <c r="V55" s="7">
        <v>-1.4781125639567905E-2</v>
      </c>
      <c r="AD55" s="8">
        <v>-1.4781125639567905</v>
      </c>
      <c r="AE55" s="8">
        <f t="shared" si="7"/>
        <v>-1.4781125639567905</v>
      </c>
      <c r="AF55" s="8">
        <v>-2.7268453220498534</v>
      </c>
      <c r="AG55" s="7">
        <f t="shared" si="8"/>
        <v>-2.7268453220498534E-2</v>
      </c>
    </row>
    <row r="56" spans="1:33" x14ac:dyDescent="0.35">
      <c r="A56" s="9">
        <v>43696</v>
      </c>
      <c r="B56" s="38">
        <f>Расчеты!G69/360</f>
        <v>2.0472222222222222E-2</v>
      </c>
      <c r="C56" s="11">
        <v>25.875</v>
      </c>
      <c r="D56" s="3">
        <f t="shared" si="0"/>
        <v>0.29069767441860517</v>
      </c>
      <c r="E56" s="3">
        <f t="shared" si="1"/>
        <v>0.27022545219638294</v>
      </c>
      <c r="F56" s="34">
        <v>2648.09</v>
      </c>
      <c r="G56" s="3">
        <f t="shared" si="2"/>
        <v>1.2576475986540325</v>
      </c>
      <c r="H56" s="3">
        <f t="shared" si="3"/>
        <v>1.2371753764318103</v>
      </c>
      <c r="I56" s="3">
        <f t="shared" si="9"/>
        <v>7.3021795014739641E-2</v>
      </c>
      <c r="J56" s="3">
        <f t="shared" si="4"/>
        <v>1.5306029120491915</v>
      </c>
      <c r="K56" s="3">
        <f t="shared" si="5"/>
        <v>0.33431627554251625</v>
      </c>
      <c r="M56" s="8">
        <v>-1.441908713692952</v>
      </c>
      <c r="N56" s="7">
        <f t="shared" si="6"/>
        <v>-1.441908713692952E-2</v>
      </c>
      <c r="V56" s="7">
        <v>-1.441908713692952E-2</v>
      </c>
      <c r="AD56" s="8">
        <v>-1.441908713692952</v>
      </c>
      <c r="AE56" s="8">
        <f t="shared" si="7"/>
        <v>-1.441908713692952</v>
      </c>
      <c r="AF56" s="8">
        <v>-2.7064157164445657</v>
      </c>
      <c r="AG56" s="7">
        <f t="shared" si="8"/>
        <v>-2.7064157164445657E-2</v>
      </c>
    </row>
    <row r="57" spans="1:33" x14ac:dyDescent="0.35">
      <c r="A57" s="9">
        <v>43697</v>
      </c>
      <c r="B57" s="38">
        <f>Расчеты!G70/360</f>
        <v>2.0500000000000001E-2</v>
      </c>
      <c r="C57" s="11">
        <v>26.055</v>
      </c>
      <c r="D57" s="3">
        <f t="shared" si="0"/>
        <v>0.69565217391305278</v>
      </c>
      <c r="E57" s="3">
        <f t="shared" si="1"/>
        <v>0.67515217391305282</v>
      </c>
      <c r="F57" s="34">
        <v>2672.84</v>
      </c>
      <c r="G57" s="3">
        <f t="shared" si="2"/>
        <v>0.93463590738984692</v>
      </c>
      <c r="H57" s="3">
        <f t="shared" si="3"/>
        <v>0.91413590738984696</v>
      </c>
      <c r="I57" s="3">
        <f t="shared" si="9"/>
        <v>0.45583045793952115</v>
      </c>
      <c r="J57" s="3">
        <f t="shared" si="4"/>
        <v>0.8356444571794589</v>
      </c>
      <c r="K57" s="3">
        <f t="shared" si="5"/>
        <v>0.61718084512623628</v>
      </c>
      <c r="M57" s="8">
        <v>-1.4295439074200056</v>
      </c>
      <c r="N57" s="7">
        <f t="shared" si="6"/>
        <v>-1.4295439074200056E-2</v>
      </c>
      <c r="V57" s="7">
        <v>-1.4295439074200056E-2</v>
      </c>
      <c r="AD57" s="8">
        <v>-1.4295439074200056</v>
      </c>
      <c r="AE57" s="8">
        <f t="shared" si="7"/>
        <v>-1.4295439074200056</v>
      </c>
      <c r="AF57" s="8">
        <v>-2.6715557883708607</v>
      </c>
      <c r="AG57" s="7">
        <f t="shared" si="8"/>
        <v>-2.6715557883708607E-2</v>
      </c>
    </row>
    <row r="58" spans="1:33" x14ac:dyDescent="0.35">
      <c r="A58" s="9">
        <v>43698</v>
      </c>
      <c r="B58" s="38">
        <f>Расчеты!G71/360</f>
        <v>2.0500000000000001E-2</v>
      </c>
      <c r="C58" s="11">
        <v>25.844999999999999</v>
      </c>
      <c r="D58" s="3">
        <f t="shared" si="0"/>
        <v>-0.80598733448474791</v>
      </c>
      <c r="E58" s="3">
        <f t="shared" si="1"/>
        <v>-0.82648733448474787</v>
      </c>
      <c r="F58" s="34">
        <v>2673.95</v>
      </c>
      <c r="G58" s="3">
        <f t="shared" si="2"/>
        <v>4.1528860687489733E-2</v>
      </c>
      <c r="H58" s="3">
        <f t="shared" si="3"/>
        <v>2.1028860687489732E-2</v>
      </c>
      <c r="I58" s="3">
        <f t="shared" si="9"/>
        <v>0.68308131406370354</v>
      </c>
      <c r="J58" s="3">
        <f t="shared" si="4"/>
        <v>4.4221298181385113E-4</v>
      </c>
      <c r="K58" s="3">
        <f t="shared" si="5"/>
        <v>-1.7380087016854492E-2</v>
      </c>
      <c r="M58" s="8">
        <v>-1.4081632653061171</v>
      </c>
      <c r="N58" s="7">
        <f t="shared" si="6"/>
        <v>-1.4081632653061171E-2</v>
      </c>
      <c r="V58" s="7">
        <v>-1.4081632653061171E-2</v>
      </c>
      <c r="AD58" s="8">
        <v>-1.4081632653061171</v>
      </c>
      <c r="AE58" s="8">
        <f t="shared" si="7"/>
        <v>-1.4081632653061171</v>
      </c>
      <c r="AF58" s="8">
        <v>-2.6253646339769454</v>
      </c>
      <c r="AG58" s="7">
        <f t="shared" si="8"/>
        <v>-2.6253646339769454E-2</v>
      </c>
    </row>
    <row r="59" spans="1:33" x14ac:dyDescent="0.35">
      <c r="A59" s="9">
        <v>43699</v>
      </c>
      <c r="B59" s="38">
        <f>Расчеты!G72/360</f>
        <v>2.0472222222222222E-2</v>
      </c>
      <c r="C59" s="11">
        <v>25.55</v>
      </c>
      <c r="D59" s="3">
        <f t="shared" si="0"/>
        <v>-1.1414200038692091</v>
      </c>
      <c r="E59" s="3">
        <f t="shared" si="1"/>
        <v>-1.1618922260914313</v>
      </c>
      <c r="F59" s="34">
        <v>2675.13</v>
      </c>
      <c r="G59" s="3">
        <f t="shared" si="2"/>
        <v>4.4129471381304519E-2</v>
      </c>
      <c r="H59" s="3">
        <f t="shared" si="3"/>
        <v>2.3657249159082298E-2</v>
      </c>
      <c r="I59" s="3">
        <f t="shared" si="9"/>
        <v>1.3499935450517018</v>
      </c>
      <c r="J59" s="3">
        <f t="shared" si="4"/>
        <v>5.5966543777490009E-4</v>
      </c>
      <c r="K59" s="3">
        <f t="shared" si="5"/>
        <v>-2.7487173888645772E-2</v>
      </c>
      <c r="M59" s="8">
        <v>-1.379310344827589</v>
      </c>
      <c r="N59" s="7">
        <f t="shared" si="6"/>
        <v>-1.379310344827589E-2</v>
      </c>
      <c r="V59" s="7">
        <v>-1.379310344827589E-2</v>
      </c>
      <c r="AD59" s="8">
        <v>-1.379310344827589</v>
      </c>
      <c r="AE59" s="8">
        <f t="shared" si="7"/>
        <v>-1.379310344827589</v>
      </c>
      <c r="AF59" s="8">
        <v>-2.6059525442326037</v>
      </c>
      <c r="AG59" s="7">
        <f t="shared" si="8"/>
        <v>-2.6059525442326037E-2</v>
      </c>
    </row>
    <row r="60" spans="1:33" x14ac:dyDescent="0.35">
      <c r="A60" s="9">
        <v>43700</v>
      </c>
      <c r="B60" s="38">
        <f>Расчеты!G73/360</f>
        <v>2.0388888888888887E-2</v>
      </c>
      <c r="C60" s="11">
        <v>25.625</v>
      </c>
      <c r="D60" s="3">
        <f t="shared" si="0"/>
        <v>0.29354207436398383</v>
      </c>
      <c r="E60" s="3">
        <f t="shared" si="1"/>
        <v>0.27315318547509493</v>
      </c>
      <c r="F60" s="34">
        <v>2660.74</v>
      </c>
      <c r="G60" s="3">
        <f t="shared" si="2"/>
        <v>-0.53791778343483809</v>
      </c>
      <c r="H60" s="3">
        <f t="shared" si="3"/>
        <v>-0.55830667232372699</v>
      </c>
      <c r="I60" s="3">
        <f t="shared" si="9"/>
        <v>7.4612662735191612E-2</v>
      </c>
      <c r="J60" s="3">
        <f t="shared" si="4"/>
        <v>0.31170634036119349</v>
      </c>
      <c r="K60" s="3">
        <f t="shared" si="5"/>
        <v>-0.15250324601722604</v>
      </c>
      <c r="M60" s="8">
        <v>-1.3427786001268704</v>
      </c>
      <c r="N60" s="7">
        <f t="shared" si="6"/>
        <v>-1.3427786001268704E-2</v>
      </c>
      <c r="V60" s="7">
        <v>-1.3427786001268704E-2</v>
      </c>
      <c r="AD60" s="8">
        <v>-1.3427786001268704</v>
      </c>
      <c r="AE60" s="8">
        <f t="shared" si="7"/>
        <v>-1.3427786001268704</v>
      </c>
      <c r="AF60" s="8">
        <v>-2.5813692480359141</v>
      </c>
      <c r="AG60" s="7">
        <f t="shared" si="8"/>
        <v>-2.5813692480359141E-2</v>
      </c>
    </row>
    <row r="61" spans="1:33" x14ac:dyDescent="0.35">
      <c r="A61" s="9">
        <v>43703</v>
      </c>
      <c r="B61" s="38">
        <f>Расчеты!G74/360</f>
        <v>2.0527777777777777E-2</v>
      </c>
      <c r="C61" s="11">
        <v>25.515000000000001</v>
      </c>
      <c r="D61" s="3">
        <f t="shared" si="0"/>
        <v>-0.42926829268292721</v>
      </c>
      <c r="E61" s="3">
        <f t="shared" si="1"/>
        <v>-0.44979607046070497</v>
      </c>
      <c r="F61" s="34">
        <v>2658.24</v>
      </c>
      <c r="G61" s="3">
        <f t="shared" si="2"/>
        <v>-9.3958823485196241E-2</v>
      </c>
      <c r="H61" s="3">
        <f t="shared" si="3"/>
        <v>-0.11448660126297402</v>
      </c>
      <c r="I61" s="3">
        <f t="shared" si="9"/>
        <v>0.20231650500189147</v>
      </c>
      <c r="J61" s="3">
        <f t="shared" si="4"/>
        <v>1.3107181868747205E-2</v>
      </c>
      <c r="K61" s="3">
        <f t="shared" si="5"/>
        <v>5.14956233684873E-2</v>
      </c>
      <c r="M61" s="8">
        <v>-1.3399451361046588</v>
      </c>
      <c r="N61" s="7">
        <f t="shared" si="6"/>
        <v>-1.3399451361046588E-2</v>
      </c>
      <c r="V61" s="7">
        <v>-1.3399451361046588E-2</v>
      </c>
      <c r="AD61" s="8">
        <v>-1.3399451361046588</v>
      </c>
      <c r="AE61" s="8">
        <f t="shared" si="7"/>
        <v>-1.3399451361046588</v>
      </c>
      <c r="AF61" s="8">
        <v>-2.5657681065280991</v>
      </c>
      <c r="AG61" s="7">
        <f t="shared" si="8"/>
        <v>-2.5657681065280991E-2</v>
      </c>
    </row>
    <row r="62" spans="1:33" x14ac:dyDescent="0.35">
      <c r="A62" s="9">
        <v>43704</v>
      </c>
      <c r="B62" s="38">
        <f>Расчеты!G75/360</f>
        <v>2.0583333333333335E-2</v>
      </c>
      <c r="C62" s="11">
        <v>26.094999999999999</v>
      </c>
      <c r="D62" s="3">
        <f t="shared" si="0"/>
        <v>2.2731726435430089</v>
      </c>
      <c r="E62" s="3">
        <f t="shared" si="1"/>
        <v>2.2525893102096757</v>
      </c>
      <c r="F62" s="34">
        <v>2659.35</v>
      </c>
      <c r="G62" s="3">
        <f t="shared" si="2"/>
        <v>4.1756951968219269E-2</v>
      </c>
      <c r="H62" s="3">
        <f t="shared" si="3"/>
        <v>2.1173618634885934E-2</v>
      </c>
      <c r="I62" s="3">
        <f t="shared" si="9"/>
        <v>5.0741586004709021</v>
      </c>
      <c r="J62" s="3">
        <f t="shared" si="4"/>
        <v>4.4832212609558885E-4</v>
      </c>
      <c r="K62" s="3">
        <f t="shared" si="5"/>
        <v>4.7695466995400441E-2</v>
      </c>
      <c r="M62" s="8">
        <v>-1.3090160317693833</v>
      </c>
      <c r="N62" s="7">
        <f t="shared" si="6"/>
        <v>-1.3090160317693833E-2</v>
      </c>
      <c r="V62" s="7">
        <v>-1.3090160317693833E-2</v>
      </c>
      <c r="AD62" s="8">
        <v>-1.3090160317693833</v>
      </c>
      <c r="AE62" s="8">
        <f t="shared" si="7"/>
        <v>-1.3090160317693833</v>
      </c>
      <c r="AF62" s="8">
        <v>-2.5060630557801167</v>
      </c>
      <c r="AG62" s="7">
        <f t="shared" si="8"/>
        <v>-2.5060630557801167E-2</v>
      </c>
    </row>
    <row r="63" spans="1:33" x14ac:dyDescent="0.35">
      <c r="A63" s="9">
        <v>43705</v>
      </c>
      <c r="B63" s="38">
        <f>Расчеты!G76/360</f>
        <v>2.0638888888888887E-2</v>
      </c>
      <c r="C63" s="11">
        <v>26.274999999999999</v>
      </c>
      <c r="D63" s="3">
        <f t="shared" si="0"/>
        <v>0.68978731557769457</v>
      </c>
      <c r="E63" s="3">
        <f t="shared" si="1"/>
        <v>0.6691484266888057</v>
      </c>
      <c r="F63" s="34">
        <v>2677.31</v>
      </c>
      <c r="G63" s="3">
        <f t="shared" si="2"/>
        <v>0.67535299979317731</v>
      </c>
      <c r="H63" s="3">
        <f t="shared" si="3"/>
        <v>0.65471411090428844</v>
      </c>
      <c r="I63" s="3">
        <f t="shared" si="9"/>
        <v>0.44775961694010397</v>
      </c>
      <c r="J63" s="3">
        <f t="shared" si="4"/>
        <v>0.4286505670171929</v>
      </c>
      <c r="K63" s="3">
        <f t="shared" si="5"/>
        <v>0.43810091724256484</v>
      </c>
      <c r="M63" s="8">
        <v>-1.293396868618113</v>
      </c>
      <c r="N63" s="7">
        <f t="shared" si="6"/>
        <v>-1.293396868618113E-2</v>
      </c>
      <c r="V63" s="7">
        <v>-1.293396868618113E-2</v>
      </c>
      <c r="AD63" s="8">
        <v>-1.293396868618113</v>
      </c>
      <c r="AE63" s="8">
        <f t="shared" si="7"/>
        <v>-1.293396868618113</v>
      </c>
      <c r="AF63" s="8">
        <v>-2.4427774572032934</v>
      </c>
      <c r="AG63" s="7">
        <f t="shared" si="8"/>
        <v>-2.4427774572032934E-2</v>
      </c>
    </row>
    <row r="64" spans="1:33" x14ac:dyDescent="0.35">
      <c r="A64" s="9">
        <v>43706</v>
      </c>
      <c r="B64" s="38">
        <f>Расчеты!G77/360</f>
        <v>2.0555555555555556E-2</v>
      </c>
      <c r="C64" s="11">
        <v>26.54</v>
      </c>
      <c r="D64" s="3">
        <f t="shared" si="0"/>
        <v>1.0085632730732597</v>
      </c>
      <c r="E64" s="3">
        <f t="shared" si="1"/>
        <v>0.98800771751770411</v>
      </c>
      <c r="F64" s="34">
        <v>2714.25</v>
      </c>
      <c r="G64" s="3">
        <f t="shared" si="2"/>
        <v>1.3797431003507166</v>
      </c>
      <c r="H64" s="3">
        <f t="shared" si="3"/>
        <v>1.3591875447951609</v>
      </c>
      <c r="I64" s="3">
        <f t="shared" si="9"/>
        <v>0.97615924987454339</v>
      </c>
      <c r="J64" s="3">
        <f t="shared" si="4"/>
        <v>1.8473907819262976</v>
      </c>
      <c r="K64" s="3">
        <f t="shared" si="5"/>
        <v>1.3428877838115592</v>
      </c>
      <c r="M64" s="8">
        <v>-1.2803959543791654</v>
      </c>
      <c r="N64" s="7">
        <f t="shared" si="6"/>
        <v>-1.2803959543791654E-2</v>
      </c>
      <c r="V64" s="7">
        <v>-1.2803959543791654E-2</v>
      </c>
      <c r="AD64" s="8">
        <v>-1.2803959543791654</v>
      </c>
      <c r="AE64" s="8">
        <f t="shared" si="7"/>
        <v>-1.2803959543791654</v>
      </c>
      <c r="AF64" s="8">
        <v>-2.4340527577937698</v>
      </c>
      <c r="AG64" s="7">
        <f t="shared" si="8"/>
        <v>-2.4340527577937698E-2</v>
      </c>
    </row>
    <row r="65" spans="1:33" x14ac:dyDescent="0.35">
      <c r="A65" s="9">
        <v>43707</v>
      </c>
      <c r="B65" s="38">
        <f>Расчеты!G78/360</f>
        <v>2.0500000000000001E-2</v>
      </c>
      <c r="C65" s="11">
        <v>27.45</v>
      </c>
      <c r="D65" s="3">
        <f t="shared" si="0"/>
        <v>3.4287867370007552</v>
      </c>
      <c r="E65" s="3">
        <f t="shared" si="1"/>
        <v>3.408286737000755</v>
      </c>
      <c r="F65" s="34">
        <v>2740.04</v>
      </c>
      <c r="G65" s="3">
        <f t="shared" si="2"/>
        <v>0.95017039697891104</v>
      </c>
      <c r="H65" s="3">
        <f t="shared" si="3"/>
        <v>0.92967039697891107</v>
      </c>
      <c r="I65" s="3">
        <f t="shared" si="9"/>
        <v>11.616418481615254</v>
      </c>
      <c r="J65" s="3">
        <f t="shared" si="4"/>
        <v>0.86428704701892611</v>
      </c>
      <c r="K65" s="3">
        <f t="shared" si="5"/>
        <v>3.1685832838054493</v>
      </c>
      <c r="M65" s="8">
        <v>-1.2720713878868417</v>
      </c>
      <c r="N65" s="7">
        <f t="shared" si="6"/>
        <v>-1.2720713878868417E-2</v>
      </c>
      <c r="V65" s="7">
        <v>-1.2720713878868417E-2</v>
      </c>
      <c r="AD65" s="8">
        <v>-1.2720713878868417</v>
      </c>
      <c r="AE65" s="8">
        <f t="shared" si="7"/>
        <v>-1.2720713878868417</v>
      </c>
      <c r="AF65" s="8">
        <v>-2.3773533049333606</v>
      </c>
      <c r="AG65" s="7">
        <f t="shared" si="8"/>
        <v>-2.3773533049333606E-2</v>
      </c>
    </row>
    <row r="66" spans="1:33" x14ac:dyDescent="0.35">
      <c r="A66" s="9">
        <v>43710</v>
      </c>
      <c r="B66" s="38">
        <f>Расчеты!G79/360</f>
        <v>2.0500000000000001E-2</v>
      </c>
      <c r="C66" s="11">
        <v>30.824999999999999</v>
      </c>
      <c r="D66" s="3">
        <f t="shared" si="0"/>
        <v>12.295081967213118</v>
      </c>
      <c r="E66" s="3">
        <f t="shared" si="1"/>
        <v>12.274581967213118</v>
      </c>
      <c r="F66" s="34">
        <v>2773.01</v>
      </c>
      <c r="G66" s="3">
        <f t="shared" si="2"/>
        <v>1.2032671055897115</v>
      </c>
      <c r="H66" s="3">
        <f t="shared" si="3"/>
        <v>1.1827671055897115</v>
      </c>
      <c r="I66" s="3">
        <f t="shared" si="9"/>
        <v>150.66536246983347</v>
      </c>
      <c r="J66" s="3">
        <f t="shared" si="4"/>
        <v>1.3989380260650639</v>
      </c>
      <c r="K66" s="3">
        <f t="shared" si="5"/>
        <v>14.517971785684328</v>
      </c>
      <c r="M66" s="8">
        <v>-1.2565660727160366</v>
      </c>
      <c r="N66" s="7">
        <f t="shared" si="6"/>
        <v>-1.2565660727160366E-2</v>
      </c>
      <c r="V66" s="7">
        <v>-1.2565660727160366E-2</v>
      </c>
      <c r="AD66" s="8">
        <v>-1.2565660727160366</v>
      </c>
      <c r="AE66" s="8">
        <f t="shared" si="7"/>
        <v>-1.2565660727160366</v>
      </c>
      <c r="AF66" s="8">
        <v>-2.3750239417736019</v>
      </c>
      <c r="AG66" s="7">
        <f t="shared" si="8"/>
        <v>-2.3750239417736019E-2</v>
      </c>
    </row>
    <row r="67" spans="1:33" x14ac:dyDescent="0.35">
      <c r="A67" s="9">
        <v>43711</v>
      </c>
      <c r="B67" s="38">
        <f>Расчеты!G80/360</f>
        <v>2.0472222222222222E-2</v>
      </c>
      <c r="C67" s="11">
        <v>35.5</v>
      </c>
      <c r="D67" s="3">
        <f t="shared" si="0"/>
        <v>15.166261151662619</v>
      </c>
      <c r="E67" s="3">
        <f t="shared" si="1"/>
        <v>15.145788929440396</v>
      </c>
      <c r="F67" s="34">
        <v>2774.2</v>
      </c>
      <c r="G67" s="3">
        <f t="shared" si="2"/>
        <v>4.2913657000864802E-2</v>
      </c>
      <c r="H67" s="3">
        <f t="shared" si="3"/>
        <v>2.2441434778642581E-2</v>
      </c>
      <c r="I67" s="3">
        <f t="shared" si="9"/>
        <v>229.39492229515926</v>
      </c>
      <c r="J67" s="3">
        <f t="shared" si="4"/>
        <v>5.0361799492406874E-4</v>
      </c>
      <c r="K67" s="3">
        <f t="shared" si="5"/>
        <v>0.33989323443112351</v>
      </c>
      <c r="M67" s="8">
        <v>-1.2292283177782859</v>
      </c>
      <c r="N67" s="7">
        <f t="shared" si="6"/>
        <v>-1.2292283177782859E-2</v>
      </c>
      <c r="V67" s="7">
        <v>-1.2292283177782859E-2</v>
      </c>
      <c r="AD67" s="8">
        <v>-1.2292283177782859</v>
      </c>
      <c r="AE67" s="8">
        <f t="shared" si="7"/>
        <v>-1.2292283177782859</v>
      </c>
      <c r="AF67" s="8">
        <v>-2.3150151449588874</v>
      </c>
      <c r="AG67" s="7">
        <f t="shared" si="8"/>
        <v>-2.3150151449588874E-2</v>
      </c>
    </row>
    <row r="68" spans="1:33" x14ac:dyDescent="0.35">
      <c r="A68" s="9">
        <v>43712</v>
      </c>
      <c r="B68" s="38">
        <f>Расчеты!G81/360</f>
        <v>2.0250000000000001E-2</v>
      </c>
      <c r="C68" s="11">
        <v>35.395000000000003</v>
      </c>
      <c r="D68" s="3">
        <f t="shared" si="0"/>
        <v>-0.29577464788731467</v>
      </c>
      <c r="E68" s="3">
        <f t="shared" si="1"/>
        <v>-0.31602464788731466</v>
      </c>
      <c r="F68" s="34">
        <v>2793.36</v>
      </c>
      <c r="G68" s="3">
        <f t="shared" si="2"/>
        <v>0.69064955662894167</v>
      </c>
      <c r="H68" s="3">
        <f t="shared" si="3"/>
        <v>0.67039955662894168</v>
      </c>
      <c r="I68" s="3">
        <f t="shared" si="9"/>
        <v>9.9871578072301209E-2</v>
      </c>
      <c r="J68" s="3">
        <f t="shared" si="4"/>
        <v>0.44943556552828157</v>
      </c>
      <c r="K68" s="3">
        <f t="shared" si="5"/>
        <v>-0.21186278382747317</v>
      </c>
      <c r="M68" s="8">
        <v>-1.2209531311540012</v>
      </c>
      <c r="N68" s="7">
        <f t="shared" si="6"/>
        <v>-1.2209531311540012E-2</v>
      </c>
      <c r="V68" s="7">
        <v>-1.2209531311540012E-2</v>
      </c>
      <c r="AD68" s="8">
        <v>-1.2209531311540012</v>
      </c>
      <c r="AE68" s="8">
        <f t="shared" si="7"/>
        <v>-1.2209531311540012</v>
      </c>
      <c r="AF68" s="8">
        <v>-2.2956326987682019</v>
      </c>
      <c r="AG68" s="7">
        <f t="shared" si="8"/>
        <v>-2.2956326987682019E-2</v>
      </c>
    </row>
    <row r="69" spans="1:33" x14ac:dyDescent="0.35">
      <c r="A69" s="9">
        <v>43713</v>
      </c>
      <c r="B69" s="38">
        <f>Расчеты!G82/360</f>
        <v>2.0083333333333335E-2</v>
      </c>
      <c r="C69" s="11">
        <v>33.65</v>
      </c>
      <c r="D69" s="3">
        <f t="shared" si="0"/>
        <v>-4.9300748693318353</v>
      </c>
      <c r="E69" s="3">
        <f t="shared" si="1"/>
        <v>-4.9501582026651683</v>
      </c>
      <c r="F69" s="34">
        <v>2807.06</v>
      </c>
      <c r="G69" s="3">
        <f t="shared" si="2"/>
        <v>0.4904487785319489</v>
      </c>
      <c r="H69" s="3">
        <f t="shared" si="3"/>
        <v>0.47036544519861556</v>
      </c>
      <c r="I69" s="3">
        <f t="shared" si="9"/>
        <v>24.504066231413248</v>
      </c>
      <c r="J69" s="3">
        <f t="shared" si="4"/>
        <v>0.22124365203689181</v>
      </c>
      <c r="K69" s="3">
        <f t="shared" si="5"/>
        <v>-2.3283833668001805</v>
      </c>
      <c r="M69" s="8">
        <v>-1.1727078891258125</v>
      </c>
      <c r="N69" s="7">
        <f t="shared" si="6"/>
        <v>-1.1727078891258125E-2</v>
      </c>
      <c r="V69" s="7">
        <v>-1.1727078891258125E-2</v>
      </c>
      <c r="AD69" s="8">
        <v>-1.1727078891258125</v>
      </c>
      <c r="AE69" s="8">
        <f t="shared" si="7"/>
        <v>-1.1727078891258125</v>
      </c>
      <c r="AF69" s="8">
        <v>-2.2731726435430089</v>
      </c>
      <c r="AG69" s="7">
        <f t="shared" si="8"/>
        <v>-2.2731726435430089E-2</v>
      </c>
    </row>
    <row r="70" spans="1:33" x14ac:dyDescent="0.35">
      <c r="A70" s="9">
        <v>43714</v>
      </c>
      <c r="B70" s="38">
        <f>Расчеты!G83/360</f>
        <v>1.963888888888889E-2</v>
      </c>
      <c r="C70" s="11">
        <v>33.450000000000003</v>
      </c>
      <c r="D70" s="3">
        <f t="shared" ref="D70:D133" si="10">(C70/C69-1)*100</f>
        <v>-0.59435364041603433</v>
      </c>
      <c r="E70" s="3">
        <f t="shared" ref="E70:E133" si="11">D70-B70</f>
        <v>-0.61399252930492321</v>
      </c>
      <c r="F70" s="34">
        <v>2797.55</v>
      </c>
      <c r="G70" s="3">
        <f t="shared" ref="G70:G133" si="12">(F70/F69-1)*100</f>
        <v>-0.33878862582202851</v>
      </c>
      <c r="H70" s="3">
        <f t="shared" ref="H70:H133" si="13">G70-B70</f>
        <v>-0.35842751471091738</v>
      </c>
      <c r="I70" s="3">
        <f t="shared" ref="I70:I133" si="14">E70^2</f>
        <v>0.37698682604225697</v>
      </c>
      <c r="J70" s="3">
        <f t="shared" ref="J70:J133" si="15">H70^2</f>
        <v>0.1284702833018449</v>
      </c>
      <c r="K70" s="3">
        <f t="shared" ref="K70:K133" si="16">E70*H70</f>
        <v>0.22007181632983375</v>
      </c>
      <c r="M70" s="8">
        <v>-1.1662743419644683</v>
      </c>
      <c r="N70" s="7">
        <f t="shared" ref="N70:N133" si="17">M70*$N$4</f>
        <v>-1.1662743419644683E-2</v>
      </c>
      <c r="V70" s="7">
        <v>-1.1662743419644683E-2</v>
      </c>
      <c r="AD70" s="8">
        <v>-1.1662743419644683</v>
      </c>
      <c r="AE70" s="8">
        <f t="shared" ref="AE70:AE133" si="18">IF(AD70&lt;0,AD70,AD70*(-1))</f>
        <v>-1.1662743419644683</v>
      </c>
      <c r="AF70" s="8">
        <v>-2.2021384928716969</v>
      </c>
      <c r="AG70" s="7">
        <f t="shared" ref="AG70:AG133" si="19">AF70*$AG$4</f>
        <v>-2.2021384928716969E-2</v>
      </c>
    </row>
    <row r="71" spans="1:33" x14ac:dyDescent="0.35">
      <c r="A71" s="9">
        <v>43717</v>
      </c>
      <c r="B71" s="38">
        <f>Расчеты!G84/360</f>
        <v>1.9416666666666669E-2</v>
      </c>
      <c r="C71" s="11">
        <v>33.06</v>
      </c>
      <c r="D71" s="3">
        <f t="shared" si="10"/>
        <v>-1.1659192825112075</v>
      </c>
      <c r="E71" s="3">
        <f t="shared" si="11"/>
        <v>-1.1853359491778741</v>
      </c>
      <c r="F71" s="34">
        <v>2786.63</v>
      </c>
      <c r="G71" s="3">
        <f t="shared" si="12"/>
        <v>-0.39034154885525529</v>
      </c>
      <c r="H71" s="3">
        <f t="shared" si="13"/>
        <v>-0.40975821552192199</v>
      </c>
      <c r="I71" s="3">
        <f t="shared" si="14"/>
        <v>1.4050213124134117</v>
      </c>
      <c r="J71" s="3">
        <f t="shared" si="15"/>
        <v>0.16790179518770987</v>
      </c>
      <c r="K71" s="3">
        <f t="shared" si="16"/>
        <v>0.4857011433291093</v>
      </c>
      <c r="M71" s="8">
        <v>-1.1659192825112075</v>
      </c>
      <c r="N71" s="7">
        <f t="shared" si="17"/>
        <v>-1.1659192825112075E-2</v>
      </c>
      <c r="V71" s="7">
        <v>-1.1659192825112075E-2</v>
      </c>
      <c r="AD71" s="8">
        <v>-1.1659192825112075</v>
      </c>
      <c r="AE71" s="8">
        <f t="shared" si="18"/>
        <v>-1.1659192825112075</v>
      </c>
      <c r="AF71" s="8">
        <v>-2.200141944641576</v>
      </c>
      <c r="AG71" s="7">
        <f t="shared" si="19"/>
        <v>-2.200141944641576E-2</v>
      </c>
    </row>
    <row r="72" spans="1:33" x14ac:dyDescent="0.35">
      <c r="A72" s="9">
        <v>43718</v>
      </c>
      <c r="B72" s="38">
        <f>Расчеты!G85/360</f>
        <v>1.938888888888889E-2</v>
      </c>
      <c r="C72" s="11">
        <v>33.590000000000003</v>
      </c>
      <c r="D72" s="3">
        <f t="shared" si="10"/>
        <v>1.6031457955232975</v>
      </c>
      <c r="E72" s="3">
        <f t="shared" si="11"/>
        <v>1.5837569066344086</v>
      </c>
      <c r="F72" s="34">
        <v>2787.52</v>
      </c>
      <c r="G72" s="3">
        <f t="shared" si="12"/>
        <v>3.1938219282778846E-2</v>
      </c>
      <c r="H72" s="3">
        <f t="shared" si="13"/>
        <v>1.2549330393889956E-2</v>
      </c>
      <c r="I72" s="3">
        <f t="shared" si="14"/>
        <v>2.508285939312191</v>
      </c>
      <c r="J72" s="3">
        <f t="shared" si="15"/>
        <v>1.5748569333501024E-4</v>
      </c>
      <c r="K72" s="3">
        <f t="shared" si="16"/>
        <v>1.987508868496032E-2</v>
      </c>
      <c r="M72" s="8">
        <v>-1.1587982832618082</v>
      </c>
      <c r="N72" s="7">
        <f t="shared" si="17"/>
        <v>-1.1587982832618082E-2</v>
      </c>
      <c r="V72" s="7">
        <v>-1.1587982832618082E-2</v>
      </c>
      <c r="AD72" s="8">
        <v>-1.1587982832618082</v>
      </c>
      <c r="AE72" s="8">
        <f t="shared" si="18"/>
        <v>-1.1587982832618082</v>
      </c>
      <c r="AF72" s="8">
        <v>-2.1975308641975277</v>
      </c>
      <c r="AG72" s="7">
        <f t="shared" si="19"/>
        <v>-2.1975308641975277E-2</v>
      </c>
    </row>
    <row r="73" spans="1:33" x14ac:dyDescent="0.35">
      <c r="A73" s="9">
        <v>43719</v>
      </c>
      <c r="B73" s="38">
        <f>Расчеты!G86/360</f>
        <v>1.9472222222222221E-2</v>
      </c>
      <c r="C73" s="11">
        <v>36</v>
      </c>
      <c r="D73" s="3">
        <f t="shared" si="10"/>
        <v>7.1747543911878431</v>
      </c>
      <c r="E73" s="3">
        <f t="shared" si="11"/>
        <v>7.1552821689656207</v>
      </c>
      <c r="F73" s="34">
        <v>2817.05</v>
      </c>
      <c r="G73" s="3">
        <f t="shared" si="12"/>
        <v>1.0593645964872112</v>
      </c>
      <c r="H73" s="3">
        <f t="shared" si="13"/>
        <v>1.039892374264989</v>
      </c>
      <c r="I73" s="3">
        <f t="shared" si="14"/>
        <v>51.198062917517355</v>
      </c>
      <c r="J73" s="3">
        <f t="shared" si="15"/>
        <v>1.0813761500544761</v>
      </c>
      <c r="K73" s="3">
        <f t="shared" si="16"/>
        <v>7.4407233632215997</v>
      </c>
      <c r="M73" s="8">
        <v>-1.1494252873563204</v>
      </c>
      <c r="N73" s="7">
        <f t="shared" si="17"/>
        <v>-1.1494252873563204E-2</v>
      </c>
      <c r="V73" s="7">
        <v>-1.1494252873563204E-2</v>
      </c>
      <c r="AD73" s="8">
        <v>-1.1494252873563204</v>
      </c>
      <c r="AE73" s="8">
        <f t="shared" si="18"/>
        <v>-1.1494252873563204</v>
      </c>
      <c r="AF73" s="8">
        <v>-2.1273637374860987</v>
      </c>
      <c r="AG73" s="7">
        <f t="shared" si="19"/>
        <v>-2.1273637374860987E-2</v>
      </c>
    </row>
    <row r="74" spans="1:33" x14ac:dyDescent="0.35">
      <c r="A74" s="9">
        <v>43720</v>
      </c>
      <c r="B74" s="38">
        <f>Расчеты!G87/360</f>
        <v>1.9527777777777779E-2</v>
      </c>
      <c r="C74" s="11">
        <v>36.395000000000003</v>
      </c>
      <c r="D74" s="3">
        <f t="shared" si="10"/>
        <v>1.0972222222222383</v>
      </c>
      <c r="E74" s="3">
        <f t="shared" si="11"/>
        <v>1.0776944444444605</v>
      </c>
      <c r="F74" s="34">
        <v>2799.99</v>
      </c>
      <c r="G74" s="3">
        <f t="shared" si="12"/>
        <v>-0.6055980547026274</v>
      </c>
      <c r="H74" s="3">
        <f t="shared" si="13"/>
        <v>-0.62512583248040521</v>
      </c>
      <c r="I74" s="3">
        <f t="shared" si="14"/>
        <v>1.1614253155864545</v>
      </c>
      <c r="J74" s="3">
        <f t="shared" si="15"/>
        <v>0.39078230643431966</v>
      </c>
      <c r="K74" s="3">
        <f t="shared" si="16"/>
        <v>-0.67369463674285113</v>
      </c>
      <c r="M74" s="8">
        <v>-1.1441647597253968</v>
      </c>
      <c r="N74" s="7">
        <f t="shared" si="17"/>
        <v>-1.1441647597253968E-2</v>
      </c>
      <c r="V74" s="7">
        <v>-1.1441647597253968E-2</v>
      </c>
      <c r="AD74" s="8">
        <v>-1.1441647597253968</v>
      </c>
      <c r="AE74" s="8">
        <f t="shared" si="18"/>
        <v>-1.1441647597253968</v>
      </c>
      <c r="AF74" s="8">
        <v>-2.1178765500905583</v>
      </c>
      <c r="AG74" s="7">
        <f t="shared" si="19"/>
        <v>-2.1178765500905583E-2</v>
      </c>
    </row>
    <row r="75" spans="1:33" x14ac:dyDescent="0.35">
      <c r="A75" s="9">
        <v>43721</v>
      </c>
      <c r="B75" s="38">
        <f>Расчеты!G88/360</f>
        <v>1.95E-2</v>
      </c>
      <c r="C75" s="11">
        <v>37.380000000000003</v>
      </c>
      <c r="D75" s="3">
        <f t="shared" si="10"/>
        <v>2.7064157164445657</v>
      </c>
      <c r="E75" s="3">
        <f t="shared" si="11"/>
        <v>2.6869157164445658</v>
      </c>
      <c r="F75" s="34">
        <v>2791.74</v>
      </c>
      <c r="G75" s="3">
        <f t="shared" si="12"/>
        <v>-0.29464390944253793</v>
      </c>
      <c r="H75" s="3">
        <f t="shared" si="13"/>
        <v>-0.31414390944253795</v>
      </c>
      <c r="I75" s="3">
        <f t="shared" si="14"/>
        <v>7.2195160672768148</v>
      </c>
      <c r="J75" s="3">
        <f t="shared" si="15"/>
        <v>9.8686395839841484E-2</v>
      </c>
      <c r="K75" s="3">
        <f t="shared" si="16"/>
        <v>-0.84407820750649365</v>
      </c>
      <c r="M75" s="8">
        <v>-1.1414200038692091</v>
      </c>
      <c r="N75" s="7">
        <f t="shared" si="17"/>
        <v>-1.1414200038692091E-2</v>
      </c>
      <c r="V75" s="7">
        <v>-1.1414200038692091E-2</v>
      </c>
      <c r="AD75" s="8">
        <v>-1.1414200038692091</v>
      </c>
      <c r="AE75" s="8">
        <f t="shared" si="18"/>
        <v>-1.1414200038692091</v>
      </c>
      <c r="AF75" s="8">
        <v>-2.0857929948839171</v>
      </c>
      <c r="AG75" s="7">
        <f t="shared" si="19"/>
        <v>-2.0857929948839171E-2</v>
      </c>
    </row>
    <row r="76" spans="1:33" x14ac:dyDescent="0.35">
      <c r="A76" s="9">
        <v>43724</v>
      </c>
      <c r="B76" s="38">
        <f>Расчеты!G89/360</f>
        <v>1.95E-2</v>
      </c>
      <c r="C76" s="11">
        <v>37.700000000000003</v>
      </c>
      <c r="D76" s="3">
        <f t="shared" si="10"/>
        <v>0.85607276618513417</v>
      </c>
      <c r="E76" s="3">
        <f t="shared" si="11"/>
        <v>0.83657276618513421</v>
      </c>
      <c r="F76" s="34">
        <v>2834.32</v>
      </c>
      <c r="G76" s="3">
        <f t="shared" si="12"/>
        <v>1.5252136660290905</v>
      </c>
      <c r="H76" s="3">
        <f t="shared" si="13"/>
        <v>1.5057136660290904</v>
      </c>
      <c r="I76" s="3">
        <f t="shared" si="14"/>
        <v>0.69985399312264718</v>
      </c>
      <c r="J76" s="3">
        <f t="shared" si="15"/>
        <v>2.2671736440667631</v>
      </c>
      <c r="K76" s="3">
        <f t="shared" si="16"/>
        <v>1.2596390466727154</v>
      </c>
      <c r="M76" s="8">
        <v>-1.0888888888888948</v>
      </c>
      <c r="N76" s="7">
        <f t="shared" si="17"/>
        <v>-1.0888888888888948E-2</v>
      </c>
      <c r="V76" s="7">
        <v>-1.0888888888888948E-2</v>
      </c>
      <c r="AD76" s="8">
        <v>-1.0888888888888948</v>
      </c>
      <c r="AE76" s="8">
        <f t="shared" si="18"/>
        <v>-1.0888888888888948</v>
      </c>
      <c r="AF76" s="8">
        <v>-2.051282051282044</v>
      </c>
      <c r="AG76" s="7">
        <f t="shared" si="19"/>
        <v>-2.051282051282044E-2</v>
      </c>
    </row>
    <row r="77" spans="1:33" x14ac:dyDescent="0.35">
      <c r="A77" s="9">
        <v>43725</v>
      </c>
      <c r="B77" s="38">
        <f>Расчеты!G90/360</f>
        <v>1.95E-2</v>
      </c>
      <c r="C77" s="11">
        <v>36.454999999999998</v>
      </c>
      <c r="D77" s="3">
        <f t="shared" si="10"/>
        <v>-3.3023872679045163</v>
      </c>
      <c r="E77" s="3">
        <f t="shared" si="11"/>
        <v>-3.3218872679045162</v>
      </c>
      <c r="F77" s="34">
        <v>2820.86</v>
      </c>
      <c r="G77" s="3">
        <f t="shared" si="12"/>
        <v>-0.4748934488695733</v>
      </c>
      <c r="H77" s="3">
        <f t="shared" si="13"/>
        <v>-0.49439344886957332</v>
      </c>
      <c r="I77" s="3">
        <f t="shared" si="14"/>
        <v>11.034935020666131</v>
      </c>
      <c r="J77" s="3">
        <f t="shared" si="15"/>
        <v>0.24442488228515141</v>
      </c>
      <c r="K77" s="3">
        <f t="shared" si="16"/>
        <v>1.6423193031352381</v>
      </c>
      <c r="M77" s="8">
        <v>-1.0622817229336445</v>
      </c>
      <c r="N77" s="7">
        <f t="shared" si="17"/>
        <v>-1.0622817229336445E-2</v>
      </c>
      <c r="V77" s="7">
        <v>-1.0622817229336445E-2</v>
      </c>
      <c r="AD77" s="8">
        <v>-1.0622817229336445</v>
      </c>
      <c r="AE77" s="8">
        <f t="shared" si="18"/>
        <v>-1.0622817229336445</v>
      </c>
      <c r="AF77" s="8">
        <v>-2.0044855620969804</v>
      </c>
      <c r="AG77" s="7">
        <f t="shared" si="19"/>
        <v>-2.0044855620969804E-2</v>
      </c>
    </row>
    <row r="78" spans="1:33" x14ac:dyDescent="0.35">
      <c r="A78" s="9">
        <v>43726</v>
      </c>
      <c r="B78" s="38">
        <f>Расчеты!G91/360</f>
        <v>1.95E-2</v>
      </c>
      <c r="C78" s="11">
        <v>35.505000000000003</v>
      </c>
      <c r="D78" s="3">
        <f t="shared" si="10"/>
        <v>-2.6059525442326037</v>
      </c>
      <c r="E78" s="3">
        <f t="shared" si="11"/>
        <v>-2.6254525442326035</v>
      </c>
      <c r="F78" s="34">
        <v>2818.6</v>
      </c>
      <c r="G78" s="3">
        <f t="shared" si="12"/>
        <v>-8.0117411002322836E-2</v>
      </c>
      <c r="H78" s="3">
        <f t="shared" si="13"/>
        <v>-9.9617411002322839E-2</v>
      </c>
      <c r="I78" s="3">
        <f t="shared" si="14"/>
        <v>6.8930010620174507</v>
      </c>
      <c r="J78" s="3">
        <f t="shared" si="15"/>
        <v>9.923628574805712E-3</v>
      </c>
      <c r="K78" s="3">
        <f t="shared" si="16"/>
        <v>0.26154078516591345</v>
      </c>
      <c r="M78" s="8">
        <v>-1.0253191044151566</v>
      </c>
      <c r="N78" s="7">
        <f t="shared" si="17"/>
        <v>-1.0253191044151566E-2</v>
      </c>
      <c r="V78" s="7">
        <v>-1.0253191044151566E-2</v>
      </c>
      <c r="AD78" s="8">
        <v>-1.0253191044151566</v>
      </c>
      <c r="AE78" s="8">
        <f t="shared" si="18"/>
        <v>-1.0253191044151566</v>
      </c>
      <c r="AF78" s="8">
        <v>-1.9433835093237373</v>
      </c>
      <c r="AG78" s="7">
        <f t="shared" si="19"/>
        <v>-1.9433835093237373E-2</v>
      </c>
    </row>
    <row r="79" spans="1:33" x14ac:dyDescent="0.35">
      <c r="A79" s="9">
        <v>43727</v>
      </c>
      <c r="B79" s="38">
        <f>Расчеты!G92/360</f>
        <v>1.9527777777777779E-2</v>
      </c>
      <c r="C79" s="11">
        <v>35.700000000000003</v>
      </c>
      <c r="D79" s="3">
        <f t="shared" si="10"/>
        <v>0.54921841994084453</v>
      </c>
      <c r="E79" s="3">
        <f t="shared" si="11"/>
        <v>0.52969064216306672</v>
      </c>
      <c r="F79" s="34">
        <v>2794.77</v>
      </c>
      <c r="G79" s="3">
        <f t="shared" si="12"/>
        <v>-0.84545519052011686</v>
      </c>
      <c r="H79" s="3">
        <f t="shared" si="13"/>
        <v>-0.86498296829789467</v>
      </c>
      <c r="I79" s="3">
        <f t="shared" si="14"/>
        <v>0.280572176395122</v>
      </c>
      <c r="J79" s="3">
        <f t="shared" si="15"/>
        <v>0.74819553544543671</v>
      </c>
      <c r="K79" s="3">
        <f t="shared" si="16"/>
        <v>-0.45817338393782742</v>
      </c>
      <c r="M79" s="8">
        <v>-1.0116622172263612</v>
      </c>
      <c r="N79" s="7">
        <f t="shared" si="17"/>
        <v>-1.0116622172263612E-2</v>
      </c>
      <c r="V79" s="7">
        <v>-1.0116622172263612E-2</v>
      </c>
      <c r="AD79" s="8">
        <v>-1.0116622172263612</v>
      </c>
      <c r="AE79" s="8">
        <f t="shared" si="18"/>
        <v>-1.0116622172263612</v>
      </c>
      <c r="AF79" s="8">
        <v>-1.9247311827957025</v>
      </c>
      <c r="AG79" s="7">
        <f t="shared" si="19"/>
        <v>-1.9247311827957025E-2</v>
      </c>
    </row>
    <row r="80" spans="1:33" x14ac:dyDescent="0.35">
      <c r="A80" s="9">
        <v>43728</v>
      </c>
      <c r="B80" s="38">
        <f>Расчеты!G93/360</f>
        <v>1.9527777777777779E-2</v>
      </c>
      <c r="C80" s="11">
        <v>35.494999999999997</v>
      </c>
      <c r="D80" s="3">
        <f t="shared" si="10"/>
        <v>-0.57422969187677086</v>
      </c>
      <c r="E80" s="3">
        <f t="shared" si="11"/>
        <v>-0.59375746965454868</v>
      </c>
      <c r="F80" s="34">
        <v>2796.41</v>
      </c>
      <c r="G80" s="3">
        <f t="shared" si="12"/>
        <v>5.8681036364349737E-2</v>
      </c>
      <c r="H80" s="3">
        <f t="shared" si="13"/>
        <v>3.9153258586571954E-2</v>
      </c>
      <c r="I80" s="3">
        <f t="shared" si="14"/>
        <v>0.35254793277057228</v>
      </c>
      <c r="J80" s="3">
        <f t="shared" si="15"/>
        <v>1.5329776579469704E-3</v>
      </c>
      <c r="K80" s="3">
        <f t="shared" si="16"/>
        <v>-2.3247539747093194E-2</v>
      </c>
      <c r="M80" s="8">
        <v>-0.9997222993612831</v>
      </c>
      <c r="N80" s="7">
        <f t="shared" si="17"/>
        <v>-9.997222993612831E-3</v>
      </c>
      <c r="V80" s="7">
        <v>-9.997222993612831E-3</v>
      </c>
      <c r="AD80" s="8">
        <v>-0.9997222993612831</v>
      </c>
      <c r="AE80" s="8">
        <f t="shared" si="18"/>
        <v>-0.9997222993612831</v>
      </c>
      <c r="AF80" s="8">
        <v>-1.9241119483315305</v>
      </c>
      <c r="AG80" s="7">
        <f t="shared" si="19"/>
        <v>-1.9241119483315305E-2</v>
      </c>
    </row>
    <row r="81" spans="1:33" x14ac:dyDescent="0.35">
      <c r="A81" s="9">
        <v>43731</v>
      </c>
      <c r="B81" s="38">
        <f>Расчеты!G94/360</f>
        <v>1.95E-2</v>
      </c>
      <c r="C81" s="11">
        <v>35.6</v>
      </c>
      <c r="D81" s="3">
        <f t="shared" si="10"/>
        <v>0.29581631215664927</v>
      </c>
      <c r="E81" s="3">
        <f t="shared" si="11"/>
        <v>0.27631631215664926</v>
      </c>
      <c r="F81" s="34">
        <v>2785.46</v>
      </c>
      <c r="G81" s="3">
        <f t="shared" si="12"/>
        <v>-0.39157348171404704</v>
      </c>
      <c r="H81" s="3">
        <f t="shared" si="13"/>
        <v>-0.41107348171404706</v>
      </c>
      <c r="I81" s="3">
        <f t="shared" si="14"/>
        <v>7.635070436385083E-2</v>
      </c>
      <c r="J81" s="3">
        <f t="shared" si="15"/>
        <v>0.16898140736850897</v>
      </c>
      <c r="K81" s="3">
        <f t="shared" si="16"/>
        <v>-0.11358630849261928</v>
      </c>
      <c r="M81" s="8">
        <v>-0.9970457902511054</v>
      </c>
      <c r="N81" s="7">
        <f t="shared" si="17"/>
        <v>-9.970457902511054E-3</v>
      </c>
      <c r="V81" s="7">
        <v>-9.970457902511054E-3</v>
      </c>
      <c r="AD81" s="8">
        <v>-0.9970457902511054</v>
      </c>
      <c r="AE81" s="8">
        <f t="shared" si="18"/>
        <v>-0.9970457902511054</v>
      </c>
      <c r="AF81" s="8">
        <v>-1.9142857142857128</v>
      </c>
      <c r="AG81" s="7">
        <f t="shared" si="19"/>
        <v>-1.9142857142857128E-2</v>
      </c>
    </row>
    <row r="82" spans="1:33" x14ac:dyDescent="0.35">
      <c r="A82" s="9">
        <v>43732</v>
      </c>
      <c r="B82" s="38">
        <f>Расчеты!G95/360</f>
        <v>1.95E-2</v>
      </c>
      <c r="C82" s="11">
        <v>34.950000000000003</v>
      </c>
      <c r="D82" s="3">
        <f t="shared" si="10"/>
        <v>-1.8258426966292096</v>
      </c>
      <c r="E82" s="3">
        <f t="shared" si="11"/>
        <v>-1.8453426966292097</v>
      </c>
      <c r="F82" s="34">
        <v>2754.53</v>
      </c>
      <c r="G82" s="3">
        <f t="shared" si="12"/>
        <v>-1.110409052723782</v>
      </c>
      <c r="H82" s="3">
        <f t="shared" si="13"/>
        <v>-1.1299090527237821</v>
      </c>
      <c r="I82" s="3">
        <f t="shared" si="14"/>
        <v>3.4052896680027636</v>
      </c>
      <c r="J82" s="3">
        <f t="shared" si="15"/>
        <v>1.2766944674271545</v>
      </c>
      <c r="K82" s="3">
        <f t="shared" si="16"/>
        <v>2.0850694182990597</v>
      </c>
      <c r="M82" s="8">
        <v>-0.92165898617511122</v>
      </c>
      <c r="N82" s="7">
        <f t="shared" si="17"/>
        <v>-9.2165898617511122E-3</v>
      </c>
      <c r="V82" s="7">
        <v>-9.2165898617511122E-3</v>
      </c>
      <c r="AD82" s="8">
        <v>-0.92165898617511122</v>
      </c>
      <c r="AE82" s="8">
        <f t="shared" si="18"/>
        <v>-0.92165898617511122</v>
      </c>
      <c r="AF82" s="8">
        <v>-1.9061302681992465</v>
      </c>
      <c r="AG82" s="7">
        <f t="shared" si="19"/>
        <v>-1.9061302681992465E-2</v>
      </c>
    </row>
    <row r="83" spans="1:33" x14ac:dyDescent="0.35">
      <c r="A83" s="9">
        <v>43733</v>
      </c>
      <c r="B83" s="38">
        <f>Расчеты!G96/360</f>
        <v>1.9472222222222221E-2</v>
      </c>
      <c r="C83" s="11">
        <v>34.545000000000002</v>
      </c>
      <c r="D83" s="3">
        <f t="shared" si="10"/>
        <v>-1.1587982832618082</v>
      </c>
      <c r="E83" s="3">
        <f t="shared" si="11"/>
        <v>-1.1782705054840303</v>
      </c>
      <c r="F83" s="34">
        <v>2760.29</v>
      </c>
      <c r="G83" s="3">
        <f t="shared" si="12"/>
        <v>0.20911008411597098</v>
      </c>
      <c r="H83" s="3">
        <f t="shared" si="13"/>
        <v>0.18963786189374876</v>
      </c>
      <c r="I83" s="3">
        <f t="shared" si="14"/>
        <v>1.3883213840935924</v>
      </c>
      <c r="J83" s="3">
        <f t="shared" si="15"/>
        <v>3.596251866363253E-2</v>
      </c>
      <c r="K83" s="3">
        <f t="shared" si="16"/>
        <v>-0.22344469939245809</v>
      </c>
      <c r="M83" s="8">
        <v>-0.8736559139784994</v>
      </c>
      <c r="N83" s="7">
        <f t="shared" si="17"/>
        <v>-8.736559139784994E-3</v>
      </c>
      <c r="V83" s="7">
        <v>-8.736559139784994E-3</v>
      </c>
      <c r="AD83" s="8">
        <v>-0.8736559139784994</v>
      </c>
      <c r="AE83" s="8">
        <f t="shared" si="18"/>
        <v>-0.8736559139784994</v>
      </c>
      <c r="AF83" s="8">
        <v>-1.9006659267480686</v>
      </c>
      <c r="AG83" s="7">
        <f t="shared" si="19"/>
        <v>-1.9006659267480686E-2</v>
      </c>
    </row>
    <row r="84" spans="1:33" x14ac:dyDescent="0.35">
      <c r="A84" s="9">
        <v>43734</v>
      </c>
      <c r="B84" s="38">
        <f>Расчеты!G97/360</f>
        <v>1.9444444444444445E-2</v>
      </c>
      <c r="C84" s="11">
        <v>34.715000000000003</v>
      </c>
      <c r="D84" s="3">
        <f t="shared" si="10"/>
        <v>0.49211173831236188</v>
      </c>
      <c r="E84" s="3">
        <f t="shared" si="11"/>
        <v>0.47266729386791745</v>
      </c>
      <c r="F84" s="34">
        <v>2772.7</v>
      </c>
      <c r="G84" s="3">
        <f t="shared" si="12"/>
        <v>0.44959044158403572</v>
      </c>
      <c r="H84" s="3">
        <f t="shared" si="13"/>
        <v>0.43014599713959129</v>
      </c>
      <c r="I84" s="3">
        <f t="shared" si="14"/>
        <v>0.22341437069242023</v>
      </c>
      <c r="J84" s="3">
        <f t="shared" si="15"/>
        <v>0.18502557885521329</v>
      </c>
      <c r="K84" s="3">
        <f t="shared" si="16"/>
        <v>0.20331594443608758</v>
      </c>
      <c r="M84" s="8">
        <v>-0.85481501268865889</v>
      </c>
      <c r="N84" s="7">
        <f t="shared" si="17"/>
        <v>-8.5481501268865889E-3</v>
      </c>
      <c r="V84" s="7">
        <v>-8.5481501268865889E-3</v>
      </c>
      <c r="AD84" s="8">
        <v>-0.85481501268865889</v>
      </c>
      <c r="AE84" s="8">
        <f t="shared" si="18"/>
        <v>-0.85481501268865889</v>
      </c>
      <c r="AF84" s="8">
        <v>-1.8995015492388689</v>
      </c>
      <c r="AG84" s="7">
        <f t="shared" si="19"/>
        <v>-1.8995015492388689E-2</v>
      </c>
    </row>
    <row r="85" spans="1:33" x14ac:dyDescent="0.35">
      <c r="A85" s="9">
        <v>43735</v>
      </c>
      <c r="B85" s="38">
        <f>Расчеты!G98/360</f>
        <v>1.9527777777777779E-2</v>
      </c>
      <c r="C85" s="11">
        <v>34.835000000000001</v>
      </c>
      <c r="D85" s="3">
        <f t="shared" si="10"/>
        <v>0.34567189975514001</v>
      </c>
      <c r="E85" s="3">
        <f t="shared" si="11"/>
        <v>0.32614412197736226</v>
      </c>
      <c r="F85" s="34">
        <v>2757.98</v>
      </c>
      <c r="G85" s="3">
        <f t="shared" si="12"/>
        <v>-0.53089046777508031</v>
      </c>
      <c r="H85" s="3">
        <f t="shared" si="13"/>
        <v>-0.55041824555285812</v>
      </c>
      <c r="I85" s="3">
        <f t="shared" si="14"/>
        <v>0.10636998830038455</v>
      </c>
      <c r="J85" s="3">
        <f t="shared" si="15"/>
        <v>0.30296024503748642</v>
      </c>
      <c r="K85" s="3">
        <f t="shared" si="16"/>
        <v>-0.17951567541615709</v>
      </c>
      <c r="M85" s="8">
        <v>-0.82120194102276445</v>
      </c>
      <c r="N85" s="7">
        <f t="shared" si="17"/>
        <v>-8.2120194102276445E-3</v>
      </c>
      <c r="V85" s="7">
        <v>-8.2120194102276445E-3</v>
      </c>
      <c r="AD85" s="8">
        <v>-0.82120194102276445</v>
      </c>
      <c r="AE85" s="8">
        <f t="shared" si="18"/>
        <v>-0.82120194102276445</v>
      </c>
      <c r="AF85" s="8">
        <v>-1.885614385614387</v>
      </c>
      <c r="AG85" s="7">
        <f t="shared" si="19"/>
        <v>-1.885614385614387E-2</v>
      </c>
    </row>
    <row r="86" spans="1:33" x14ac:dyDescent="0.35">
      <c r="A86" s="9">
        <v>43738</v>
      </c>
      <c r="B86" s="38">
        <f>Расчеты!G99/360</f>
        <v>1.9555555555555555E-2</v>
      </c>
      <c r="C86" s="11">
        <v>35.4</v>
      </c>
      <c r="D86" s="3">
        <f t="shared" si="10"/>
        <v>1.6219319649777519</v>
      </c>
      <c r="E86" s="3">
        <f t="shared" si="11"/>
        <v>1.6023764094221964</v>
      </c>
      <c r="F86" s="34">
        <v>2747.18</v>
      </c>
      <c r="G86" s="3">
        <f t="shared" si="12"/>
        <v>-0.39159094699744434</v>
      </c>
      <c r="H86" s="3">
        <f t="shared" si="13"/>
        <v>-0.41114650255299989</v>
      </c>
      <c r="I86" s="3">
        <f t="shared" si="14"/>
        <v>2.5676101574727705</v>
      </c>
      <c r="J86" s="3">
        <f t="shared" si="15"/>
        <v>0.16904144656156395</v>
      </c>
      <c r="K86" s="3">
        <f t="shared" si="16"/>
        <v>-0.65881145650736983</v>
      </c>
      <c r="M86" s="8">
        <v>-0.80598733448474791</v>
      </c>
      <c r="N86" s="7">
        <f t="shared" si="17"/>
        <v>-8.0598733448474791E-3</v>
      </c>
      <c r="V86" s="7">
        <v>-8.0598733448474791E-3</v>
      </c>
      <c r="AD86" s="8">
        <v>-0.80598733448474791</v>
      </c>
      <c r="AE86" s="8">
        <f t="shared" si="18"/>
        <v>-0.80598733448474791</v>
      </c>
      <c r="AF86" s="8">
        <v>-1.8820861678004452</v>
      </c>
      <c r="AG86" s="7">
        <f t="shared" si="19"/>
        <v>-1.8820861678004452E-2</v>
      </c>
    </row>
    <row r="87" spans="1:33" x14ac:dyDescent="0.35">
      <c r="A87" s="9">
        <v>43739</v>
      </c>
      <c r="B87" s="38">
        <f>Расчеты!G100/360</f>
        <v>1.961111111111111E-2</v>
      </c>
      <c r="C87" s="11">
        <v>35.994999999999997</v>
      </c>
      <c r="D87" s="3">
        <f t="shared" si="10"/>
        <v>1.6807909604519722</v>
      </c>
      <c r="E87" s="3">
        <f t="shared" si="11"/>
        <v>1.6611798493408612</v>
      </c>
      <c r="F87" s="34">
        <v>2758.83</v>
      </c>
      <c r="G87" s="3">
        <f t="shared" si="12"/>
        <v>0.42407122940615327</v>
      </c>
      <c r="H87" s="3">
        <f t="shared" si="13"/>
        <v>0.40446011829504214</v>
      </c>
      <c r="I87" s="3">
        <f t="shared" si="14"/>
        <v>2.759518491856126</v>
      </c>
      <c r="J87" s="3">
        <f t="shared" si="15"/>
        <v>0.16358798729123947</v>
      </c>
      <c r="K87" s="3">
        <f t="shared" si="16"/>
        <v>0.67188099837374493</v>
      </c>
      <c r="M87" s="8">
        <v>-0.80000000000000071</v>
      </c>
      <c r="N87" s="7">
        <f t="shared" si="17"/>
        <v>-8.0000000000000071E-3</v>
      </c>
      <c r="V87" s="7">
        <v>-8.0000000000000071E-3</v>
      </c>
      <c r="AD87" s="8">
        <v>-0.80000000000000071</v>
      </c>
      <c r="AE87" s="8">
        <f t="shared" si="18"/>
        <v>-0.80000000000000071</v>
      </c>
      <c r="AF87" s="8">
        <v>-1.8637602179836454</v>
      </c>
      <c r="AG87" s="7">
        <f t="shared" si="19"/>
        <v>-1.8637602179836454E-2</v>
      </c>
    </row>
    <row r="88" spans="1:33" x14ac:dyDescent="0.35">
      <c r="A88" s="9">
        <v>43740</v>
      </c>
      <c r="B88" s="38">
        <f>Расчеты!G101/360</f>
        <v>1.9722222222222221E-2</v>
      </c>
      <c r="C88" s="11">
        <v>35.049999999999997</v>
      </c>
      <c r="D88" s="3">
        <f t="shared" si="10"/>
        <v>-2.6253646339769454</v>
      </c>
      <c r="E88" s="3">
        <f t="shared" si="11"/>
        <v>-2.6450868561991676</v>
      </c>
      <c r="F88" s="34">
        <v>2719.39</v>
      </c>
      <c r="G88" s="3">
        <f t="shared" si="12"/>
        <v>-1.4295915297426798</v>
      </c>
      <c r="H88" s="3">
        <f t="shared" si="13"/>
        <v>-1.449313751964902</v>
      </c>
      <c r="I88" s="3">
        <f t="shared" si="14"/>
        <v>6.9964844768375958</v>
      </c>
      <c r="J88" s="3">
        <f t="shared" si="15"/>
        <v>2.1005103516345813</v>
      </c>
      <c r="K88" s="3">
        <f t="shared" si="16"/>
        <v>3.8335607558310629</v>
      </c>
      <c r="M88" s="8">
        <v>-0.75705437026840627</v>
      </c>
      <c r="N88" s="7">
        <f t="shared" si="17"/>
        <v>-7.5705437026840627E-3</v>
      </c>
      <c r="V88" s="7">
        <v>-7.5705437026840627E-3</v>
      </c>
      <c r="AD88" s="8">
        <v>-0.75705437026840627</v>
      </c>
      <c r="AE88" s="8">
        <f t="shared" si="18"/>
        <v>-0.75705437026840627</v>
      </c>
      <c r="AF88" s="8">
        <v>-1.8612521150592087</v>
      </c>
      <c r="AG88" s="7">
        <f t="shared" si="19"/>
        <v>-1.8612521150592087E-2</v>
      </c>
    </row>
    <row r="89" spans="1:33" x14ac:dyDescent="0.35">
      <c r="A89" s="9">
        <v>43741</v>
      </c>
      <c r="B89" s="38">
        <f>Расчеты!G102/360</f>
        <v>1.9722222222222221E-2</v>
      </c>
      <c r="C89" s="11">
        <v>35.585000000000001</v>
      </c>
      <c r="D89" s="3">
        <f t="shared" si="10"/>
        <v>1.5263908701854678</v>
      </c>
      <c r="E89" s="3">
        <f t="shared" si="11"/>
        <v>1.5066686479632456</v>
      </c>
      <c r="F89" s="34">
        <v>2707.47</v>
      </c>
      <c r="G89" s="3">
        <f t="shared" si="12"/>
        <v>-0.4383335968728308</v>
      </c>
      <c r="H89" s="3">
        <f t="shared" si="13"/>
        <v>-0.458055819095053</v>
      </c>
      <c r="I89" s="3">
        <f t="shared" si="14"/>
        <v>2.2700504147553944</v>
      </c>
      <c r="J89" s="3">
        <f t="shared" si="15"/>
        <v>0.20981513340683991</v>
      </c>
      <c r="K89" s="3">
        <f t="shared" si="16"/>
        <v>-0.69013834164764054</v>
      </c>
      <c r="M89" s="8">
        <v>-0.70512820512820262</v>
      </c>
      <c r="N89" s="7">
        <f t="shared" si="17"/>
        <v>-7.0512820512820262E-3</v>
      </c>
      <c r="V89" s="7">
        <v>-7.0512820512820262E-3</v>
      </c>
      <c r="AD89" s="8">
        <v>-0.70512820512820262</v>
      </c>
      <c r="AE89" s="8">
        <f t="shared" si="18"/>
        <v>-0.70512820512820262</v>
      </c>
      <c r="AF89" s="8">
        <v>-1.8609022556390964</v>
      </c>
      <c r="AG89" s="7">
        <f t="shared" si="19"/>
        <v>-1.8609022556390964E-2</v>
      </c>
    </row>
    <row r="90" spans="1:33" x14ac:dyDescent="0.35">
      <c r="A90" s="9">
        <v>43742</v>
      </c>
      <c r="B90" s="38">
        <f>Расчеты!G103/360</f>
        <v>1.9666666666666666E-2</v>
      </c>
      <c r="C90" s="11">
        <v>35.225000000000001</v>
      </c>
      <c r="D90" s="3">
        <f t="shared" si="10"/>
        <v>-1.0116622172263612</v>
      </c>
      <c r="E90" s="3">
        <f t="shared" si="11"/>
        <v>-1.0313288838930279</v>
      </c>
      <c r="F90" s="34">
        <v>2692.55</v>
      </c>
      <c r="G90" s="3">
        <f t="shared" si="12"/>
        <v>-0.5510679712055766</v>
      </c>
      <c r="H90" s="3">
        <f t="shared" si="13"/>
        <v>-0.57073463787224332</v>
      </c>
      <c r="I90" s="3">
        <f t="shared" si="14"/>
        <v>1.0636392667520387</v>
      </c>
      <c r="J90" s="3">
        <f t="shared" si="15"/>
        <v>0.32573802686716075</v>
      </c>
      <c r="K90" s="3">
        <f t="shared" si="16"/>
        <v>0.58861511707587211</v>
      </c>
      <c r="M90" s="8">
        <v>-0.60907395898074368</v>
      </c>
      <c r="N90" s="7">
        <f t="shared" si="17"/>
        <v>-6.0907395898074368E-3</v>
      </c>
      <c r="V90" s="7">
        <v>-6.0907395898074368E-3</v>
      </c>
      <c r="AD90" s="8">
        <v>-0.60907395898074368</v>
      </c>
      <c r="AE90" s="8">
        <f t="shared" si="18"/>
        <v>-0.60907395898074368</v>
      </c>
      <c r="AF90" s="8">
        <v>-1.8258426966292096</v>
      </c>
      <c r="AG90" s="7">
        <f t="shared" si="19"/>
        <v>-1.8258426966292096E-2</v>
      </c>
    </row>
    <row r="91" spans="1:33" x14ac:dyDescent="0.35">
      <c r="A91" s="9">
        <v>43745</v>
      </c>
      <c r="B91" s="38">
        <f>Расчеты!G104/360</f>
        <v>1.9833333333333331E-2</v>
      </c>
      <c r="C91" s="11">
        <v>36</v>
      </c>
      <c r="D91" s="3">
        <f t="shared" si="10"/>
        <v>2.200141944641576</v>
      </c>
      <c r="E91" s="3">
        <f t="shared" si="11"/>
        <v>2.1803086113082428</v>
      </c>
      <c r="F91" s="34">
        <v>2719.22</v>
      </c>
      <c r="G91" s="3">
        <f t="shared" si="12"/>
        <v>0.99051085402312999</v>
      </c>
      <c r="H91" s="3">
        <f t="shared" si="13"/>
        <v>0.97067752068979662</v>
      </c>
      <c r="I91" s="3">
        <f t="shared" si="14"/>
        <v>4.7537456405448779</v>
      </c>
      <c r="J91" s="3">
        <f t="shared" si="15"/>
        <v>0.94221484917249054</v>
      </c>
      <c r="K91" s="3">
        <f t="shared" si="16"/>
        <v>2.1163765571632984</v>
      </c>
      <c r="M91" s="8">
        <v>-0.59435364041603433</v>
      </c>
      <c r="N91" s="7">
        <f t="shared" si="17"/>
        <v>-5.9435364041603433E-3</v>
      </c>
      <c r="V91" s="7">
        <v>-5.9435364041603433E-3</v>
      </c>
      <c r="AD91" s="8">
        <v>-0.59435364041603433</v>
      </c>
      <c r="AE91" s="8">
        <f t="shared" si="18"/>
        <v>-0.59435364041603433</v>
      </c>
      <c r="AF91" s="8">
        <v>-1.807307242231182</v>
      </c>
      <c r="AG91" s="7">
        <f t="shared" si="19"/>
        <v>-1.807307242231182E-2</v>
      </c>
    </row>
    <row r="92" spans="1:33" x14ac:dyDescent="0.35">
      <c r="A92" s="9">
        <v>43746</v>
      </c>
      <c r="B92" s="38">
        <f>Расчеты!G105/360</f>
        <v>1.9944444444444445E-2</v>
      </c>
      <c r="C92" s="11">
        <v>36.090000000000003</v>
      </c>
      <c r="D92" s="3">
        <f t="shared" si="10"/>
        <v>0.25000000000001688</v>
      </c>
      <c r="E92" s="3">
        <f t="shared" si="11"/>
        <v>0.23005555555557244</v>
      </c>
      <c r="F92" s="34">
        <v>2707.89</v>
      </c>
      <c r="G92" s="3">
        <f t="shared" si="12"/>
        <v>-0.41666360206235042</v>
      </c>
      <c r="H92" s="3">
        <f t="shared" si="13"/>
        <v>-0.43660804650679486</v>
      </c>
      <c r="I92" s="3">
        <f t="shared" si="14"/>
        <v>5.2925558641983082E-2</v>
      </c>
      <c r="J92" s="3">
        <f t="shared" si="15"/>
        <v>0.19062658627447954</v>
      </c>
      <c r="K92" s="3">
        <f t="shared" si="16"/>
        <v>-0.10044410669915391</v>
      </c>
      <c r="M92" s="8">
        <v>-0.57673509286413349</v>
      </c>
      <c r="N92" s="7">
        <f t="shared" si="17"/>
        <v>-5.7673509286413349E-3</v>
      </c>
      <c r="V92" s="7">
        <v>-5.7673509286413349E-3</v>
      </c>
      <c r="AD92" s="8">
        <v>-0.57673509286413349</v>
      </c>
      <c r="AE92" s="8">
        <f t="shared" si="18"/>
        <v>-0.57673509286413349</v>
      </c>
      <c r="AF92" s="8">
        <v>-1.8062397372742289</v>
      </c>
      <c r="AG92" s="7">
        <f t="shared" si="19"/>
        <v>-1.8062397372742289E-2</v>
      </c>
    </row>
    <row r="93" spans="1:33" x14ac:dyDescent="0.35">
      <c r="A93" s="9">
        <v>43747</v>
      </c>
      <c r="B93" s="38">
        <f>Расчеты!G106/360</f>
        <v>1.988888888888889E-2</v>
      </c>
      <c r="C93" s="11">
        <v>36.435000000000002</v>
      </c>
      <c r="D93" s="3">
        <f t="shared" si="10"/>
        <v>0.95594347464671436</v>
      </c>
      <c r="E93" s="3">
        <f t="shared" si="11"/>
        <v>0.93605458575782552</v>
      </c>
      <c r="F93" s="34">
        <v>2713.02</v>
      </c>
      <c r="G93" s="3">
        <f t="shared" si="12"/>
        <v>0.18944639553306608</v>
      </c>
      <c r="H93" s="3">
        <f t="shared" si="13"/>
        <v>0.16955750664417718</v>
      </c>
      <c r="I93" s="3">
        <f t="shared" si="14"/>
        <v>0.87619818751825429</v>
      </c>
      <c r="J93" s="3">
        <f t="shared" si="15"/>
        <v>2.8749748059390189E-2</v>
      </c>
      <c r="K93" s="3">
        <f t="shared" si="16"/>
        <v>0.15871508164394502</v>
      </c>
      <c r="M93" s="8">
        <v>-0.57422969187677086</v>
      </c>
      <c r="N93" s="7">
        <f t="shared" si="17"/>
        <v>-5.7422969187677086E-3</v>
      </c>
      <c r="V93" s="7">
        <v>-5.7422969187677086E-3</v>
      </c>
      <c r="AD93" s="8">
        <v>-0.57422969187677086</v>
      </c>
      <c r="AE93" s="8">
        <f t="shared" si="18"/>
        <v>-0.57422969187677086</v>
      </c>
      <c r="AF93" s="8">
        <v>-1.7970401691331794</v>
      </c>
      <c r="AG93" s="7">
        <f t="shared" si="19"/>
        <v>-1.7970401691331794E-2</v>
      </c>
    </row>
    <row r="94" spans="1:33" x14ac:dyDescent="0.35">
      <c r="A94" s="9">
        <v>43748</v>
      </c>
      <c r="B94" s="38">
        <f>Расчеты!G107/360</f>
        <v>1.9805555555555555E-2</v>
      </c>
      <c r="C94" s="11">
        <v>36.54</v>
      </c>
      <c r="D94" s="3">
        <f t="shared" si="10"/>
        <v>0.28818443804032867</v>
      </c>
      <c r="E94" s="3">
        <f t="shared" si="11"/>
        <v>0.2683788824847731</v>
      </c>
      <c r="F94" s="34">
        <v>2721.51</v>
      </c>
      <c r="G94" s="3">
        <f t="shared" si="12"/>
        <v>0.31293540040251422</v>
      </c>
      <c r="H94" s="3">
        <f t="shared" si="13"/>
        <v>0.29312984484695864</v>
      </c>
      <c r="I94" s="3">
        <f t="shared" si="14"/>
        <v>7.2027224563775652E-2</v>
      </c>
      <c r="J94" s="3">
        <f t="shared" si="15"/>
        <v>8.592510594000205E-2</v>
      </c>
      <c r="K94" s="3">
        <f t="shared" si="16"/>
        <v>7.8669860182961682E-2</v>
      </c>
      <c r="M94" s="8">
        <v>-0.55762081784387352</v>
      </c>
      <c r="N94" s="7">
        <f t="shared" si="17"/>
        <v>-5.5762081784387352E-3</v>
      </c>
      <c r="V94" s="7">
        <v>-5.5762081784387352E-3</v>
      </c>
      <c r="AD94" s="8">
        <v>-0.55762081784387352</v>
      </c>
      <c r="AE94" s="8">
        <f t="shared" si="18"/>
        <v>-0.55762081784387352</v>
      </c>
      <c r="AF94" s="8">
        <v>-1.7966744782948352</v>
      </c>
      <c r="AG94" s="7">
        <f t="shared" si="19"/>
        <v>-1.7966744782948352E-2</v>
      </c>
    </row>
    <row r="95" spans="1:33" x14ac:dyDescent="0.35">
      <c r="A95" s="9">
        <v>43749</v>
      </c>
      <c r="B95" s="38">
        <f>Расчеты!G108/360</f>
        <v>1.977777777777778E-2</v>
      </c>
      <c r="C95" s="11">
        <v>36.725000000000001</v>
      </c>
      <c r="D95" s="3">
        <f t="shared" si="10"/>
        <v>0.50629447181171905</v>
      </c>
      <c r="E95" s="3">
        <f t="shared" si="11"/>
        <v>0.48651669403394127</v>
      </c>
      <c r="F95" s="34">
        <v>2708.07</v>
      </c>
      <c r="G95" s="3">
        <f t="shared" si="12"/>
        <v>-0.49384349129710792</v>
      </c>
      <c r="H95" s="3">
        <f t="shared" si="13"/>
        <v>-0.5136212690748857</v>
      </c>
      <c r="I95" s="3">
        <f t="shared" si="14"/>
        <v>0.23669849357371561</v>
      </c>
      <c r="J95" s="3">
        <f t="shared" si="15"/>
        <v>0.26380680804609613</v>
      </c>
      <c r="K95" s="3">
        <f t="shared" si="16"/>
        <v>-0.24988532181583079</v>
      </c>
      <c r="M95" s="8">
        <v>-0.53020261314145056</v>
      </c>
      <c r="N95" s="7">
        <f t="shared" si="17"/>
        <v>-5.3020261314145056E-3</v>
      </c>
      <c r="V95" s="7">
        <v>-5.3020261314145056E-3</v>
      </c>
      <c r="AD95" s="8">
        <v>-0.53020261314145056</v>
      </c>
      <c r="AE95" s="8">
        <f t="shared" si="18"/>
        <v>-0.53020261314145056</v>
      </c>
      <c r="AF95" s="8">
        <v>-1.7931444422429221</v>
      </c>
      <c r="AG95" s="7">
        <f t="shared" si="19"/>
        <v>-1.7931444422429221E-2</v>
      </c>
    </row>
    <row r="96" spans="1:33" x14ac:dyDescent="0.35">
      <c r="A96" s="9">
        <v>43752</v>
      </c>
      <c r="B96" s="38">
        <f>Расчеты!G109/360</f>
        <v>1.977777777777778E-2</v>
      </c>
      <c r="C96" s="11">
        <v>36.25</v>
      </c>
      <c r="D96" s="3">
        <f t="shared" si="10"/>
        <v>-1.293396868618113</v>
      </c>
      <c r="E96" s="3">
        <f t="shared" si="11"/>
        <v>-1.3131746463958907</v>
      </c>
      <c r="F96" s="34">
        <v>2697.46</v>
      </c>
      <c r="G96" s="3">
        <f t="shared" si="12"/>
        <v>-0.39179194038558851</v>
      </c>
      <c r="H96" s="3">
        <f t="shared" si="13"/>
        <v>-0.41156971816336629</v>
      </c>
      <c r="I96" s="3">
        <f t="shared" si="14"/>
        <v>1.7244276519369726</v>
      </c>
      <c r="J96" s="3">
        <f t="shared" si="15"/>
        <v>0.16938963290907277</v>
      </c>
      <c r="K96" s="3">
        <f t="shared" si="16"/>
        <v>0.54046291911643496</v>
      </c>
      <c r="M96" s="8">
        <v>-0.51851851851851816</v>
      </c>
      <c r="N96" s="7">
        <f t="shared" si="17"/>
        <v>-5.1851851851851816E-3</v>
      </c>
      <c r="V96" s="7">
        <v>-5.1851851851851816E-3</v>
      </c>
      <c r="AD96" s="8">
        <v>-0.51851851851851816</v>
      </c>
      <c r="AE96" s="8">
        <f t="shared" si="18"/>
        <v>-0.51851851851851816</v>
      </c>
      <c r="AF96" s="8">
        <v>-1.7885659533695364</v>
      </c>
      <c r="AG96" s="7">
        <f t="shared" si="19"/>
        <v>-1.7885659533695364E-2</v>
      </c>
    </row>
    <row r="97" spans="1:33" x14ac:dyDescent="0.35">
      <c r="A97" s="9">
        <v>43753</v>
      </c>
      <c r="B97" s="38">
        <f>Расчеты!G110/360</f>
        <v>1.9805555555555555E-2</v>
      </c>
      <c r="C97" s="11">
        <v>35.96</v>
      </c>
      <c r="D97" s="3">
        <f t="shared" si="10"/>
        <v>-0.80000000000000071</v>
      </c>
      <c r="E97" s="3">
        <f t="shared" si="11"/>
        <v>-0.81980555555555623</v>
      </c>
      <c r="F97" s="34">
        <v>2715.26</v>
      </c>
      <c r="G97" s="3">
        <f t="shared" si="12"/>
        <v>0.65988003529247052</v>
      </c>
      <c r="H97" s="3">
        <f t="shared" si="13"/>
        <v>0.640074479736915</v>
      </c>
      <c r="I97" s="3">
        <f t="shared" si="14"/>
        <v>0.67208114891975423</v>
      </c>
      <c r="J97" s="3">
        <f t="shared" si="15"/>
        <v>0.40969533961048243</v>
      </c>
      <c r="K97" s="3">
        <f t="shared" si="16"/>
        <v>-0.52473661445765518</v>
      </c>
      <c r="M97" s="8">
        <v>-0.4761904761904856</v>
      </c>
      <c r="N97" s="7">
        <f t="shared" si="17"/>
        <v>-4.761904761904856E-3</v>
      </c>
      <c r="V97" s="7">
        <v>-4.761904761904856E-3</v>
      </c>
      <c r="AD97" s="8">
        <v>-0.4761904761904856</v>
      </c>
      <c r="AE97" s="8">
        <f t="shared" si="18"/>
        <v>-0.4761904761904856</v>
      </c>
      <c r="AF97" s="8">
        <v>-1.7717269675494141</v>
      </c>
      <c r="AG97" s="7">
        <f t="shared" si="19"/>
        <v>-1.7717269675494141E-2</v>
      </c>
    </row>
    <row r="98" spans="1:33" x14ac:dyDescent="0.35">
      <c r="A98" s="9">
        <v>43754</v>
      </c>
      <c r="B98" s="38">
        <f>Расчеты!G111/360</f>
        <v>1.977777777777778E-2</v>
      </c>
      <c r="C98" s="11">
        <v>36.725000000000001</v>
      </c>
      <c r="D98" s="3">
        <f t="shared" si="10"/>
        <v>2.1273637374860987</v>
      </c>
      <c r="E98" s="3">
        <f t="shared" si="11"/>
        <v>2.1075859597083211</v>
      </c>
      <c r="F98" s="34">
        <v>2744.35</v>
      </c>
      <c r="G98" s="3">
        <f t="shared" si="12"/>
        <v>1.0713522830226196</v>
      </c>
      <c r="H98" s="3">
        <f t="shared" si="13"/>
        <v>1.051574505244842</v>
      </c>
      <c r="I98" s="3">
        <f t="shared" si="14"/>
        <v>4.4419185775596448</v>
      </c>
      <c r="J98" s="3">
        <f t="shared" si="15"/>
        <v>1.1058089400809341</v>
      </c>
      <c r="K98" s="3">
        <f t="shared" si="16"/>
        <v>2.2162836628412532</v>
      </c>
      <c r="M98" s="8">
        <v>-0.45471303920364692</v>
      </c>
      <c r="N98" s="7">
        <f t="shared" si="17"/>
        <v>-4.5471303920364692E-3</v>
      </c>
      <c r="V98" s="7">
        <v>-4.5471303920364692E-3</v>
      </c>
      <c r="AD98" s="8">
        <v>-0.45471303920364692</v>
      </c>
      <c r="AE98" s="8">
        <f t="shared" si="18"/>
        <v>-0.45471303920364692</v>
      </c>
      <c r="AF98" s="8">
        <v>-1.7491525423728893</v>
      </c>
      <c r="AG98" s="7">
        <f t="shared" si="19"/>
        <v>-1.7491525423728893E-2</v>
      </c>
    </row>
    <row r="99" spans="1:33" x14ac:dyDescent="0.35">
      <c r="A99" s="9">
        <v>43755</v>
      </c>
      <c r="B99" s="38">
        <f>Расчеты!G112/360</f>
        <v>1.9722222222222221E-2</v>
      </c>
      <c r="C99" s="11">
        <v>36.200000000000003</v>
      </c>
      <c r="D99" s="3">
        <f t="shared" si="10"/>
        <v>-1.4295439074200056</v>
      </c>
      <c r="E99" s="3">
        <f t="shared" si="11"/>
        <v>-1.4492661296422278</v>
      </c>
      <c r="F99" s="34">
        <v>2748.64</v>
      </c>
      <c r="G99" s="3">
        <f t="shared" si="12"/>
        <v>0.15632116894710446</v>
      </c>
      <c r="H99" s="3">
        <f t="shared" si="13"/>
        <v>0.13659894672488224</v>
      </c>
      <c r="I99" s="3">
        <f t="shared" si="14"/>
        <v>2.1003723145281628</v>
      </c>
      <c r="J99" s="3">
        <f t="shared" si="15"/>
        <v>1.8659272246347215E-2</v>
      </c>
      <c r="K99" s="3">
        <f t="shared" si="16"/>
        <v>-0.19796822683317494</v>
      </c>
      <c r="M99" s="8">
        <v>-0.44333076329993171</v>
      </c>
      <c r="N99" s="7">
        <f t="shared" si="17"/>
        <v>-4.4333076329993171E-3</v>
      </c>
      <c r="V99" s="7">
        <v>-4.4333076329993171E-3</v>
      </c>
      <c r="AD99" s="8">
        <v>-0.44333076329993171</v>
      </c>
      <c r="AE99" s="8">
        <f t="shared" si="18"/>
        <v>-0.44333076329993171</v>
      </c>
      <c r="AF99" s="8">
        <v>-1.7255434782608825</v>
      </c>
      <c r="AG99" s="7">
        <f t="shared" si="19"/>
        <v>-1.7255434782608825E-2</v>
      </c>
    </row>
    <row r="100" spans="1:33" x14ac:dyDescent="0.35">
      <c r="A100" s="9">
        <v>43756</v>
      </c>
      <c r="B100" s="38">
        <f>Расчеты!G113/360</f>
        <v>1.9722222222222221E-2</v>
      </c>
      <c r="C100" s="11">
        <v>36.17</v>
      </c>
      <c r="D100" s="3">
        <f t="shared" si="10"/>
        <v>-8.2872928176802585E-2</v>
      </c>
      <c r="E100" s="3">
        <f t="shared" si="11"/>
        <v>-0.10259515039902481</v>
      </c>
      <c r="F100" s="34">
        <v>2752.91</v>
      </c>
      <c r="G100" s="3">
        <f t="shared" si="12"/>
        <v>0.15534955468885503</v>
      </c>
      <c r="H100" s="3">
        <f t="shared" si="13"/>
        <v>0.13562733246663281</v>
      </c>
      <c r="I100" s="3">
        <f t="shared" si="14"/>
        <v>1.052576488539852E-2</v>
      </c>
      <c r="J100" s="3">
        <f t="shared" si="15"/>
        <v>1.8394773312014549E-2</v>
      </c>
      <c r="K100" s="3">
        <f t="shared" si="16"/>
        <v>-1.3914706572632734E-2</v>
      </c>
      <c r="M100" s="8">
        <v>-0.42926829268292721</v>
      </c>
      <c r="N100" s="7">
        <f t="shared" si="17"/>
        <v>-4.2926829268292721E-3</v>
      </c>
      <c r="V100" s="7">
        <v>-4.2926829268292721E-3</v>
      </c>
      <c r="AD100" s="8">
        <v>-0.42926829268292721</v>
      </c>
      <c r="AE100" s="8">
        <f t="shared" si="18"/>
        <v>-0.42926829268292721</v>
      </c>
      <c r="AF100" s="8">
        <v>-1.6870811185578982</v>
      </c>
      <c r="AG100" s="7">
        <f t="shared" si="19"/>
        <v>-1.6870811185578982E-2</v>
      </c>
    </row>
    <row r="101" spans="1:33" x14ac:dyDescent="0.35">
      <c r="A101" s="9">
        <v>43759</v>
      </c>
      <c r="B101" s="38">
        <f>Расчеты!G114/360</f>
        <v>1.9666666666666666E-2</v>
      </c>
      <c r="C101" s="11">
        <v>36.04</v>
      </c>
      <c r="D101" s="3">
        <f t="shared" si="10"/>
        <v>-0.35941387890517928</v>
      </c>
      <c r="E101" s="3">
        <f t="shared" si="11"/>
        <v>-0.37908054557184595</v>
      </c>
      <c r="F101" s="34">
        <v>2761.15</v>
      </c>
      <c r="G101" s="3">
        <f t="shared" si="12"/>
        <v>0.29931962904707898</v>
      </c>
      <c r="H101" s="3">
        <f t="shared" si="13"/>
        <v>0.27965296238041232</v>
      </c>
      <c r="I101" s="3">
        <f t="shared" si="14"/>
        <v>0.14370206003104838</v>
      </c>
      <c r="J101" s="3">
        <f t="shared" si="15"/>
        <v>7.8205779368140313E-2</v>
      </c>
      <c r="K101" s="3">
        <f t="shared" si="16"/>
        <v>-0.10601099754994961</v>
      </c>
      <c r="M101" s="8">
        <v>-0.38314176245211051</v>
      </c>
      <c r="N101" s="7">
        <f t="shared" si="17"/>
        <v>-3.8314176245211051E-3</v>
      </c>
      <c r="V101" s="7">
        <v>-3.8314176245211051E-3</v>
      </c>
      <c r="AD101" s="8">
        <v>-0.38314176245211051</v>
      </c>
      <c r="AE101" s="8">
        <f t="shared" si="18"/>
        <v>-0.38314176245211051</v>
      </c>
      <c r="AF101" s="8">
        <v>-1.6807909604519722</v>
      </c>
      <c r="AG101" s="7">
        <f t="shared" si="19"/>
        <v>-1.6807909604519722E-2</v>
      </c>
    </row>
    <row r="102" spans="1:33" x14ac:dyDescent="0.35">
      <c r="A102" s="9">
        <v>43760</v>
      </c>
      <c r="B102" s="38">
        <f>Расчеты!G115/360</f>
        <v>1.9472222222222221E-2</v>
      </c>
      <c r="C102" s="11">
        <v>36.725000000000001</v>
      </c>
      <c r="D102" s="3">
        <f t="shared" si="10"/>
        <v>1.9006659267480686</v>
      </c>
      <c r="E102" s="3">
        <f t="shared" si="11"/>
        <v>1.8811937045258464</v>
      </c>
      <c r="F102" s="34">
        <v>2802.23</v>
      </c>
      <c r="G102" s="3">
        <f t="shared" si="12"/>
        <v>1.4877858863154847</v>
      </c>
      <c r="H102" s="3">
        <f t="shared" si="13"/>
        <v>1.4683136640932626</v>
      </c>
      <c r="I102" s="3">
        <f t="shared" si="14"/>
        <v>3.5388897539476778</v>
      </c>
      <c r="J102" s="3">
        <f t="shared" si="15"/>
        <v>2.1559450161629825</v>
      </c>
      <c r="K102" s="3">
        <f t="shared" si="16"/>
        <v>2.762182421161524</v>
      </c>
      <c r="M102" s="8">
        <v>-0.36111111111111205</v>
      </c>
      <c r="N102" s="7">
        <f t="shared" si="17"/>
        <v>-3.6111111111111205E-3</v>
      </c>
      <c r="V102" s="7">
        <v>-3.6111111111111205E-3</v>
      </c>
      <c r="AD102" s="8">
        <v>-0.36111111111111205</v>
      </c>
      <c r="AE102" s="8">
        <f t="shared" si="18"/>
        <v>-0.36111111111111205</v>
      </c>
      <c r="AF102" s="8">
        <v>-1.6382910375843274</v>
      </c>
      <c r="AG102" s="7">
        <f t="shared" si="19"/>
        <v>-1.6382910375843274E-2</v>
      </c>
    </row>
    <row r="103" spans="1:33" x14ac:dyDescent="0.35">
      <c r="A103" s="9">
        <v>43761</v>
      </c>
      <c r="B103" s="38">
        <f>Расчеты!G116/360</f>
        <v>1.925E-2</v>
      </c>
      <c r="C103" s="11">
        <v>40.17</v>
      </c>
      <c r="D103" s="3">
        <f t="shared" si="10"/>
        <v>9.3805309734513287</v>
      </c>
      <c r="E103" s="3">
        <f t="shared" si="11"/>
        <v>9.3612809734513291</v>
      </c>
      <c r="F103" s="34">
        <v>2821.58</v>
      </c>
      <c r="G103" s="3">
        <f t="shared" si="12"/>
        <v>0.69052147753752013</v>
      </c>
      <c r="H103" s="3">
        <f t="shared" si="13"/>
        <v>0.67127147753752014</v>
      </c>
      <c r="I103" s="3">
        <f t="shared" si="14"/>
        <v>87.633581463901862</v>
      </c>
      <c r="J103" s="3">
        <f t="shared" si="15"/>
        <v>0.45060539655540544</v>
      </c>
      <c r="K103" s="3">
        <f t="shared" si="16"/>
        <v>6.2839609106925485</v>
      </c>
      <c r="M103" s="8">
        <v>-0.35941387890517928</v>
      </c>
      <c r="N103" s="7">
        <f t="shared" si="17"/>
        <v>-3.5941387890517928E-3</v>
      </c>
      <c r="V103" s="7">
        <v>-3.5941387890517928E-3</v>
      </c>
      <c r="AD103" s="8">
        <v>-0.35941387890517928</v>
      </c>
      <c r="AE103" s="8">
        <f t="shared" si="18"/>
        <v>-0.35941387890517928</v>
      </c>
      <c r="AF103" s="8">
        <v>-1.6219319649777519</v>
      </c>
      <c r="AG103" s="7">
        <f t="shared" si="19"/>
        <v>-1.6219319649777519E-2</v>
      </c>
    </row>
    <row r="104" spans="1:33" x14ac:dyDescent="0.35">
      <c r="A104" s="9">
        <v>43762</v>
      </c>
      <c r="B104" s="38">
        <f>Расчеты!G117/360</f>
        <v>1.9277777777777779E-2</v>
      </c>
      <c r="C104" s="11">
        <v>43.55</v>
      </c>
      <c r="D104" s="3">
        <f t="shared" si="10"/>
        <v>8.4142394822006352</v>
      </c>
      <c r="E104" s="3">
        <f t="shared" si="11"/>
        <v>8.3949617044228582</v>
      </c>
      <c r="F104" s="34">
        <v>2877.05</v>
      </c>
      <c r="G104" s="3">
        <f t="shared" si="12"/>
        <v>1.9659198037978776</v>
      </c>
      <c r="H104" s="3">
        <f t="shared" si="13"/>
        <v>1.9466420260200998</v>
      </c>
      <c r="I104" s="3">
        <f t="shared" si="14"/>
        <v>70.475382018726336</v>
      </c>
      <c r="J104" s="3">
        <f t="shared" si="15"/>
        <v>3.7894151774676392</v>
      </c>
      <c r="K104" s="3">
        <f t="shared" si="16"/>
        <v>16.341985260658863</v>
      </c>
      <c r="M104" s="8">
        <v>-0.3558718861209953</v>
      </c>
      <c r="N104" s="7">
        <f t="shared" si="17"/>
        <v>-3.558718861209953E-3</v>
      </c>
      <c r="V104" s="7">
        <v>-3.558718861209953E-3</v>
      </c>
      <c r="AD104" s="8">
        <v>-0.3558718861209953</v>
      </c>
      <c r="AE104" s="8">
        <f t="shared" si="18"/>
        <v>-0.3558718861209953</v>
      </c>
      <c r="AF104" s="8">
        <v>-1.620924663842338</v>
      </c>
      <c r="AG104" s="7">
        <f t="shared" si="19"/>
        <v>-1.620924663842338E-2</v>
      </c>
    </row>
    <row r="105" spans="1:33" x14ac:dyDescent="0.35">
      <c r="A105" s="9">
        <v>43763</v>
      </c>
      <c r="B105" s="38">
        <f>Расчеты!G118/360</f>
        <v>1.9527777777777779E-2</v>
      </c>
      <c r="C105" s="11">
        <v>46.58</v>
      </c>
      <c r="D105" s="3">
        <f t="shared" si="10"/>
        <v>6.9575200918484459</v>
      </c>
      <c r="E105" s="3">
        <f t="shared" si="11"/>
        <v>6.9379923140706685</v>
      </c>
      <c r="F105" s="34">
        <v>2873.41</v>
      </c>
      <c r="G105" s="3">
        <f t="shared" si="12"/>
        <v>-0.12651848247338116</v>
      </c>
      <c r="H105" s="3">
        <f t="shared" si="13"/>
        <v>-0.14604626025115894</v>
      </c>
      <c r="I105" s="3">
        <f t="shared" si="14"/>
        <v>48.135737350103668</v>
      </c>
      <c r="J105" s="3">
        <f t="shared" si="15"/>
        <v>2.1329510133349248E-2</v>
      </c>
      <c r="K105" s="3">
        <f t="shared" si="16"/>
        <v>-1.0132678311213053</v>
      </c>
      <c r="M105" s="8">
        <v>-0.30769230769229772</v>
      </c>
      <c r="N105" s="7">
        <f t="shared" si="17"/>
        <v>-3.0769230769229772E-3</v>
      </c>
      <c r="V105" s="7">
        <v>-3.0769230769229772E-3</v>
      </c>
      <c r="AD105" s="8">
        <v>-0.30769230769229772</v>
      </c>
      <c r="AE105" s="8">
        <f t="shared" si="18"/>
        <v>-0.30769230769229772</v>
      </c>
      <c r="AF105" s="8">
        <v>-1.6148148148148245</v>
      </c>
      <c r="AG105" s="7">
        <f t="shared" si="19"/>
        <v>-1.6148148148148245E-2</v>
      </c>
    </row>
    <row r="106" spans="1:33" x14ac:dyDescent="0.35">
      <c r="A106" s="9">
        <v>43766</v>
      </c>
      <c r="B106" s="38">
        <f>Расчеты!G119/360</f>
        <v>1.8805555555555555E-2</v>
      </c>
      <c r="C106" s="11">
        <v>44.6</v>
      </c>
      <c r="D106" s="3">
        <f t="shared" si="10"/>
        <v>-4.250751395448682</v>
      </c>
      <c r="E106" s="3">
        <f t="shared" si="11"/>
        <v>-4.2695569510042377</v>
      </c>
      <c r="F106" s="34">
        <v>2856.91</v>
      </c>
      <c r="G106" s="3">
        <f t="shared" si="12"/>
        <v>-0.57423061797654551</v>
      </c>
      <c r="H106" s="3">
        <f t="shared" si="13"/>
        <v>-0.59303617353210103</v>
      </c>
      <c r="I106" s="3">
        <f t="shared" si="14"/>
        <v>18.229116557868604</v>
      </c>
      <c r="J106" s="3">
        <f t="shared" si="15"/>
        <v>0.35169190311759624</v>
      </c>
      <c r="K106" s="3">
        <f t="shared" si="16"/>
        <v>2.5320017169009374</v>
      </c>
      <c r="M106" s="8">
        <v>-0.30266998162360448</v>
      </c>
      <c r="N106" s="7">
        <f t="shared" si="17"/>
        <v>-3.0266998162360448E-3</v>
      </c>
      <c r="V106" s="7">
        <v>-3.0266998162360448E-3</v>
      </c>
      <c r="AD106" s="8">
        <v>-0.30266998162360448</v>
      </c>
      <c r="AE106" s="8">
        <f t="shared" si="18"/>
        <v>-0.30266998162360448</v>
      </c>
      <c r="AF106" s="8">
        <v>-1.6058394160584077</v>
      </c>
      <c r="AG106" s="7">
        <f t="shared" si="19"/>
        <v>-1.6058394160584077E-2</v>
      </c>
    </row>
    <row r="107" spans="1:33" x14ac:dyDescent="0.35">
      <c r="A107" s="9">
        <v>43767</v>
      </c>
      <c r="B107" s="38">
        <f>Расчеты!G120/360</f>
        <v>1.8833333333333334E-2</v>
      </c>
      <c r="C107" s="11">
        <v>44.55</v>
      </c>
      <c r="D107" s="3">
        <f t="shared" si="10"/>
        <v>-0.11210762331839152</v>
      </c>
      <c r="E107" s="3">
        <f t="shared" si="11"/>
        <v>-0.13094095665172487</v>
      </c>
      <c r="F107" s="34">
        <v>2886.48</v>
      </c>
      <c r="G107" s="3">
        <f t="shared" si="12"/>
        <v>1.0350343552999686</v>
      </c>
      <c r="H107" s="3">
        <f t="shared" si="13"/>
        <v>1.0162010219666353</v>
      </c>
      <c r="I107" s="3">
        <f t="shared" si="14"/>
        <v>1.7145534128868892E-2</v>
      </c>
      <c r="J107" s="3">
        <f t="shared" si="15"/>
        <v>1.032664517046034</v>
      </c>
      <c r="K107" s="3">
        <f t="shared" si="16"/>
        <v>-0.1330623339667717</v>
      </c>
      <c r="M107" s="8">
        <v>-0.30249295921560559</v>
      </c>
      <c r="N107" s="7">
        <f t="shared" si="17"/>
        <v>-3.0249295921560559E-3</v>
      </c>
      <c r="V107" s="7">
        <v>-3.0249295921560559E-3</v>
      </c>
      <c r="AD107" s="8">
        <v>-0.30249295921560559</v>
      </c>
      <c r="AE107" s="8">
        <f t="shared" si="18"/>
        <v>-0.30249295921560559</v>
      </c>
      <c r="AF107" s="8">
        <v>-1.6031457955232975</v>
      </c>
      <c r="AG107" s="7">
        <f t="shared" si="19"/>
        <v>-1.6031457955232975E-2</v>
      </c>
    </row>
    <row r="108" spans="1:33" x14ac:dyDescent="0.35">
      <c r="A108" s="9">
        <v>43768</v>
      </c>
      <c r="B108" s="38">
        <f>Расчеты!G121/360</f>
        <v>1.8833333333333334E-2</v>
      </c>
      <c r="C108" s="11">
        <v>43.4</v>
      </c>
      <c r="D108" s="3">
        <f t="shared" si="10"/>
        <v>-2.5813692480359141</v>
      </c>
      <c r="E108" s="3">
        <f t="shared" si="11"/>
        <v>-2.6002025813692473</v>
      </c>
      <c r="F108" s="34">
        <v>2911.15</v>
      </c>
      <c r="G108" s="3">
        <f t="shared" si="12"/>
        <v>0.85467420526039728</v>
      </c>
      <c r="H108" s="3">
        <f t="shared" si="13"/>
        <v>0.83584087192706391</v>
      </c>
      <c r="I108" s="3">
        <f t="shared" si="14"/>
        <v>6.7610534641592972</v>
      </c>
      <c r="J108" s="3">
        <f t="shared" si="15"/>
        <v>0.69862996318379444</v>
      </c>
      <c r="K108" s="3">
        <f t="shared" si="16"/>
        <v>-2.1733555927986741</v>
      </c>
      <c r="M108" s="8">
        <v>-0.29886431560072202</v>
      </c>
      <c r="N108" s="7">
        <f t="shared" si="17"/>
        <v>-2.9886431560072202E-3</v>
      </c>
      <c r="V108" s="7">
        <v>-2.9886431560072202E-3</v>
      </c>
      <c r="AD108" s="8">
        <v>-0.29886431560072202</v>
      </c>
      <c r="AE108" s="8">
        <f t="shared" si="18"/>
        <v>-0.29886431560072202</v>
      </c>
      <c r="AF108" s="8">
        <v>-1.5840477077897819</v>
      </c>
      <c r="AG108" s="7">
        <f t="shared" si="19"/>
        <v>-1.5840477077897819E-2</v>
      </c>
    </row>
    <row r="109" spans="1:33" x14ac:dyDescent="0.35">
      <c r="A109" s="9">
        <v>43769</v>
      </c>
      <c r="B109" s="38">
        <f>Расчеты!G122/360</f>
        <v>1.8722222222222223E-2</v>
      </c>
      <c r="C109" s="11">
        <v>43</v>
      </c>
      <c r="D109" s="3">
        <f t="shared" si="10"/>
        <v>-0.92165898617511122</v>
      </c>
      <c r="E109" s="3">
        <f t="shared" si="11"/>
        <v>-0.94038120839733341</v>
      </c>
      <c r="F109" s="34">
        <v>2893.98</v>
      </c>
      <c r="G109" s="3">
        <f t="shared" si="12"/>
        <v>-0.58980128128059972</v>
      </c>
      <c r="H109" s="3">
        <f t="shared" si="13"/>
        <v>-0.60852350350282192</v>
      </c>
      <c r="I109" s="3">
        <f t="shared" si="14"/>
        <v>0.88431681710682897</v>
      </c>
      <c r="J109" s="3">
        <f t="shared" si="15"/>
        <v>0.37030085431534893</v>
      </c>
      <c r="K109" s="3">
        <f t="shared" si="16"/>
        <v>0.57224406756216262</v>
      </c>
      <c r="M109" s="8">
        <v>-0.29577464788731467</v>
      </c>
      <c r="N109" s="7">
        <f t="shared" si="17"/>
        <v>-2.9577464788731467E-3</v>
      </c>
      <c r="V109" s="7">
        <v>-2.9577464788731467E-3</v>
      </c>
      <c r="AD109" s="8">
        <v>-0.29577464788731467</v>
      </c>
      <c r="AE109" s="8">
        <f t="shared" si="18"/>
        <v>-0.29577464788731467</v>
      </c>
      <c r="AF109" s="8">
        <v>-1.5263908701854678</v>
      </c>
      <c r="AG109" s="7">
        <f t="shared" si="19"/>
        <v>-1.5263908701854678E-2</v>
      </c>
    </row>
    <row r="110" spans="1:33" x14ac:dyDescent="0.35">
      <c r="A110" s="9">
        <v>43770</v>
      </c>
      <c r="B110" s="38">
        <f>Расчеты!G123/360</f>
        <v>1.8611111111111113E-2</v>
      </c>
      <c r="C110" s="11">
        <v>46.255000000000003</v>
      </c>
      <c r="D110" s="3">
        <f t="shared" si="10"/>
        <v>7.5697674418604644</v>
      </c>
      <c r="E110" s="3">
        <f t="shared" si="11"/>
        <v>7.551156330749353</v>
      </c>
      <c r="F110" s="34">
        <v>2930.4</v>
      </c>
      <c r="G110" s="3">
        <f t="shared" si="12"/>
        <v>1.2584744884208021</v>
      </c>
      <c r="H110" s="3">
        <f t="shared" si="13"/>
        <v>1.239863377309691</v>
      </c>
      <c r="I110" s="3">
        <f t="shared" si="14"/>
        <v>57.019961931416034</v>
      </c>
      <c r="J110" s="3">
        <f t="shared" si="15"/>
        <v>1.5372611943937931</v>
      </c>
      <c r="K110" s="3">
        <f t="shared" si="16"/>
        <v>9.3624021908363471</v>
      </c>
      <c r="M110" s="8">
        <v>-0.25834230355221699</v>
      </c>
      <c r="N110" s="7">
        <f t="shared" si="17"/>
        <v>-2.5834230355221699E-3</v>
      </c>
      <c r="V110" s="7">
        <v>-2.5834230355221699E-3</v>
      </c>
      <c r="AD110" s="8">
        <v>-0.25834230355221699</v>
      </c>
      <c r="AE110" s="8">
        <f t="shared" si="18"/>
        <v>-0.25834230355221699</v>
      </c>
      <c r="AF110" s="8">
        <v>-1.5240998285387608</v>
      </c>
      <c r="AG110" s="7">
        <f t="shared" si="19"/>
        <v>-1.5240998285387608E-2</v>
      </c>
    </row>
    <row r="111" spans="1:33" x14ac:dyDescent="0.35">
      <c r="A111" s="9">
        <v>43774</v>
      </c>
      <c r="B111" s="38">
        <f>Расчеты!G124/360</f>
        <v>1.8555555555555554E-2</v>
      </c>
      <c r="C111" s="11">
        <v>46.115000000000002</v>
      </c>
      <c r="D111" s="3">
        <f t="shared" si="10"/>
        <v>-0.30266998162360448</v>
      </c>
      <c r="E111" s="3">
        <f t="shared" si="11"/>
        <v>-0.32122553717916003</v>
      </c>
      <c r="F111" s="34">
        <v>2949.55</v>
      </c>
      <c r="G111" s="3">
        <f t="shared" si="12"/>
        <v>0.65349440349440346</v>
      </c>
      <c r="H111" s="3">
        <f t="shared" si="13"/>
        <v>0.63493884793884792</v>
      </c>
      <c r="I111" s="3">
        <f t="shared" si="14"/>
        <v>0.10318584573603992</v>
      </c>
      <c r="J111" s="3">
        <f t="shared" si="15"/>
        <v>0.40314734062191143</v>
      </c>
      <c r="K111" s="3">
        <f t="shared" si="16"/>
        <v>-0.20395857250507343</v>
      </c>
      <c r="M111" s="8">
        <v>-0.23752969121141332</v>
      </c>
      <c r="N111" s="7">
        <f t="shared" si="17"/>
        <v>-2.3752969121141332E-3</v>
      </c>
      <c r="V111" s="7">
        <v>-2.3752969121141332E-3</v>
      </c>
      <c r="AD111" s="8">
        <v>-0.23752969121141332</v>
      </c>
      <c r="AE111" s="8">
        <f t="shared" si="18"/>
        <v>-0.23752969121141332</v>
      </c>
      <c r="AF111" s="8">
        <v>-1.5236875800256011</v>
      </c>
      <c r="AG111" s="7">
        <f t="shared" si="19"/>
        <v>-1.5236875800256011E-2</v>
      </c>
    </row>
    <row r="112" spans="1:33" x14ac:dyDescent="0.35">
      <c r="A112" s="9">
        <v>43775</v>
      </c>
      <c r="B112" s="38">
        <f>Расчеты!G125/360</f>
        <v>1.8583333333333334E-2</v>
      </c>
      <c r="C112" s="11">
        <v>46.22</v>
      </c>
      <c r="D112" s="3">
        <f t="shared" si="10"/>
        <v>0.2276916404640561</v>
      </c>
      <c r="E112" s="3">
        <f t="shared" si="11"/>
        <v>0.20910830713072276</v>
      </c>
      <c r="F112" s="34">
        <v>2980.84</v>
      </c>
      <c r="G112" s="3">
        <f t="shared" si="12"/>
        <v>1.0608397891203714</v>
      </c>
      <c r="H112" s="3">
        <f t="shared" si="13"/>
        <v>1.042256455787038</v>
      </c>
      <c r="I112" s="3">
        <f t="shared" si="14"/>
        <v>4.372628411107668E-2</v>
      </c>
      <c r="J112" s="3">
        <f t="shared" si="15"/>
        <v>1.0862985196297579</v>
      </c>
      <c r="K112" s="3">
        <f t="shared" si="16"/>
        <v>0.2179444830656945</v>
      </c>
      <c r="M112" s="8">
        <v>-0.20220588235293491</v>
      </c>
      <c r="N112" s="7">
        <f t="shared" si="17"/>
        <v>-2.0220588235293491E-3</v>
      </c>
      <c r="V112" s="7">
        <v>-2.0220588235293491E-3</v>
      </c>
      <c r="AD112" s="8">
        <v>-0.20220588235293491</v>
      </c>
      <c r="AE112" s="8">
        <f t="shared" si="18"/>
        <v>-0.20220588235293491</v>
      </c>
      <c r="AF112" s="8">
        <v>-1.5027829313543517</v>
      </c>
      <c r="AG112" s="7">
        <f t="shared" si="19"/>
        <v>-1.5027829313543517E-2</v>
      </c>
    </row>
    <row r="113" spans="1:33" x14ac:dyDescent="0.35">
      <c r="A113" s="9">
        <v>43776</v>
      </c>
      <c r="B113" s="38">
        <f>Расчеты!G126/360</f>
        <v>1.8555555555555554E-2</v>
      </c>
      <c r="C113" s="11">
        <v>47.29</v>
      </c>
      <c r="D113" s="3">
        <f t="shared" si="10"/>
        <v>2.3150151449588874</v>
      </c>
      <c r="E113" s="3">
        <f t="shared" si="11"/>
        <v>2.2964595894033319</v>
      </c>
      <c r="F113" s="34">
        <v>3008.54</v>
      </c>
      <c r="G113" s="3">
        <f t="shared" si="12"/>
        <v>0.92926825995356399</v>
      </c>
      <c r="H113" s="3">
        <f t="shared" si="13"/>
        <v>0.91071270439800844</v>
      </c>
      <c r="I113" s="3">
        <f t="shared" si="14"/>
        <v>5.2737266457625198</v>
      </c>
      <c r="J113" s="3">
        <f t="shared" si="15"/>
        <v>0.82939762995193433</v>
      </c>
      <c r="K113" s="3">
        <f t="shared" si="16"/>
        <v>2.0914149232062487</v>
      </c>
      <c r="M113" s="8">
        <v>-0.18765246762995069</v>
      </c>
      <c r="N113" s="7">
        <f t="shared" si="17"/>
        <v>-1.8765246762995069E-3</v>
      </c>
      <c r="V113" s="7">
        <v>-1.8765246762995069E-3</v>
      </c>
      <c r="AD113" s="8">
        <v>-0.18765246762995069</v>
      </c>
      <c r="AE113" s="8">
        <f t="shared" si="18"/>
        <v>-0.18765246762995069</v>
      </c>
      <c r="AF113" s="8">
        <v>-1.4781125639567905</v>
      </c>
      <c r="AG113" s="7">
        <f t="shared" si="19"/>
        <v>-1.4781125639567905E-2</v>
      </c>
    </row>
    <row r="114" spans="1:33" x14ac:dyDescent="0.35">
      <c r="A114" s="9">
        <v>43777</v>
      </c>
      <c r="B114" s="38">
        <f>Расчеты!G127/360</f>
        <v>1.8555555555555554E-2</v>
      </c>
      <c r="C114" s="11">
        <v>46.655000000000001</v>
      </c>
      <c r="D114" s="3">
        <f t="shared" si="10"/>
        <v>-1.3427786001268704</v>
      </c>
      <c r="E114" s="3">
        <f t="shared" si="11"/>
        <v>-1.3613341556824261</v>
      </c>
      <c r="F114" s="34">
        <v>2973.19</v>
      </c>
      <c r="G114" s="3">
        <f t="shared" si="12"/>
        <v>-1.1749885326437393</v>
      </c>
      <c r="H114" s="3">
        <f t="shared" si="13"/>
        <v>-1.1935440881992949</v>
      </c>
      <c r="I114" s="3">
        <f t="shared" si="14"/>
        <v>1.853230683427584</v>
      </c>
      <c r="J114" s="3">
        <f t="shared" si="15"/>
        <v>1.4245474904754862</v>
      </c>
      <c r="K114" s="3">
        <f t="shared" si="16"/>
        <v>1.6248123335785383</v>
      </c>
      <c r="M114" s="8">
        <v>-0.18621973929237035</v>
      </c>
      <c r="N114" s="7">
        <f t="shared" si="17"/>
        <v>-1.8621973929237035E-3</v>
      </c>
      <c r="V114" s="7">
        <v>-1.8621973929237035E-3</v>
      </c>
      <c r="AD114" s="8">
        <v>-0.18621973929237035</v>
      </c>
      <c r="AE114" s="8">
        <f t="shared" si="18"/>
        <v>-0.18621973929237035</v>
      </c>
      <c r="AF114" s="8">
        <v>-1.441908713692952</v>
      </c>
      <c r="AG114" s="7">
        <f t="shared" si="19"/>
        <v>-1.441908713692952E-2</v>
      </c>
    </row>
    <row r="115" spans="1:33" x14ac:dyDescent="0.35">
      <c r="A115" s="9">
        <v>43780</v>
      </c>
      <c r="B115" s="38">
        <f>Расчеты!G128/360</f>
        <v>1.8555555555555554E-2</v>
      </c>
      <c r="C115" s="11">
        <v>48.545000000000002</v>
      </c>
      <c r="D115" s="3">
        <f t="shared" si="10"/>
        <v>4.0510127531882878</v>
      </c>
      <c r="E115" s="3">
        <f t="shared" si="11"/>
        <v>4.0324571976327324</v>
      </c>
      <c r="F115" s="34">
        <v>2961.46</v>
      </c>
      <c r="G115" s="3">
        <f t="shared" si="12"/>
        <v>-0.39452574507515825</v>
      </c>
      <c r="H115" s="3">
        <f t="shared" si="13"/>
        <v>-0.4130813006307138</v>
      </c>
      <c r="I115" s="3">
        <f t="shared" si="14"/>
        <v>16.260711050740028</v>
      </c>
      <c r="J115" s="3">
        <f t="shared" si="15"/>
        <v>0.17063616093076214</v>
      </c>
      <c r="K115" s="3">
        <f t="shared" si="16"/>
        <v>-1.6657326639358123</v>
      </c>
      <c r="M115" s="8">
        <v>-0.14749262536872809</v>
      </c>
      <c r="N115" s="7">
        <f t="shared" si="17"/>
        <v>-1.4749262536872809E-3</v>
      </c>
      <c r="V115" s="7">
        <v>-1.4749262536872809E-3</v>
      </c>
      <c r="AD115" s="8">
        <v>-0.14749262536872809</v>
      </c>
      <c r="AE115" s="8">
        <f t="shared" si="18"/>
        <v>-0.14749262536872809</v>
      </c>
      <c r="AF115" s="8">
        <v>-1.4295439074200056</v>
      </c>
      <c r="AG115" s="7">
        <f t="shared" si="19"/>
        <v>-1.4295439074200056E-2</v>
      </c>
    </row>
    <row r="116" spans="1:33" x14ac:dyDescent="0.35">
      <c r="A116" s="9">
        <v>43781</v>
      </c>
      <c r="B116" s="38">
        <f>Расчеты!G129/360</f>
        <v>1.8527777777777778E-2</v>
      </c>
      <c r="C116" s="11">
        <v>47.935000000000002</v>
      </c>
      <c r="D116" s="3">
        <f t="shared" si="10"/>
        <v>-1.2565660727160366</v>
      </c>
      <c r="E116" s="3">
        <f t="shared" si="11"/>
        <v>-1.2750938504938143</v>
      </c>
      <c r="F116" s="34">
        <v>2951.16</v>
      </c>
      <c r="G116" s="3">
        <f t="shared" si="12"/>
        <v>-0.34780142227145427</v>
      </c>
      <c r="H116" s="3">
        <f t="shared" si="13"/>
        <v>-0.36632920004923203</v>
      </c>
      <c r="I116" s="3">
        <f t="shared" si="14"/>
        <v>1.6258643275671416</v>
      </c>
      <c r="J116" s="3">
        <f t="shared" si="15"/>
        <v>0.13419708280871026</v>
      </c>
      <c r="K116" s="3">
        <f t="shared" si="16"/>
        <v>0.46710411023909404</v>
      </c>
      <c r="M116" s="8">
        <v>-0.13422818791946067</v>
      </c>
      <c r="N116" s="7">
        <f t="shared" si="17"/>
        <v>-1.3422818791946067E-3</v>
      </c>
      <c r="V116" s="7">
        <v>-1.3422818791946067E-3</v>
      </c>
      <c r="AD116" s="8">
        <v>-0.13422818791946067</v>
      </c>
      <c r="AE116" s="8">
        <f t="shared" si="18"/>
        <v>-0.13422818791946067</v>
      </c>
      <c r="AF116" s="8">
        <v>-1.4081790123456672</v>
      </c>
      <c r="AG116" s="7">
        <f t="shared" si="19"/>
        <v>-1.4081790123456672E-2</v>
      </c>
    </row>
    <row r="117" spans="1:33" x14ac:dyDescent="0.35">
      <c r="A117" s="9">
        <v>43782</v>
      </c>
      <c r="B117" s="38">
        <f>Расчеты!G130/360</f>
        <v>1.8416666666666668E-2</v>
      </c>
      <c r="C117" s="11">
        <v>47.79</v>
      </c>
      <c r="D117" s="3">
        <f t="shared" si="10"/>
        <v>-0.30249295921560559</v>
      </c>
      <c r="E117" s="3">
        <f t="shared" si="11"/>
        <v>-0.32090962588227229</v>
      </c>
      <c r="F117" s="34">
        <v>2933.89</v>
      </c>
      <c r="G117" s="3">
        <f t="shared" si="12"/>
        <v>-0.58519361878041076</v>
      </c>
      <c r="H117" s="3">
        <f t="shared" si="13"/>
        <v>-0.6036102854470774</v>
      </c>
      <c r="I117" s="3">
        <f t="shared" si="14"/>
        <v>0.10298298798389996</v>
      </c>
      <c r="J117" s="3">
        <f t="shared" si="15"/>
        <v>0.36434537669750228</v>
      </c>
      <c r="K117" s="3">
        <f t="shared" si="16"/>
        <v>0.19370435088151319</v>
      </c>
      <c r="M117" s="8">
        <v>-0.11265490048816273</v>
      </c>
      <c r="N117" s="7">
        <f t="shared" si="17"/>
        <v>-1.1265490048816273E-3</v>
      </c>
      <c r="V117" s="7">
        <v>-1.1265490048816273E-3</v>
      </c>
      <c r="AD117" s="8">
        <v>-0.11265490048816273</v>
      </c>
      <c r="AE117" s="8">
        <f t="shared" si="18"/>
        <v>-0.11265490048816273</v>
      </c>
      <c r="AF117" s="8">
        <v>-1.4081632653061171</v>
      </c>
      <c r="AG117" s="7">
        <f t="shared" si="19"/>
        <v>-1.4081632653061171E-2</v>
      </c>
    </row>
    <row r="118" spans="1:33" x14ac:dyDescent="0.35">
      <c r="A118" s="9">
        <v>43783</v>
      </c>
      <c r="B118" s="38">
        <f>Расчеты!G131/360</f>
        <v>1.8416666666666668E-2</v>
      </c>
      <c r="C118" s="11">
        <v>47.3</v>
      </c>
      <c r="D118" s="3">
        <f t="shared" si="10"/>
        <v>-1.0253191044151566</v>
      </c>
      <c r="E118" s="3">
        <f t="shared" si="11"/>
        <v>-1.0437357710818234</v>
      </c>
      <c r="F118" s="34">
        <v>2922.45</v>
      </c>
      <c r="G118" s="3">
        <f t="shared" si="12"/>
        <v>-0.38992600267904187</v>
      </c>
      <c r="H118" s="3">
        <f t="shared" si="13"/>
        <v>-0.40834266934570856</v>
      </c>
      <c r="I118" s="3">
        <f t="shared" si="14"/>
        <v>1.0893843598357684</v>
      </c>
      <c r="J118" s="3">
        <f t="shared" si="15"/>
        <v>0.16674373560837868</v>
      </c>
      <c r="K118" s="3">
        <f t="shared" si="16"/>
        <v>0.42620185085515316</v>
      </c>
      <c r="M118" s="8">
        <v>-0.11210762331839152</v>
      </c>
      <c r="N118" s="7">
        <f t="shared" si="17"/>
        <v>-1.1210762331839152E-3</v>
      </c>
      <c r="V118" s="7">
        <v>-1.1210762331839152E-3</v>
      </c>
      <c r="AD118" s="8">
        <v>-0.11210762331839152</v>
      </c>
      <c r="AE118" s="8">
        <f t="shared" si="18"/>
        <v>-0.11210762331839152</v>
      </c>
      <c r="AF118" s="8">
        <v>-1.3841486537732317</v>
      </c>
      <c r="AG118" s="7">
        <f t="shared" si="19"/>
        <v>-1.3841486537732317E-2</v>
      </c>
    </row>
    <row r="119" spans="1:33" x14ac:dyDescent="0.35">
      <c r="A119" s="9">
        <v>43784</v>
      </c>
      <c r="B119" s="38">
        <f>Расчеты!G132/360</f>
        <v>1.8416666666666668E-2</v>
      </c>
      <c r="C119" s="11">
        <v>46.45</v>
      </c>
      <c r="D119" s="3">
        <f t="shared" si="10"/>
        <v>-1.7970401691331794</v>
      </c>
      <c r="E119" s="3">
        <f t="shared" si="11"/>
        <v>-1.8154568357998462</v>
      </c>
      <c r="F119" s="34">
        <v>2934.82</v>
      </c>
      <c r="G119" s="3">
        <f t="shared" si="12"/>
        <v>0.42327499187326811</v>
      </c>
      <c r="H119" s="3">
        <f t="shared" si="13"/>
        <v>0.40485832520660142</v>
      </c>
      <c r="I119" s="3">
        <f t="shared" si="14"/>
        <v>3.2958835226523897</v>
      </c>
      <c r="J119" s="3">
        <f t="shared" si="15"/>
        <v>0.16391026348909424</v>
      </c>
      <c r="K119" s="3">
        <f t="shared" si="16"/>
        <v>-0.73500281402680168</v>
      </c>
      <c r="M119" s="8">
        <v>-0.10752688172044333</v>
      </c>
      <c r="N119" s="7">
        <f t="shared" si="17"/>
        <v>-1.0752688172044333E-3</v>
      </c>
      <c r="V119" s="7">
        <v>-1.0752688172044333E-3</v>
      </c>
      <c r="AD119" s="8">
        <v>-0.10752688172044333</v>
      </c>
      <c r="AE119" s="8">
        <f t="shared" si="18"/>
        <v>-0.10752688172044333</v>
      </c>
      <c r="AF119" s="8">
        <v>-1.379310344827589</v>
      </c>
      <c r="AG119" s="7">
        <f t="shared" si="19"/>
        <v>-1.379310344827589E-2</v>
      </c>
    </row>
    <row r="120" spans="1:33" x14ac:dyDescent="0.35">
      <c r="A120" s="9">
        <v>43787</v>
      </c>
      <c r="B120" s="38">
        <f>Расчеты!G133/360</f>
        <v>1.8416666666666668E-2</v>
      </c>
      <c r="C120" s="11">
        <v>46.33</v>
      </c>
      <c r="D120" s="3">
        <f t="shared" si="10"/>
        <v>-0.25834230355221699</v>
      </c>
      <c r="E120" s="3">
        <f t="shared" si="11"/>
        <v>-0.27675897021888368</v>
      </c>
      <c r="F120" s="34">
        <v>2924.48</v>
      </c>
      <c r="G120" s="3">
        <f t="shared" si="12"/>
        <v>-0.35232143708984198</v>
      </c>
      <c r="H120" s="3">
        <f t="shared" si="13"/>
        <v>-0.37073810375650867</v>
      </c>
      <c r="I120" s="3">
        <f t="shared" si="14"/>
        <v>7.6595527596616947E-2</v>
      </c>
      <c r="J120" s="3">
        <f t="shared" si="15"/>
        <v>0.13744674157697179</v>
      </c>
      <c r="K120" s="3">
        <f t="shared" si="16"/>
        <v>0.102605095816553</v>
      </c>
      <c r="M120" s="8">
        <v>-0.10741138560687036</v>
      </c>
      <c r="N120" s="7">
        <f t="shared" si="17"/>
        <v>-1.0741138560687036E-3</v>
      </c>
      <c r="V120" s="7">
        <v>-1.0741138560687036E-3</v>
      </c>
      <c r="AD120" s="8">
        <v>-0.10741138560687036</v>
      </c>
      <c r="AE120" s="8">
        <f t="shared" si="18"/>
        <v>-0.10741138560687036</v>
      </c>
      <c r="AF120" s="8">
        <v>-1.3496366362902412</v>
      </c>
      <c r="AG120" s="7">
        <f t="shared" si="19"/>
        <v>-1.3496366362902412E-2</v>
      </c>
    </row>
    <row r="121" spans="1:33" x14ac:dyDescent="0.35">
      <c r="A121" s="9">
        <v>43788</v>
      </c>
      <c r="B121" s="38">
        <f>Расчеты!G134/360</f>
        <v>1.8472222222222223E-2</v>
      </c>
      <c r="C121" s="11">
        <v>46.8</v>
      </c>
      <c r="D121" s="3">
        <f t="shared" si="10"/>
        <v>1.0144614720483558</v>
      </c>
      <c r="E121" s="3">
        <f t="shared" si="11"/>
        <v>0.99598924982613357</v>
      </c>
      <c r="F121" s="34">
        <v>2941.69</v>
      </c>
      <c r="G121" s="3">
        <f t="shared" si="12"/>
        <v>0.58848068716490509</v>
      </c>
      <c r="H121" s="3">
        <f t="shared" si="13"/>
        <v>0.57000846494268287</v>
      </c>
      <c r="I121" s="3">
        <f t="shared" si="14"/>
        <v>0.99199458576922428</v>
      </c>
      <c r="J121" s="3">
        <f t="shared" si="15"/>
        <v>0.32490965010631373</v>
      </c>
      <c r="K121" s="3">
        <f t="shared" si="16"/>
        <v>0.56772230339280871</v>
      </c>
      <c r="M121" s="8">
        <v>-9.9304865938443232E-2</v>
      </c>
      <c r="N121" s="7">
        <f t="shared" si="17"/>
        <v>-9.9304865938443232E-4</v>
      </c>
      <c r="V121" s="7">
        <v>-9.9304865938443232E-4</v>
      </c>
      <c r="AD121" s="8">
        <v>-9.9304865938443232E-2</v>
      </c>
      <c r="AE121" s="8">
        <f t="shared" si="18"/>
        <v>-9.9304865938443232E-2</v>
      </c>
      <c r="AF121" s="8">
        <v>-1.3427786001268704</v>
      </c>
      <c r="AG121" s="7">
        <f t="shared" si="19"/>
        <v>-1.3427786001268704E-2</v>
      </c>
    </row>
    <row r="122" spans="1:33" x14ac:dyDescent="0.35">
      <c r="A122" s="9">
        <v>43789</v>
      </c>
      <c r="B122" s="38">
        <f>Расчеты!G135/360</f>
        <v>1.8472222222222223E-2</v>
      </c>
      <c r="C122" s="11">
        <v>46.47</v>
      </c>
      <c r="D122" s="3">
        <f t="shared" si="10"/>
        <v>-0.70512820512820262</v>
      </c>
      <c r="E122" s="3">
        <f t="shared" si="11"/>
        <v>-0.72360042735042485</v>
      </c>
      <c r="F122" s="34">
        <v>2936.47</v>
      </c>
      <c r="G122" s="3">
        <f t="shared" si="12"/>
        <v>-0.17744901740156527</v>
      </c>
      <c r="H122" s="3">
        <f t="shared" si="13"/>
        <v>-0.19592123962378749</v>
      </c>
      <c r="I122" s="3">
        <f t="shared" si="14"/>
        <v>0.52359757846171751</v>
      </c>
      <c r="J122" s="3">
        <f t="shared" si="15"/>
        <v>3.8385132135721554E-2</v>
      </c>
      <c r="K122" s="3">
        <f t="shared" si="16"/>
        <v>0.14176869271879761</v>
      </c>
      <c r="M122" s="8">
        <v>-8.2872928176802585E-2</v>
      </c>
      <c r="N122" s="7">
        <f t="shared" si="17"/>
        <v>-8.2872928176802585E-4</v>
      </c>
      <c r="V122" s="7">
        <v>-8.2872928176802585E-4</v>
      </c>
      <c r="AD122" s="8">
        <v>-8.2872928176802585E-2</v>
      </c>
      <c r="AE122" s="8">
        <f t="shared" si="18"/>
        <v>-8.2872928176802585E-2</v>
      </c>
      <c r="AF122" s="8">
        <v>-1.3399451361046588</v>
      </c>
      <c r="AG122" s="7">
        <f t="shared" si="19"/>
        <v>-1.3399451361046588E-2</v>
      </c>
    </row>
    <row r="123" spans="1:33" x14ac:dyDescent="0.35">
      <c r="A123" s="9">
        <v>43790</v>
      </c>
      <c r="B123" s="38">
        <f>Расчеты!G136/360</f>
        <v>1.8444444444444444E-2</v>
      </c>
      <c r="C123" s="11">
        <v>45.875</v>
      </c>
      <c r="D123" s="3">
        <f t="shared" si="10"/>
        <v>-1.2803959543791654</v>
      </c>
      <c r="E123" s="3">
        <f t="shared" si="11"/>
        <v>-1.2988403988236099</v>
      </c>
      <c r="F123" s="34">
        <v>2942.6</v>
      </c>
      <c r="G123" s="3">
        <f t="shared" si="12"/>
        <v>0.20875404822797705</v>
      </c>
      <c r="H123" s="3">
        <f t="shared" si="13"/>
        <v>0.19030960378353262</v>
      </c>
      <c r="I123" s="3">
        <f t="shared" si="14"/>
        <v>1.686986381616274</v>
      </c>
      <c r="J123" s="3">
        <f t="shared" si="15"/>
        <v>3.6217745292245175E-2</v>
      </c>
      <c r="K123" s="3">
        <f t="shared" si="16"/>
        <v>-0.2471818016781667</v>
      </c>
      <c r="M123" s="8">
        <v>-7.3015541879639656E-2</v>
      </c>
      <c r="N123" s="7">
        <f t="shared" si="17"/>
        <v>-7.3015541879639656E-4</v>
      </c>
      <c r="V123" s="7">
        <v>-7.3015541879639656E-4</v>
      </c>
      <c r="AD123" s="8">
        <v>-7.3015541879639656E-2</v>
      </c>
      <c r="AE123" s="8">
        <f t="shared" si="18"/>
        <v>-7.3015541879639656E-2</v>
      </c>
      <c r="AF123" s="8">
        <v>-1.3296578563321004</v>
      </c>
      <c r="AG123" s="7">
        <f t="shared" si="19"/>
        <v>-1.3296578563321004E-2</v>
      </c>
    </row>
    <row r="124" spans="1:33" x14ac:dyDescent="0.35">
      <c r="A124" s="9">
        <v>43791</v>
      </c>
      <c r="B124" s="38">
        <f>Расчеты!G137/360</f>
        <v>1.8388888888888889E-2</v>
      </c>
      <c r="C124" s="11">
        <v>46.73</v>
      </c>
      <c r="D124" s="3">
        <f t="shared" si="10"/>
        <v>1.8637602179836454</v>
      </c>
      <c r="E124" s="3">
        <f t="shared" si="11"/>
        <v>1.8453713290947567</v>
      </c>
      <c r="F124" s="34">
        <v>2947.68</v>
      </c>
      <c r="G124" s="3">
        <f t="shared" si="12"/>
        <v>0.17263644396112721</v>
      </c>
      <c r="H124" s="3">
        <f t="shared" si="13"/>
        <v>0.15424755507223831</v>
      </c>
      <c r="I124" s="3">
        <f t="shared" si="14"/>
        <v>3.4053953422449488</v>
      </c>
      <c r="J124" s="3">
        <f t="shared" si="15"/>
        <v>2.3792308245763189E-2</v>
      </c>
      <c r="K124" s="3">
        <f t="shared" si="16"/>
        <v>0.28464401571327308</v>
      </c>
      <c r="M124" s="8">
        <v>-7.2689511941836926E-2</v>
      </c>
      <c r="N124" s="7">
        <f t="shared" si="17"/>
        <v>-7.2689511941836926E-4</v>
      </c>
      <c r="V124" s="7">
        <v>-7.2689511941836926E-4</v>
      </c>
      <c r="AD124" s="8">
        <v>-7.2689511941836926E-2</v>
      </c>
      <c r="AE124" s="8">
        <f t="shared" si="18"/>
        <v>-7.2689511941836926E-2</v>
      </c>
      <c r="AF124" s="8">
        <v>-1.3284341435839453</v>
      </c>
      <c r="AG124" s="7">
        <f t="shared" si="19"/>
        <v>-1.3284341435839453E-2</v>
      </c>
    </row>
    <row r="125" spans="1:33" x14ac:dyDescent="0.35">
      <c r="A125" s="9">
        <v>43794</v>
      </c>
      <c r="B125" s="38">
        <f>Расчеты!G138/360</f>
        <v>1.8388888888888889E-2</v>
      </c>
      <c r="C125" s="11">
        <v>46.185000000000002</v>
      </c>
      <c r="D125" s="3">
        <f t="shared" si="10"/>
        <v>-1.1662743419644683</v>
      </c>
      <c r="E125" s="3">
        <f t="shared" si="11"/>
        <v>-1.1846632308533571</v>
      </c>
      <c r="F125" s="34">
        <v>2955.32</v>
      </c>
      <c r="G125" s="3">
        <f t="shared" si="12"/>
        <v>0.25918688595778505</v>
      </c>
      <c r="H125" s="3">
        <f t="shared" si="13"/>
        <v>0.24079799706889615</v>
      </c>
      <c r="I125" s="3">
        <f t="shared" si="14"/>
        <v>1.4034269705359146</v>
      </c>
      <c r="J125" s="3">
        <f t="shared" si="15"/>
        <v>5.7983675392392117E-2</v>
      </c>
      <c r="K125" s="3">
        <f t="shared" si="16"/>
        <v>-0.28526453319065576</v>
      </c>
      <c r="M125" s="8">
        <v>-3.7671877943123988E-2</v>
      </c>
      <c r="N125" s="7">
        <f t="shared" si="17"/>
        <v>-3.7671877943123988E-4</v>
      </c>
      <c r="V125" s="7">
        <v>-3.7671877943123988E-4</v>
      </c>
      <c r="AD125" s="8">
        <v>-3.7671877943123988E-2</v>
      </c>
      <c r="AE125" s="8">
        <f t="shared" si="18"/>
        <v>-3.7671877943123988E-2</v>
      </c>
      <c r="AF125" s="8">
        <v>-1.3090160317693833</v>
      </c>
      <c r="AG125" s="7">
        <f t="shared" si="19"/>
        <v>-1.3090160317693833E-2</v>
      </c>
    </row>
    <row r="126" spans="1:33" x14ac:dyDescent="0.35">
      <c r="A126" s="9">
        <v>43795</v>
      </c>
      <c r="B126" s="38">
        <f>Расчеты!G139/360</f>
        <v>1.8416666666666668E-2</v>
      </c>
      <c r="C126" s="11">
        <v>45</v>
      </c>
      <c r="D126" s="3">
        <f t="shared" si="10"/>
        <v>-2.5657681065280991</v>
      </c>
      <c r="E126" s="3">
        <f t="shared" si="11"/>
        <v>-2.5841847731947656</v>
      </c>
      <c r="F126" s="34">
        <v>2930.62</v>
      </c>
      <c r="G126" s="3">
        <f t="shared" si="12"/>
        <v>-0.8357808968233682</v>
      </c>
      <c r="H126" s="3">
        <f t="shared" si="13"/>
        <v>-0.85419756349003484</v>
      </c>
      <c r="I126" s="3">
        <f t="shared" si="14"/>
        <v>6.6780109420116824</v>
      </c>
      <c r="J126" s="3">
        <f t="shared" si="15"/>
        <v>0.72965347747231213</v>
      </c>
      <c r="K126" s="3">
        <f t="shared" si="16"/>
        <v>2.2074043368710172</v>
      </c>
      <c r="M126" s="8">
        <v>0</v>
      </c>
      <c r="N126" s="7">
        <f t="shared" si="17"/>
        <v>0</v>
      </c>
      <c r="AD126" s="8">
        <v>0</v>
      </c>
      <c r="AE126" s="8">
        <f t="shared" si="18"/>
        <v>0</v>
      </c>
      <c r="AF126" s="8">
        <v>-1.293396868618113</v>
      </c>
      <c r="AG126" s="7">
        <f t="shared" si="19"/>
        <v>-1.293396868618113E-2</v>
      </c>
    </row>
    <row r="127" spans="1:33" x14ac:dyDescent="0.35">
      <c r="A127" s="9">
        <v>43796</v>
      </c>
      <c r="B127" s="38">
        <f>Расчеты!G140/360</f>
        <v>1.8416666666666668E-2</v>
      </c>
      <c r="C127" s="11">
        <v>44.51</v>
      </c>
      <c r="D127" s="3">
        <f t="shared" si="10"/>
        <v>-1.0888888888888948</v>
      </c>
      <c r="E127" s="3">
        <f t="shared" si="11"/>
        <v>-1.1073055555555615</v>
      </c>
      <c r="F127" s="34">
        <v>2929.05</v>
      </c>
      <c r="G127" s="3">
        <f t="shared" si="12"/>
        <v>-5.3572281633229579E-2</v>
      </c>
      <c r="H127" s="3">
        <f t="shared" si="13"/>
        <v>-7.1988948299896244E-2</v>
      </c>
      <c r="I127" s="3">
        <f t="shared" si="14"/>
        <v>1.2261255933642108</v>
      </c>
      <c r="J127" s="3">
        <f t="shared" si="15"/>
        <v>5.1824086773251347E-3</v>
      </c>
      <c r="K127" s="3">
        <f t="shared" si="16"/>
        <v>7.9713762391077206E-2</v>
      </c>
      <c r="M127" s="8">
        <v>0</v>
      </c>
      <c r="N127" s="7">
        <f t="shared" si="17"/>
        <v>0</v>
      </c>
      <c r="AD127" s="8">
        <v>0</v>
      </c>
      <c r="AE127" s="8">
        <f t="shared" si="18"/>
        <v>0</v>
      </c>
      <c r="AF127" s="8">
        <v>-1.2803959543791654</v>
      </c>
      <c r="AG127" s="7">
        <f t="shared" si="19"/>
        <v>-1.2803959543791654E-2</v>
      </c>
    </row>
    <row r="128" spans="1:33" x14ac:dyDescent="0.35">
      <c r="A128" s="9">
        <v>43797</v>
      </c>
      <c r="B128" s="38">
        <f>Расчеты!G141/360</f>
        <v>1.8416666666666668E-2</v>
      </c>
      <c r="C128" s="11">
        <v>43.645000000000003</v>
      </c>
      <c r="D128" s="3">
        <f t="shared" si="10"/>
        <v>-1.9433835093237373</v>
      </c>
      <c r="E128" s="3">
        <f t="shared" si="11"/>
        <v>-1.961800175990404</v>
      </c>
      <c r="F128" s="34">
        <v>2927.57</v>
      </c>
      <c r="G128" s="3">
        <f t="shared" si="12"/>
        <v>-5.0528328297572145E-2</v>
      </c>
      <c r="H128" s="3">
        <f t="shared" si="13"/>
        <v>-6.8944994964238809E-2</v>
      </c>
      <c r="I128" s="3">
        <f t="shared" si="14"/>
        <v>3.8486599305159803</v>
      </c>
      <c r="J128" s="3">
        <f t="shared" si="15"/>
        <v>4.7534123306189145E-3</v>
      </c>
      <c r="K128" s="3">
        <f t="shared" si="16"/>
        <v>0.13525630325450122</v>
      </c>
      <c r="M128" s="8">
        <v>2.0699648105981794E-2</v>
      </c>
      <c r="N128" s="7">
        <f t="shared" si="17"/>
        <v>2.0699648105981794E-4</v>
      </c>
      <c r="AD128" s="8">
        <v>2.0699648105981794E-2</v>
      </c>
      <c r="AE128" s="8">
        <f t="shared" si="18"/>
        <v>-2.0699648105981794E-2</v>
      </c>
      <c r="AF128" s="8">
        <v>-1.2720713878868417</v>
      </c>
      <c r="AG128" s="7">
        <f t="shared" si="19"/>
        <v>-1.2720713878868417E-2</v>
      </c>
    </row>
    <row r="129" spans="1:33" x14ac:dyDescent="0.35">
      <c r="A129" s="9">
        <v>43798</v>
      </c>
      <c r="B129" s="38">
        <f>Расчеты!G142/360</f>
        <v>1.8444444444444444E-2</v>
      </c>
      <c r="C129" s="11">
        <v>44.1</v>
      </c>
      <c r="D129" s="3">
        <f t="shared" si="10"/>
        <v>1.0425020048115519</v>
      </c>
      <c r="E129" s="3">
        <f t="shared" si="11"/>
        <v>1.0240575603671074</v>
      </c>
      <c r="F129" s="34">
        <v>2935.37</v>
      </c>
      <c r="G129" s="3">
        <f t="shared" si="12"/>
        <v>0.26643257035696699</v>
      </c>
      <c r="H129" s="3">
        <f t="shared" si="13"/>
        <v>0.24798812591252256</v>
      </c>
      <c r="I129" s="3">
        <f t="shared" si="14"/>
        <v>1.0486938869450317</v>
      </c>
      <c r="J129" s="3">
        <f t="shared" si="15"/>
        <v>6.1498110593605146E-2</v>
      </c>
      <c r="K129" s="3">
        <f t="shared" si="16"/>
        <v>0.25395411522198891</v>
      </c>
      <c r="M129" s="8">
        <v>7.3909830007390376E-2</v>
      </c>
      <c r="N129" s="7">
        <f t="shared" si="17"/>
        <v>7.3909830007390376E-4</v>
      </c>
      <c r="AD129" s="8">
        <v>7.3909830007390376E-2</v>
      </c>
      <c r="AE129" s="8">
        <f t="shared" si="18"/>
        <v>-7.3909830007390376E-2</v>
      </c>
      <c r="AF129" s="8">
        <v>-1.2565660727160366</v>
      </c>
      <c r="AG129" s="7">
        <f t="shared" si="19"/>
        <v>-1.2565660727160366E-2</v>
      </c>
    </row>
    <row r="130" spans="1:33" x14ac:dyDescent="0.35">
      <c r="A130" s="9">
        <v>43801</v>
      </c>
      <c r="B130" s="38">
        <f>Расчеты!G143/360</f>
        <v>1.8444444444444444E-2</v>
      </c>
      <c r="C130" s="11">
        <v>43.27</v>
      </c>
      <c r="D130" s="3">
        <f t="shared" si="10"/>
        <v>-1.8820861678004452</v>
      </c>
      <c r="E130" s="3">
        <f t="shared" si="11"/>
        <v>-1.9005306122448897</v>
      </c>
      <c r="F130" s="34">
        <v>2921.18</v>
      </c>
      <c r="G130" s="3">
        <f t="shared" si="12"/>
        <v>-0.4834143566228466</v>
      </c>
      <c r="H130" s="3">
        <f t="shared" si="13"/>
        <v>-0.50185880106729108</v>
      </c>
      <c r="I130" s="3">
        <f t="shared" si="14"/>
        <v>3.6120166080799354</v>
      </c>
      <c r="J130" s="3">
        <f t="shared" si="15"/>
        <v>0.25186225620869884</v>
      </c>
      <c r="K130" s="3">
        <f t="shared" si="16"/>
        <v>0.95379801445290502</v>
      </c>
      <c r="M130" s="8">
        <v>7.5987841945290846E-2</v>
      </c>
      <c r="N130" s="7">
        <f t="shared" si="17"/>
        <v>7.5987841945290846E-4</v>
      </c>
      <c r="AD130" s="8">
        <v>7.5987841945290846E-2</v>
      </c>
      <c r="AE130" s="8">
        <f t="shared" si="18"/>
        <v>-7.5987841945290846E-2</v>
      </c>
      <c r="AF130" s="8">
        <v>-1.2360446570973016</v>
      </c>
      <c r="AG130" s="7">
        <f t="shared" si="19"/>
        <v>-1.2360446570973016E-2</v>
      </c>
    </row>
    <row r="131" spans="1:33" x14ac:dyDescent="0.35">
      <c r="A131" s="9">
        <v>43802</v>
      </c>
      <c r="B131" s="38">
        <f>Расчеты!G144/360</f>
        <v>1.8499999999999999E-2</v>
      </c>
      <c r="C131" s="11">
        <v>42.54</v>
      </c>
      <c r="D131" s="3">
        <f t="shared" si="10"/>
        <v>-1.6870811185578982</v>
      </c>
      <c r="E131" s="3">
        <f t="shared" si="11"/>
        <v>-1.7055811185578982</v>
      </c>
      <c r="F131" s="34">
        <v>2883.48</v>
      </c>
      <c r="G131" s="3">
        <f t="shared" si="12"/>
        <v>-1.2905743569379458</v>
      </c>
      <c r="H131" s="3">
        <f t="shared" si="13"/>
        <v>-1.3090743569379457</v>
      </c>
      <c r="I131" s="3">
        <f t="shared" si="14"/>
        <v>2.909006951981211</v>
      </c>
      <c r="J131" s="3">
        <f t="shared" si="15"/>
        <v>1.7136756719924962</v>
      </c>
      <c r="K131" s="3">
        <f t="shared" si="16"/>
        <v>2.2327325059816827</v>
      </c>
      <c r="M131" s="8">
        <v>0.1138952164009055</v>
      </c>
      <c r="N131" s="7">
        <f t="shared" si="17"/>
        <v>1.138952164009055E-3</v>
      </c>
      <c r="AD131" s="8">
        <v>0.1138952164009055</v>
      </c>
      <c r="AE131" s="8">
        <f t="shared" si="18"/>
        <v>-0.1138952164009055</v>
      </c>
      <c r="AF131" s="8">
        <v>-1.2292283177782859</v>
      </c>
      <c r="AG131" s="7">
        <f t="shared" si="19"/>
        <v>-1.2292283177782859E-2</v>
      </c>
    </row>
    <row r="132" spans="1:33" x14ac:dyDescent="0.35">
      <c r="A132" s="9">
        <v>43803</v>
      </c>
      <c r="B132" s="38">
        <f>Расчеты!G145/360</f>
        <v>1.8416666666666668E-2</v>
      </c>
      <c r="C132" s="11">
        <v>43.7</v>
      </c>
      <c r="D132" s="3">
        <f t="shared" si="10"/>
        <v>2.7268453220498534</v>
      </c>
      <c r="E132" s="3">
        <f t="shared" si="11"/>
        <v>2.7084286553831869</v>
      </c>
      <c r="F132" s="34">
        <v>2900.66</v>
      </c>
      <c r="G132" s="3">
        <f t="shared" si="12"/>
        <v>0.59580784330044434</v>
      </c>
      <c r="H132" s="3">
        <f t="shared" si="13"/>
        <v>0.5773911766337777</v>
      </c>
      <c r="I132" s="3">
        <f t="shared" si="14"/>
        <v>7.3355857813007779</v>
      </c>
      <c r="J132" s="3">
        <f t="shared" si="15"/>
        <v>0.33338057085453826</v>
      </c>
      <c r="K132" s="3">
        <f t="shared" si="16"/>
        <v>1.5638228081603387</v>
      </c>
      <c r="M132" s="8">
        <v>0.11507479861909697</v>
      </c>
      <c r="N132" s="7">
        <f t="shared" si="17"/>
        <v>1.1507479861909697E-3</v>
      </c>
      <c r="AD132" s="8">
        <v>0.11507479861909697</v>
      </c>
      <c r="AE132" s="8">
        <f t="shared" si="18"/>
        <v>-0.11507479861909697</v>
      </c>
      <c r="AF132" s="8">
        <v>-1.2209531311540012</v>
      </c>
      <c r="AG132" s="7">
        <f t="shared" si="19"/>
        <v>-1.2209531311540012E-2</v>
      </c>
    </row>
    <row r="133" spans="1:33" x14ac:dyDescent="0.35">
      <c r="A133" s="9">
        <v>43804</v>
      </c>
      <c r="B133" s="38">
        <f>Расчеты!G146/360</f>
        <v>1.8416666666666668E-2</v>
      </c>
      <c r="C133" s="11">
        <v>43.2</v>
      </c>
      <c r="D133" s="3">
        <f t="shared" si="10"/>
        <v>-1.1441647597253968</v>
      </c>
      <c r="E133" s="3">
        <f t="shared" si="11"/>
        <v>-1.1625814263920635</v>
      </c>
      <c r="F133" s="34">
        <v>2899.29</v>
      </c>
      <c r="G133" s="3">
        <f t="shared" si="12"/>
        <v>-4.7230630270345131E-2</v>
      </c>
      <c r="H133" s="3">
        <f t="shared" si="13"/>
        <v>-6.5647296937011795E-2</v>
      </c>
      <c r="I133" s="3">
        <f t="shared" si="14"/>
        <v>1.351595572991805</v>
      </c>
      <c r="J133" s="3">
        <f t="shared" si="15"/>
        <v>4.3095675951361984E-3</v>
      </c>
      <c r="K133" s="3">
        <f t="shared" si="16"/>
        <v>7.6320328111814509E-2</v>
      </c>
      <c r="M133" s="8">
        <v>0.13315579227697327</v>
      </c>
      <c r="N133" s="7">
        <f t="shared" si="17"/>
        <v>1.3315579227697327E-3</v>
      </c>
      <c r="AD133" s="8">
        <v>0.13315579227697327</v>
      </c>
      <c r="AE133" s="8">
        <f t="shared" si="18"/>
        <v>-0.13315579227697327</v>
      </c>
      <c r="AF133" s="8">
        <v>-1.1947267234276415</v>
      </c>
      <c r="AG133" s="7">
        <f t="shared" si="19"/>
        <v>-1.1947267234276415E-2</v>
      </c>
    </row>
    <row r="134" spans="1:33" x14ac:dyDescent="0.35">
      <c r="A134" s="9">
        <v>43805</v>
      </c>
      <c r="B134" s="38">
        <f>Расчеты!G147/360</f>
        <v>1.8277777777777778E-2</v>
      </c>
      <c r="C134" s="11">
        <v>43.344999999999999</v>
      </c>
      <c r="D134" s="3">
        <f t="shared" ref="D134:D197" si="20">(C134/C133-1)*100</f>
        <v>0.33564814814814881</v>
      </c>
      <c r="E134" s="3">
        <f t="shared" ref="E134:E197" si="21">D134-B134</f>
        <v>0.31737037037037102</v>
      </c>
      <c r="F134" s="34">
        <v>2928.76</v>
      </c>
      <c r="G134" s="3">
        <f t="shared" ref="G134:G197" si="22">(F134/F133-1)*100</f>
        <v>1.0164557529602103</v>
      </c>
      <c r="H134" s="3">
        <f t="shared" ref="H134:H197" si="23">G134-B134</f>
        <v>0.99817797518243256</v>
      </c>
      <c r="I134" s="3">
        <f t="shared" ref="I134:I197" si="24">E134^2</f>
        <v>0.10072395198902648</v>
      </c>
      <c r="J134" s="3">
        <f t="shared" ref="J134:J197" si="25">H134^2</f>
        <v>0.99635927013930092</v>
      </c>
      <c r="K134" s="3">
        <f t="shared" ref="K134:K197" si="26">E134*H134</f>
        <v>0.31679211367919563</v>
      </c>
      <c r="M134" s="8">
        <v>0.17656351640182866</v>
      </c>
      <c r="N134" s="7">
        <f t="shared" ref="N134:N197" si="27">M134*$N$4</f>
        <v>1.7656351640182866E-3</v>
      </c>
      <c r="AD134" s="8">
        <v>0.17656351640182866</v>
      </c>
      <c r="AE134" s="8">
        <f t="shared" ref="AE134:AE197" si="28">IF(AD134&lt;0,AD134,AD134*(-1))</f>
        <v>-0.17656351640182866</v>
      </c>
      <c r="AF134" s="8">
        <v>-1.1727078891258125</v>
      </c>
      <c r="AG134" s="7">
        <f t="shared" ref="AG134:AG197" si="29">AF134*$AG$4</f>
        <v>-1.1727078891258125E-2</v>
      </c>
    </row>
    <row r="135" spans="1:33" x14ac:dyDescent="0.35">
      <c r="A135" s="9">
        <v>43808</v>
      </c>
      <c r="B135" s="38">
        <f>Расчеты!G148/360</f>
        <v>1.822222222222222E-2</v>
      </c>
      <c r="C135" s="11">
        <v>43.93</v>
      </c>
      <c r="D135" s="3">
        <f t="shared" si="20"/>
        <v>1.3496366362902412</v>
      </c>
      <c r="E135" s="3">
        <f t="shared" si="21"/>
        <v>1.3314144140680191</v>
      </c>
      <c r="F135" s="34">
        <v>2945.03</v>
      </c>
      <c r="G135" s="3">
        <f t="shared" si="22"/>
        <v>0.55552520520629756</v>
      </c>
      <c r="H135" s="3">
        <f t="shared" si="23"/>
        <v>0.53730298298407531</v>
      </c>
      <c r="I135" s="3">
        <f t="shared" si="24"/>
        <v>1.7726643419880865</v>
      </c>
      <c r="J135" s="3">
        <f t="shared" si="25"/>
        <v>0.2886944955235855</v>
      </c>
      <c r="K135" s="3">
        <f t="shared" si="26"/>
        <v>0.71537293626674148</v>
      </c>
      <c r="M135" s="8">
        <v>0.18656716417910779</v>
      </c>
      <c r="N135" s="7">
        <f t="shared" si="27"/>
        <v>1.8656716417910779E-3</v>
      </c>
      <c r="AD135" s="8">
        <v>0.18656716417910779</v>
      </c>
      <c r="AE135" s="8">
        <f t="shared" si="28"/>
        <v>-0.18656716417910779</v>
      </c>
      <c r="AF135" s="8">
        <v>-1.1662743419644683</v>
      </c>
      <c r="AG135" s="7">
        <f t="shared" si="29"/>
        <v>-1.1662743419644683E-2</v>
      </c>
    </row>
    <row r="136" spans="1:33" x14ac:dyDescent="0.35">
      <c r="A136" s="9">
        <v>43809</v>
      </c>
      <c r="B136" s="38">
        <f>Расчеты!G149/360</f>
        <v>1.822222222222222E-2</v>
      </c>
      <c r="C136" s="11">
        <v>43.39</v>
      </c>
      <c r="D136" s="3">
        <f t="shared" si="20"/>
        <v>-1.2292283177782859</v>
      </c>
      <c r="E136" s="3">
        <f t="shared" si="21"/>
        <v>-1.247450540000508</v>
      </c>
      <c r="F136" s="34">
        <v>2932.4</v>
      </c>
      <c r="G136" s="3">
        <f t="shared" si="22"/>
        <v>-0.42885811010414665</v>
      </c>
      <c r="H136" s="3">
        <f t="shared" si="23"/>
        <v>-0.44708033232636885</v>
      </c>
      <c r="I136" s="3">
        <f t="shared" si="24"/>
        <v>1.5561328497475591</v>
      </c>
      <c r="J136" s="3">
        <f t="shared" si="25"/>
        <v>0.19988082355305642</v>
      </c>
      <c r="K136" s="3">
        <f t="shared" si="26"/>
        <v>0.55771060198413536</v>
      </c>
      <c r="M136" s="8">
        <v>0.18953200174951501</v>
      </c>
      <c r="N136" s="7">
        <f t="shared" si="27"/>
        <v>1.8953200174951501E-3</v>
      </c>
      <c r="AD136" s="8">
        <v>0.18953200174951501</v>
      </c>
      <c r="AE136" s="8">
        <f t="shared" si="28"/>
        <v>-0.18953200174951501</v>
      </c>
      <c r="AF136" s="8">
        <v>-1.1659192825112075</v>
      </c>
      <c r="AG136" s="7">
        <f t="shared" si="29"/>
        <v>-1.1659192825112075E-2</v>
      </c>
    </row>
    <row r="137" spans="1:33" x14ac:dyDescent="0.35">
      <c r="A137" s="9">
        <v>43810</v>
      </c>
      <c r="B137" s="38">
        <f>Расчеты!G150/360</f>
        <v>1.8111111111111109E-2</v>
      </c>
      <c r="C137" s="11">
        <v>45.034999999999997</v>
      </c>
      <c r="D137" s="3">
        <f t="shared" si="20"/>
        <v>3.7911961281401174</v>
      </c>
      <c r="E137" s="3">
        <f t="shared" si="21"/>
        <v>3.7730850170290062</v>
      </c>
      <c r="F137" s="34">
        <v>2954.4</v>
      </c>
      <c r="G137" s="3">
        <f t="shared" si="22"/>
        <v>0.75023871231756356</v>
      </c>
      <c r="H137" s="3">
        <f t="shared" si="23"/>
        <v>0.73212760120645248</v>
      </c>
      <c r="I137" s="3">
        <f t="shared" si="24"/>
        <v>14.236170545728775</v>
      </c>
      <c r="J137" s="3">
        <f t="shared" si="25"/>
        <v>0.53601082444831427</v>
      </c>
      <c r="K137" s="3">
        <f t="shared" si="26"/>
        <v>2.7623796826654532</v>
      </c>
      <c r="M137" s="8">
        <v>0.19200000000001438</v>
      </c>
      <c r="N137" s="7">
        <f t="shared" si="27"/>
        <v>1.9200000000001438E-3</v>
      </c>
      <c r="AD137" s="8">
        <v>0.19200000000001438</v>
      </c>
      <c r="AE137" s="8">
        <f t="shared" si="28"/>
        <v>-0.19200000000001438</v>
      </c>
      <c r="AF137" s="8">
        <v>-1.1587982832618082</v>
      </c>
      <c r="AG137" s="7">
        <f t="shared" si="29"/>
        <v>-1.1587982832618082E-2</v>
      </c>
    </row>
    <row r="138" spans="1:33" x14ac:dyDescent="0.35">
      <c r="A138" s="9">
        <v>43811</v>
      </c>
      <c r="B138" s="38">
        <f>Расчеты!G151/360</f>
        <v>1.7916666666666668E-2</v>
      </c>
      <c r="C138" s="11">
        <v>48.2</v>
      </c>
      <c r="D138" s="3">
        <f t="shared" si="20"/>
        <v>7.0278672143888166</v>
      </c>
      <c r="E138" s="3">
        <f t="shared" si="21"/>
        <v>7.0099505477221502</v>
      </c>
      <c r="F138" s="34">
        <v>2982.86</v>
      </c>
      <c r="G138" s="3">
        <f t="shared" si="22"/>
        <v>0.96330896290279799</v>
      </c>
      <c r="H138" s="3">
        <f t="shared" si="23"/>
        <v>0.9453922962361313</v>
      </c>
      <c r="I138" s="3">
        <f t="shared" si="24"/>
        <v>49.139406681510074</v>
      </c>
      <c r="J138" s="3">
        <f t="shared" si="25"/>
        <v>0.89376659378262502</v>
      </c>
      <c r="K138" s="3">
        <f t="shared" si="26"/>
        <v>6.6271532448127699</v>
      </c>
      <c r="M138" s="8">
        <v>0.20596205962060132</v>
      </c>
      <c r="N138" s="7">
        <f t="shared" si="27"/>
        <v>2.0596205962060132E-3</v>
      </c>
      <c r="AD138" s="8">
        <v>0.20596205962060132</v>
      </c>
      <c r="AE138" s="8">
        <f t="shared" si="28"/>
        <v>-0.20596205962060132</v>
      </c>
      <c r="AF138" s="8">
        <v>-1.1494252873563204</v>
      </c>
      <c r="AG138" s="7">
        <f t="shared" si="29"/>
        <v>-1.1494252873563204E-2</v>
      </c>
    </row>
    <row r="139" spans="1:33" x14ac:dyDescent="0.35">
      <c r="A139" s="9">
        <v>43812</v>
      </c>
      <c r="B139" s="38">
        <f>Расчеты!G152/360</f>
        <v>1.7611111111111112E-2</v>
      </c>
      <c r="C139" s="11">
        <v>47.505000000000003</v>
      </c>
      <c r="D139" s="3">
        <f t="shared" si="20"/>
        <v>-1.441908713692952</v>
      </c>
      <c r="E139" s="3">
        <f t="shared" si="21"/>
        <v>-1.4595198248040631</v>
      </c>
      <c r="F139" s="34">
        <v>2996.63</v>
      </c>
      <c r="G139" s="3">
        <f t="shared" si="22"/>
        <v>0.46163748885297284</v>
      </c>
      <c r="H139" s="3">
        <f t="shared" si="23"/>
        <v>0.44402637774186171</v>
      </c>
      <c r="I139" s="3">
        <f t="shared" si="24"/>
        <v>2.1301981189960828</v>
      </c>
      <c r="J139" s="3">
        <f t="shared" si="25"/>
        <v>0.19715942413055845</v>
      </c>
      <c r="K139" s="3">
        <f t="shared" si="26"/>
        <v>-0.64806530105018478</v>
      </c>
      <c r="M139" s="8">
        <v>0.21821067248564141</v>
      </c>
      <c r="N139" s="7">
        <f t="shared" si="27"/>
        <v>2.1821067248564141E-3</v>
      </c>
      <c r="AD139" s="8">
        <v>0.21821067248564141</v>
      </c>
      <c r="AE139" s="8">
        <f t="shared" si="28"/>
        <v>-0.21821067248564141</v>
      </c>
      <c r="AF139" s="8">
        <v>-1.1441647597253968</v>
      </c>
      <c r="AG139" s="7">
        <f t="shared" si="29"/>
        <v>-1.1441647597253968E-2</v>
      </c>
    </row>
    <row r="140" spans="1:33" x14ac:dyDescent="0.35">
      <c r="A140" s="9">
        <v>43815</v>
      </c>
      <c r="B140" s="38">
        <f>Расчеты!G153/360</f>
        <v>1.7250000000000001E-2</v>
      </c>
      <c r="C140" s="11">
        <v>48.024999999999999</v>
      </c>
      <c r="D140" s="3">
        <f t="shared" si="20"/>
        <v>1.0946216187769586</v>
      </c>
      <c r="E140" s="3">
        <f t="shared" si="21"/>
        <v>1.0773716187769586</v>
      </c>
      <c r="F140" s="34">
        <v>3006.16</v>
      </c>
      <c r="G140" s="3">
        <f t="shared" si="22"/>
        <v>0.31802391352953041</v>
      </c>
      <c r="H140" s="3">
        <f t="shared" si="23"/>
        <v>0.30077391352953042</v>
      </c>
      <c r="I140" s="3">
        <f t="shared" si="24"/>
        <v>1.1607296049460842</v>
      </c>
      <c r="J140" s="3">
        <f t="shared" si="25"/>
        <v>9.0464947059869447E-2</v>
      </c>
      <c r="K140" s="3">
        <f t="shared" si="26"/>
        <v>0.32404527810519118</v>
      </c>
      <c r="M140" s="8">
        <v>0.2276916404640561</v>
      </c>
      <c r="N140" s="7">
        <f t="shared" si="27"/>
        <v>2.276916404640561E-3</v>
      </c>
      <c r="AD140" s="8">
        <v>0.2276916404640561</v>
      </c>
      <c r="AE140" s="8">
        <f t="shared" si="28"/>
        <v>-0.2276916404640561</v>
      </c>
      <c r="AF140" s="8">
        <v>-1.1414200038692091</v>
      </c>
      <c r="AG140" s="7">
        <f t="shared" si="29"/>
        <v>-1.1414200038692091E-2</v>
      </c>
    </row>
    <row r="141" spans="1:33" x14ac:dyDescent="0.35">
      <c r="A141" s="9">
        <v>43816</v>
      </c>
      <c r="B141" s="38">
        <f>Расчеты!G154/360</f>
        <v>1.7222222222222222E-2</v>
      </c>
      <c r="C141" s="11">
        <v>48.305</v>
      </c>
      <c r="D141" s="3">
        <f t="shared" si="20"/>
        <v>0.58302967204582057</v>
      </c>
      <c r="E141" s="3">
        <f t="shared" si="21"/>
        <v>0.56580744982359832</v>
      </c>
      <c r="F141" s="34">
        <v>3013.29</v>
      </c>
      <c r="G141" s="3">
        <f t="shared" si="22"/>
        <v>0.23717965776939298</v>
      </c>
      <c r="H141" s="3">
        <f t="shared" si="23"/>
        <v>0.21995743554717076</v>
      </c>
      <c r="I141" s="3">
        <f t="shared" si="24"/>
        <v>0.3201380702758837</v>
      </c>
      <c r="J141" s="3">
        <f t="shared" si="25"/>
        <v>4.8381273452487779E-2</v>
      </c>
      <c r="K141" s="3">
        <f t="shared" si="26"/>
        <v>0.12445355567668318</v>
      </c>
      <c r="M141" s="8">
        <v>0.23807059310629874</v>
      </c>
      <c r="N141" s="7">
        <f t="shared" si="27"/>
        <v>2.3807059310629874E-3</v>
      </c>
      <c r="AD141" s="8">
        <v>0.23807059310629874</v>
      </c>
      <c r="AE141" s="8">
        <f t="shared" si="28"/>
        <v>-0.23807059310629874</v>
      </c>
      <c r="AF141" s="8">
        <v>-1.1393606920561128</v>
      </c>
      <c r="AG141" s="7">
        <f t="shared" si="29"/>
        <v>-1.1393606920561128E-2</v>
      </c>
    </row>
    <row r="142" spans="1:33" x14ac:dyDescent="0.35">
      <c r="A142" s="9">
        <v>43817</v>
      </c>
      <c r="B142" s="38">
        <f>Расчеты!G155/360</f>
        <v>1.7250000000000001E-2</v>
      </c>
      <c r="C142" s="11">
        <v>48.42</v>
      </c>
      <c r="D142" s="3">
        <f t="shared" si="20"/>
        <v>0.23807059310629874</v>
      </c>
      <c r="E142" s="3">
        <f t="shared" si="21"/>
        <v>0.22082059310629876</v>
      </c>
      <c r="F142" s="34">
        <v>3023.92</v>
      </c>
      <c r="G142" s="3">
        <f t="shared" si="22"/>
        <v>0.35277055975362348</v>
      </c>
      <c r="H142" s="3">
        <f t="shared" si="23"/>
        <v>0.33552055975362349</v>
      </c>
      <c r="I142" s="3">
        <f t="shared" si="24"/>
        <v>4.8761734339817557E-2</v>
      </c>
      <c r="J142" s="3">
        <f t="shared" si="25"/>
        <v>0.11257404601738483</v>
      </c>
      <c r="K142" s="3">
        <f t="shared" si="26"/>
        <v>7.4089849004152497E-2</v>
      </c>
      <c r="M142" s="8">
        <v>0.24312698709556546</v>
      </c>
      <c r="N142" s="7">
        <f t="shared" si="27"/>
        <v>2.4312698709556546E-3</v>
      </c>
      <c r="AD142" s="8">
        <v>0.24312698709556546</v>
      </c>
      <c r="AE142" s="8">
        <f t="shared" si="28"/>
        <v>-0.24312698709556546</v>
      </c>
      <c r="AF142" s="8">
        <v>-1.1333914559720881</v>
      </c>
      <c r="AG142" s="7">
        <f t="shared" si="29"/>
        <v>-1.1333914559720881E-2</v>
      </c>
    </row>
    <row r="143" spans="1:33" x14ac:dyDescent="0.35">
      <c r="A143" s="9">
        <v>43818</v>
      </c>
      <c r="B143" s="38">
        <f>Расчеты!G156/360</f>
        <v>1.7305555555555557E-2</v>
      </c>
      <c r="C143" s="11">
        <v>48.15</v>
      </c>
      <c r="D143" s="3">
        <f t="shared" si="20"/>
        <v>-0.55762081784387352</v>
      </c>
      <c r="E143" s="3">
        <f t="shared" si="21"/>
        <v>-0.57492637339942909</v>
      </c>
      <c r="F143" s="34">
        <v>3008.39</v>
      </c>
      <c r="G143" s="3">
        <f t="shared" si="22"/>
        <v>-0.51357178761343159</v>
      </c>
      <c r="H143" s="3">
        <f t="shared" si="23"/>
        <v>-0.53087734316898716</v>
      </c>
      <c r="I143" s="3">
        <f t="shared" si="24"/>
        <v>0.33054033483021977</v>
      </c>
      <c r="J143" s="3">
        <f t="shared" si="25"/>
        <v>0.28183075349016257</v>
      </c>
      <c r="K143" s="3">
        <f t="shared" si="26"/>
        <v>0.30521538562806999</v>
      </c>
      <c r="M143" s="8">
        <v>0.25000000000001688</v>
      </c>
      <c r="N143" s="7">
        <f t="shared" si="27"/>
        <v>2.5000000000001688E-3</v>
      </c>
      <c r="AD143" s="8">
        <v>0.25000000000001688</v>
      </c>
      <c r="AE143" s="8">
        <f t="shared" si="28"/>
        <v>-0.25000000000001688</v>
      </c>
      <c r="AF143" s="8">
        <v>-1.0972222222222383</v>
      </c>
      <c r="AG143" s="7">
        <f t="shared" si="29"/>
        <v>-1.0972222222222383E-2</v>
      </c>
    </row>
    <row r="144" spans="1:33" x14ac:dyDescent="0.35">
      <c r="A144" s="9">
        <v>43819</v>
      </c>
      <c r="B144" s="38">
        <f>Расчеты!G157/360</f>
        <v>1.7583333333333333E-2</v>
      </c>
      <c r="C144" s="11">
        <v>48.115000000000002</v>
      </c>
      <c r="D144" s="3">
        <f t="shared" si="20"/>
        <v>-7.2689511941836926E-2</v>
      </c>
      <c r="E144" s="3">
        <f t="shared" si="21"/>
        <v>-9.0272845275170266E-2</v>
      </c>
      <c r="F144" s="34">
        <v>3015.93</v>
      </c>
      <c r="G144" s="3">
        <f t="shared" si="22"/>
        <v>0.25063239806009108</v>
      </c>
      <c r="H144" s="3">
        <f t="shared" si="23"/>
        <v>0.23304906472675774</v>
      </c>
      <c r="I144" s="3">
        <f t="shared" si="24"/>
        <v>8.1491865940748302E-3</v>
      </c>
      <c r="J144" s="3">
        <f t="shared" si="25"/>
        <v>5.431186657001652E-2</v>
      </c>
      <c r="K144" s="3">
        <f t="shared" si="26"/>
        <v>-2.1038002161601742E-2</v>
      </c>
      <c r="M144" s="8">
        <v>0.26923076923077716</v>
      </c>
      <c r="N144" s="7">
        <f t="shared" si="27"/>
        <v>2.6923076923077716E-3</v>
      </c>
      <c r="AD144" s="8">
        <v>0.26923076923077716</v>
      </c>
      <c r="AE144" s="8">
        <f t="shared" si="28"/>
        <v>-0.26923076923077716</v>
      </c>
      <c r="AF144" s="8">
        <v>-1.0946216187769586</v>
      </c>
      <c r="AG144" s="7">
        <f t="shared" si="29"/>
        <v>-1.0946216187769586E-2</v>
      </c>
    </row>
    <row r="145" spans="1:33" x14ac:dyDescent="0.35">
      <c r="A145" s="9">
        <v>43822</v>
      </c>
      <c r="B145" s="38">
        <f>Расчеты!G158/360</f>
        <v>1.7444444444444446E-2</v>
      </c>
      <c r="C145" s="11">
        <v>51.655000000000001</v>
      </c>
      <c r="D145" s="3">
        <f t="shared" si="20"/>
        <v>7.3573729606151828</v>
      </c>
      <c r="E145" s="3">
        <f t="shared" si="21"/>
        <v>7.3399285161707386</v>
      </c>
      <c r="F145" s="34">
        <v>3033.81</v>
      </c>
      <c r="G145" s="3">
        <f t="shared" si="22"/>
        <v>0.59285195611304964</v>
      </c>
      <c r="H145" s="3">
        <f t="shared" si="23"/>
        <v>0.57540751166860515</v>
      </c>
      <c r="I145" s="3">
        <f t="shared" si="24"/>
        <v>53.874550622496379</v>
      </c>
      <c r="J145" s="3">
        <f t="shared" si="25"/>
        <v>0.33109380448465597</v>
      </c>
      <c r="K145" s="3">
        <f t="shared" si="26"/>
        <v>4.223450003315242</v>
      </c>
      <c r="M145" s="8">
        <v>0.28818443804032867</v>
      </c>
      <c r="N145" s="7">
        <f t="shared" si="27"/>
        <v>2.8818443804032867E-3</v>
      </c>
      <c r="AD145" s="8">
        <v>0.28818443804032867</v>
      </c>
      <c r="AE145" s="8">
        <f t="shared" si="28"/>
        <v>-0.28818443804032867</v>
      </c>
      <c r="AF145" s="8">
        <v>-1.0942599347283366</v>
      </c>
      <c r="AG145" s="7">
        <f t="shared" si="29"/>
        <v>-1.0942599347283366E-2</v>
      </c>
    </row>
    <row r="146" spans="1:33" x14ac:dyDescent="0.35">
      <c r="A146" s="9">
        <v>43823</v>
      </c>
      <c r="B146" s="38">
        <f>Расчеты!G159/360</f>
        <v>1.7749999999999998E-2</v>
      </c>
      <c r="C146" s="11">
        <v>52.2</v>
      </c>
      <c r="D146" s="3">
        <f t="shared" si="20"/>
        <v>1.0550769528603343</v>
      </c>
      <c r="E146" s="3">
        <f t="shared" si="21"/>
        <v>1.0373269528603344</v>
      </c>
      <c r="F146" s="34">
        <v>3030.59</v>
      </c>
      <c r="G146" s="3">
        <f t="shared" si="22"/>
        <v>-0.10613716745609958</v>
      </c>
      <c r="H146" s="3">
        <f t="shared" si="23"/>
        <v>-0.12388716745609958</v>
      </c>
      <c r="I146" s="3">
        <f t="shared" si="24"/>
        <v>1.0760472071305065</v>
      </c>
      <c r="J146" s="3">
        <f t="shared" si="25"/>
        <v>1.5348030260295659E-2</v>
      </c>
      <c r="K146" s="3">
        <f t="shared" si="26"/>
        <v>-0.12851149791573377</v>
      </c>
      <c r="M146" s="8">
        <v>0.29069767441860517</v>
      </c>
      <c r="N146" s="7">
        <f t="shared" si="27"/>
        <v>2.9069767441860517E-3</v>
      </c>
      <c r="AD146" s="8">
        <v>0.29069767441860517</v>
      </c>
      <c r="AE146" s="8">
        <f t="shared" si="28"/>
        <v>-0.29069767441860517</v>
      </c>
      <c r="AF146" s="8">
        <v>-1.0888888888888948</v>
      </c>
      <c r="AG146" s="7">
        <f t="shared" si="29"/>
        <v>-1.0888888888888948E-2</v>
      </c>
    </row>
    <row r="147" spans="1:33" x14ac:dyDescent="0.35">
      <c r="A147" s="9">
        <v>43824</v>
      </c>
      <c r="B147" s="38">
        <f>Расчеты!G160/360</f>
        <v>1.7805555555555557E-2</v>
      </c>
      <c r="C147" s="11">
        <v>51.204999999999998</v>
      </c>
      <c r="D147" s="3">
        <f t="shared" si="20"/>
        <v>-1.9061302681992465</v>
      </c>
      <c r="E147" s="3">
        <f t="shared" si="21"/>
        <v>-1.9239358237548021</v>
      </c>
      <c r="F147" s="34">
        <v>3030.84</v>
      </c>
      <c r="G147" s="3">
        <f t="shared" si="22"/>
        <v>8.2492187989835486E-3</v>
      </c>
      <c r="H147" s="3">
        <f t="shared" si="23"/>
        <v>-9.5563367565720085E-3</v>
      </c>
      <c r="I147" s="3">
        <f t="shared" si="24"/>
        <v>3.7015290539270689</v>
      </c>
      <c r="J147" s="3">
        <f t="shared" si="25"/>
        <v>9.1323572205009211E-5</v>
      </c>
      <c r="K147" s="3">
        <f t="shared" si="26"/>
        <v>1.8385778629833659E-2</v>
      </c>
      <c r="M147" s="8">
        <v>0.29354207436398383</v>
      </c>
      <c r="N147" s="7">
        <f t="shared" si="27"/>
        <v>2.9354207436398383E-3</v>
      </c>
      <c r="AD147" s="8">
        <v>0.29354207436398383</v>
      </c>
      <c r="AE147" s="8">
        <f t="shared" si="28"/>
        <v>-0.29354207436398383</v>
      </c>
      <c r="AF147" s="8">
        <v>-1.0622817229336445</v>
      </c>
      <c r="AG147" s="7">
        <f t="shared" si="29"/>
        <v>-1.0622817229336445E-2</v>
      </c>
    </row>
    <row r="148" spans="1:33" x14ac:dyDescent="0.35">
      <c r="A148" s="9">
        <v>43825</v>
      </c>
      <c r="B148" s="38">
        <f>Расчеты!G161/360</f>
        <v>1.7777777777777778E-2</v>
      </c>
      <c r="C148" s="11">
        <v>51.15</v>
      </c>
      <c r="D148" s="3">
        <f t="shared" si="20"/>
        <v>-0.10741138560687036</v>
      </c>
      <c r="E148" s="3">
        <f t="shared" si="21"/>
        <v>-0.12518916338464814</v>
      </c>
      <c r="F148" s="34">
        <v>3031.67</v>
      </c>
      <c r="G148" s="3">
        <f t="shared" si="22"/>
        <v>2.7385147351877137E-2</v>
      </c>
      <c r="H148" s="3">
        <f t="shared" si="23"/>
        <v>9.6073695740993593E-3</v>
      </c>
      <c r="I148" s="3">
        <f t="shared" si="24"/>
        <v>1.5672326628948127E-2</v>
      </c>
      <c r="J148" s="3">
        <f t="shared" si="25"/>
        <v>9.2301550133330108E-5</v>
      </c>
      <c r="K148" s="3">
        <f t="shared" si="26"/>
        <v>-1.2027385593086221E-3</v>
      </c>
      <c r="M148" s="8">
        <v>0.29581631215664927</v>
      </c>
      <c r="N148" s="7">
        <f t="shared" si="27"/>
        <v>2.9581631215664927E-3</v>
      </c>
      <c r="AD148" s="8">
        <v>0.29581631215664927</v>
      </c>
      <c r="AE148" s="8">
        <f t="shared" si="28"/>
        <v>-0.29581631215664927</v>
      </c>
      <c r="AF148" s="8">
        <v>-1.0550769528603343</v>
      </c>
      <c r="AG148" s="7">
        <f t="shared" si="29"/>
        <v>-1.0550769528603343E-2</v>
      </c>
    </row>
    <row r="149" spans="1:33" x14ac:dyDescent="0.35">
      <c r="A149" s="9">
        <v>43826</v>
      </c>
      <c r="B149" s="38">
        <f>Расчеты!G162/360</f>
        <v>1.7861111111111109E-2</v>
      </c>
      <c r="C149" s="11">
        <v>50.854999999999997</v>
      </c>
      <c r="D149" s="3">
        <f t="shared" si="20"/>
        <v>-0.57673509286413349</v>
      </c>
      <c r="E149" s="3">
        <f t="shared" si="21"/>
        <v>-0.5945962039752446</v>
      </c>
      <c r="F149" s="34">
        <v>3050.47</v>
      </c>
      <c r="G149" s="3">
        <f t="shared" si="22"/>
        <v>0.6201202637490244</v>
      </c>
      <c r="H149" s="3">
        <f t="shared" si="23"/>
        <v>0.6022591526379133</v>
      </c>
      <c r="I149" s="3">
        <f t="shared" si="24"/>
        <v>0.35354464578177069</v>
      </c>
      <c r="J149" s="3">
        <f t="shared" si="25"/>
        <v>0.36271608693613733</v>
      </c>
      <c r="K149" s="3">
        <f t="shared" si="26"/>
        <v>-0.35810100596785066</v>
      </c>
      <c r="M149" s="8">
        <v>0.31829245459651379</v>
      </c>
      <c r="N149" s="7">
        <f t="shared" si="27"/>
        <v>3.1829245459651379E-3</v>
      </c>
      <c r="AD149" s="8">
        <v>0.31829245459651379</v>
      </c>
      <c r="AE149" s="8">
        <f t="shared" si="28"/>
        <v>-0.31829245459651379</v>
      </c>
      <c r="AF149" s="8">
        <v>-1.0425020048115519</v>
      </c>
      <c r="AG149" s="7">
        <f t="shared" si="29"/>
        <v>-1.0425020048115519E-2</v>
      </c>
    </row>
    <row r="150" spans="1:33" x14ac:dyDescent="0.35">
      <c r="A150" s="9">
        <v>43829</v>
      </c>
      <c r="B150" s="38">
        <f>Расчеты!G163/360</f>
        <v>1.7694444444444443E-2</v>
      </c>
      <c r="C150" s="11">
        <v>50.47</v>
      </c>
      <c r="D150" s="3">
        <f t="shared" si="20"/>
        <v>-0.75705437026840627</v>
      </c>
      <c r="E150" s="3">
        <f t="shared" si="21"/>
        <v>-0.77474881471285073</v>
      </c>
      <c r="F150" s="34">
        <v>3045.87</v>
      </c>
      <c r="G150" s="3">
        <f t="shared" si="22"/>
        <v>-0.15079643464777082</v>
      </c>
      <c r="H150" s="3">
        <f t="shared" si="23"/>
        <v>-0.16849087909221527</v>
      </c>
      <c r="I150" s="3">
        <f t="shared" si="24"/>
        <v>0.60023572589896712</v>
      </c>
      <c r="J150" s="3">
        <f t="shared" si="25"/>
        <v>2.8389176337267504E-2</v>
      </c>
      <c r="K150" s="3">
        <f t="shared" si="26"/>
        <v>0.13053810886662004</v>
      </c>
      <c r="M150" s="8">
        <v>0.33564814814814881</v>
      </c>
      <c r="N150" s="7">
        <f t="shared" si="27"/>
        <v>3.3564814814814881E-3</v>
      </c>
      <c r="AD150" s="8">
        <v>0.33564814814814881</v>
      </c>
      <c r="AE150" s="8">
        <f t="shared" si="28"/>
        <v>-0.33564814814814881</v>
      </c>
      <c r="AF150" s="8">
        <v>-1.0401188707280795</v>
      </c>
      <c r="AG150" s="7">
        <f t="shared" si="29"/>
        <v>-1.0401188707280795E-2</v>
      </c>
    </row>
    <row r="151" spans="1:33" x14ac:dyDescent="0.35">
      <c r="A151" s="9">
        <v>43833</v>
      </c>
      <c r="B151" s="38">
        <f>Расчеты!G164/360</f>
        <v>1.7722222222222223E-2</v>
      </c>
      <c r="C151" s="11">
        <v>51.375</v>
      </c>
      <c r="D151" s="3">
        <f t="shared" si="20"/>
        <v>1.7931444422429221</v>
      </c>
      <c r="E151" s="3">
        <f t="shared" si="21"/>
        <v>1.7754222200206999</v>
      </c>
      <c r="F151" s="34">
        <v>3076.37</v>
      </c>
      <c r="G151" s="3">
        <f t="shared" si="22"/>
        <v>1.0013559344292489</v>
      </c>
      <c r="H151" s="3">
        <f t="shared" si="23"/>
        <v>0.98363371220702667</v>
      </c>
      <c r="I151" s="3">
        <f t="shared" si="24"/>
        <v>3.1521240593432305</v>
      </c>
      <c r="J151" s="3">
        <f t="shared" si="25"/>
        <v>0.96753527979017573</v>
      </c>
      <c r="K151" s="3">
        <f t="shared" si="26"/>
        <v>1.7463651490138015</v>
      </c>
      <c r="M151" s="8">
        <v>0.34567189975514001</v>
      </c>
      <c r="N151" s="7">
        <f t="shared" si="27"/>
        <v>3.4567189975514001E-3</v>
      </c>
      <c r="AD151" s="8">
        <v>0.34567189975514001</v>
      </c>
      <c r="AE151" s="8">
        <f t="shared" si="28"/>
        <v>-0.34567189975514001</v>
      </c>
      <c r="AF151" s="8">
        <v>-1.0253191044151566</v>
      </c>
      <c r="AG151" s="7">
        <f t="shared" si="29"/>
        <v>-1.0253191044151566E-2</v>
      </c>
    </row>
    <row r="152" spans="1:33" x14ac:dyDescent="0.35">
      <c r="A152" s="9">
        <v>43836</v>
      </c>
      <c r="B152" s="38">
        <f>Расчеты!G165/360</f>
        <v>1.7722222222222223E-2</v>
      </c>
      <c r="C152" s="11">
        <v>52.2</v>
      </c>
      <c r="D152" s="3">
        <f t="shared" si="20"/>
        <v>1.6058394160584077</v>
      </c>
      <c r="E152" s="3">
        <f t="shared" si="21"/>
        <v>1.5881171938361855</v>
      </c>
      <c r="F152" s="34">
        <v>3078.87</v>
      </c>
      <c r="G152" s="3">
        <f t="shared" si="22"/>
        <v>8.1264607313169535E-2</v>
      </c>
      <c r="H152" s="3">
        <f t="shared" si="23"/>
        <v>6.3542385090947312E-2</v>
      </c>
      <c r="I152" s="3">
        <f t="shared" si="24"/>
        <v>2.5221162213581207</v>
      </c>
      <c r="J152" s="3">
        <f t="shared" si="25"/>
        <v>4.0376347030462436E-3</v>
      </c>
      <c r="K152" s="3">
        <f t="shared" si="26"/>
        <v>0.10091275430029352</v>
      </c>
      <c r="M152" s="8">
        <v>0.36398672519002417</v>
      </c>
      <c r="N152" s="7">
        <f t="shared" si="27"/>
        <v>3.6398672519002417E-3</v>
      </c>
      <c r="AD152" s="8">
        <v>0.36398672519002417</v>
      </c>
      <c r="AE152" s="8">
        <f t="shared" si="28"/>
        <v>-0.36398672519002417</v>
      </c>
      <c r="AF152" s="8">
        <v>-1.0144614720483558</v>
      </c>
      <c r="AG152" s="7">
        <f t="shared" si="29"/>
        <v>-1.0144614720483558E-2</v>
      </c>
    </row>
    <row r="153" spans="1:33" x14ac:dyDescent="0.35">
      <c r="A153" s="9">
        <v>43838</v>
      </c>
      <c r="B153" s="38">
        <f>Расчеты!G166/360</f>
        <v>1.7722222222222223E-2</v>
      </c>
      <c r="C153" s="11">
        <v>52</v>
      </c>
      <c r="D153" s="3">
        <f t="shared" si="20"/>
        <v>-0.38314176245211051</v>
      </c>
      <c r="E153" s="3">
        <f t="shared" si="21"/>
        <v>-0.40086398467433271</v>
      </c>
      <c r="F153" s="34">
        <v>3110.06</v>
      </c>
      <c r="G153" s="3">
        <f t="shared" si="22"/>
        <v>1.0130340027347806</v>
      </c>
      <c r="H153" s="3">
        <f t="shared" si="23"/>
        <v>0.99531178051255842</v>
      </c>
      <c r="I153" s="3">
        <f t="shared" si="24"/>
        <v>0.16069193420898364</v>
      </c>
      <c r="J153" s="3">
        <f t="shared" si="25"/>
        <v>0.99064554042707931</v>
      </c>
      <c r="K153" s="3">
        <f t="shared" si="26"/>
        <v>-0.39898464632956904</v>
      </c>
      <c r="M153" s="8">
        <v>0.37878787878788955</v>
      </c>
      <c r="N153" s="7">
        <f t="shared" si="27"/>
        <v>3.7878787878788955E-3</v>
      </c>
      <c r="AD153" s="8">
        <v>0.37878787878788955</v>
      </c>
      <c r="AE153" s="8">
        <f t="shared" si="28"/>
        <v>-0.37878787878788955</v>
      </c>
      <c r="AF153" s="8">
        <v>-1.0116622172263612</v>
      </c>
      <c r="AG153" s="7">
        <f t="shared" si="29"/>
        <v>-1.0116622172263612E-2</v>
      </c>
    </row>
    <row r="154" spans="1:33" x14ac:dyDescent="0.35">
      <c r="A154" s="9">
        <v>43839</v>
      </c>
      <c r="B154" s="38">
        <f>Расчеты!G167/360</f>
        <v>1.7749999999999998E-2</v>
      </c>
      <c r="C154" s="11">
        <v>53.645000000000003</v>
      </c>
      <c r="D154" s="3">
        <f t="shared" si="20"/>
        <v>3.1634615384615428</v>
      </c>
      <c r="E154" s="3">
        <f t="shared" si="21"/>
        <v>3.1457115384615428</v>
      </c>
      <c r="F154" s="34">
        <v>3118.08</v>
      </c>
      <c r="G154" s="3">
        <f t="shared" si="22"/>
        <v>0.25787283846614439</v>
      </c>
      <c r="H154" s="3">
        <f t="shared" si="23"/>
        <v>0.24012283846614441</v>
      </c>
      <c r="I154" s="3">
        <f t="shared" si="24"/>
        <v>9.8955010832100871</v>
      </c>
      <c r="J154" s="3">
        <f t="shared" si="25"/>
        <v>5.7658977553038081E-2</v>
      </c>
      <c r="K154" s="3">
        <f t="shared" si="26"/>
        <v>0.75535718361108761</v>
      </c>
      <c r="M154" s="8">
        <v>0.44776119402984982</v>
      </c>
      <c r="N154" s="7">
        <f t="shared" si="27"/>
        <v>4.4776119402984982E-3</v>
      </c>
      <c r="AD154" s="8">
        <v>0.44776119402984982</v>
      </c>
      <c r="AE154" s="8">
        <f t="shared" si="28"/>
        <v>-0.44776119402984982</v>
      </c>
      <c r="AF154" s="8">
        <v>-1.0085632730732597</v>
      </c>
      <c r="AG154" s="7">
        <f t="shared" si="29"/>
        <v>-1.0085632730732597E-2</v>
      </c>
    </row>
    <row r="155" spans="1:33" x14ac:dyDescent="0.35">
      <c r="A155" s="9">
        <v>43840</v>
      </c>
      <c r="B155" s="38">
        <f>Расчеты!G168/360</f>
        <v>1.7666666666666667E-2</v>
      </c>
      <c r="C155" s="11">
        <v>54</v>
      </c>
      <c r="D155" s="3">
        <f t="shared" si="20"/>
        <v>0.66175785254916075</v>
      </c>
      <c r="E155" s="3">
        <f t="shared" si="21"/>
        <v>0.64409118588249403</v>
      </c>
      <c r="F155" s="34">
        <v>3123.66</v>
      </c>
      <c r="G155" s="3">
        <f t="shared" si="22"/>
        <v>0.17895628078816728</v>
      </c>
      <c r="H155" s="3">
        <f t="shared" si="23"/>
        <v>0.16128961412150061</v>
      </c>
      <c r="I155" s="3">
        <f t="shared" si="24"/>
        <v>0.4148534557315175</v>
      </c>
      <c r="J155" s="3">
        <f t="shared" si="25"/>
        <v>2.6014339623462571E-2</v>
      </c>
      <c r="K155" s="3">
        <f t="shared" si="26"/>
        <v>0.10388521883004719</v>
      </c>
      <c r="M155" s="8">
        <v>0.45688178183895811</v>
      </c>
      <c r="N155" s="7">
        <f t="shared" si="27"/>
        <v>4.5688178183895811E-3</v>
      </c>
      <c r="AD155" s="8">
        <v>0.45688178183895811</v>
      </c>
      <c r="AE155" s="8">
        <f t="shared" si="28"/>
        <v>-0.45688178183895811</v>
      </c>
      <c r="AF155" s="8">
        <v>-0.9997222993612831</v>
      </c>
      <c r="AG155" s="7">
        <f t="shared" si="29"/>
        <v>-9.997222993612831E-3</v>
      </c>
    </row>
    <row r="156" spans="1:33" x14ac:dyDescent="0.35">
      <c r="A156" s="9">
        <v>43843</v>
      </c>
      <c r="B156" s="38">
        <f>Расчеты!G169/360</f>
        <v>1.7694444444444443E-2</v>
      </c>
      <c r="C156" s="11">
        <v>53.805</v>
      </c>
      <c r="D156" s="3">
        <f t="shared" si="20"/>
        <v>-0.36111111111111205</v>
      </c>
      <c r="E156" s="3">
        <f t="shared" si="21"/>
        <v>-0.37880555555555651</v>
      </c>
      <c r="F156" s="34">
        <v>3151.69</v>
      </c>
      <c r="G156" s="3">
        <f t="shared" si="22"/>
        <v>0.89734478144229968</v>
      </c>
      <c r="H156" s="3">
        <f t="shared" si="23"/>
        <v>0.87965033699785522</v>
      </c>
      <c r="I156" s="3">
        <f t="shared" si="24"/>
        <v>0.1434936489197538</v>
      </c>
      <c r="J156" s="3">
        <f t="shared" si="25"/>
        <v>0.77378471538044025</v>
      </c>
      <c r="K156" s="3">
        <f t="shared" si="26"/>
        <v>-0.33321643460110506</v>
      </c>
      <c r="M156" s="8">
        <v>0.49211173831236188</v>
      </c>
      <c r="N156" s="7">
        <f t="shared" si="27"/>
        <v>4.9211173831236188E-3</v>
      </c>
      <c r="AD156" s="8">
        <v>0.49211173831236188</v>
      </c>
      <c r="AE156" s="8">
        <f t="shared" si="28"/>
        <v>-0.49211173831236188</v>
      </c>
      <c r="AF156" s="8">
        <v>-0.9970457902511054</v>
      </c>
      <c r="AG156" s="7">
        <f t="shared" si="29"/>
        <v>-9.970457902511054E-3</v>
      </c>
    </row>
    <row r="157" spans="1:33" x14ac:dyDescent="0.35">
      <c r="A157" s="9">
        <v>43844</v>
      </c>
      <c r="B157" s="38">
        <f>Расчеты!G170/360</f>
        <v>1.7583333333333333E-2</v>
      </c>
      <c r="C157" s="11">
        <v>53.9</v>
      </c>
      <c r="D157" s="3">
        <f t="shared" si="20"/>
        <v>0.17656351640182866</v>
      </c>
      <c r="E157" s="3">
        <f t="shared" si="21"/>
        <v>0.15898018306849532</v>
      </c>
      <c r="F157" s="34">
        <v>3129.77</v>
      </c>
      <c r="G157" s="3">
        <f t="shared" si="22"/>
        <v>-0.6954998746704133</v>
      </c>
      <c r="H157" s="3">
        <f t="shared" si="23"/>
        <v>-0.71308320800374658</v>
      </c>
      <c r="I157" s="3">
        <f t="shared" si="24"/>
        <v>2.5274698608492286E-2</v>
      </c>
      <c r="J157" s="3">
        <f t="shared" si="25"/>
        <v>0.50848766153691449</v>
      </c>
      <c r="K157" s="3">
        <f t="shared" si="26"/>
        <v>-0.11336609895150555</v>
      </c>
      <c r="M157" s="8">
        <v>0.50629447181171905</v>
      </c>
      <c r="N157" s="7">
        <f t="shared" si="27"/>
        <v>5.0629447181171905E-3</v>
      </c>
      <c r="AD157" s="8">
        <v>0.50629447181171905</v>
      </c>
      <c r="AE157" s="8">
        <f t="shared" si="28"/>
        <v>-0.50629447181171905</v>
      </c>
      <c r="AF157" s="8">
        <v>-0.98868219071157615</v>
      </c>
      <c r="AG157" s="7">
        <f t="shared" si="29"/>
        <v>-9.8868219071157615E-3</v>
      </c>
    </row>
    <row r="158" spans="1:33" x14ac:dyDescent="0.35">
      <c r="A158" s="9">
        <v>43845</v>
      </c>
      <c r="B158" s="38">
        <f>Расчеты!G171/360</f>
        <v>1.7583333333333333E-2</v>
      </c>
      <c r="C158" s="11">
        <v>53.09</v>
      </c>
      <c r="D158" s="3">
        <f t="shared" si="20"/>
        <v>-1.5027829313543517</v>
      </c>
      <c r="E158" s="3">
        <f t="shared" si="21"/>
        <v>-1.520366264687685</v>
      </c>
      <c r="F158" s="34">
        <v>3132.63</v>
      </c>
      <c r="G158" s="3">
        <f t="shared" si="22"/>
        <v>9.1380516779193677E-2</v>
      </c>
      <c r="H158" s="3">
        <f t="shared" si="23"/>
        <v>7.3797183445860337E-2</v>
      </c>
      <c r="I158" s="3">
        <f t="shared" si="24"/>
        <v>2.3115135788003838</v>
      </c>
      <c r="J158" s="3">
        <f t="shared" si="25"/>
        <v>5.4460242845419627E-3</v>
      </c>
      <c r="K158" s="3">
        <f t="shared" si="26"/>
        <v>-0.11219874814005454</v>
      </c>
      <c r="M158" s="8">
        <v>0.51424050632911111</v>
      </c>
      <c r="N158" s="7">
        <f t="shared" si="27"/>
        <v>5.1424050632911111E-3</v>
      </c>
      <c r="AD158" s="8">
        <v>0.51424050632911111</v>
      </c>
      <c r="AE158" s="8">
        <f t="shared" si="28"/>
        <v>-0.51424050632911111</v>
      </c>
      <c r="AF158" s="8">
        <v>-0.97854723372223784</v>
      </c>
      <c r="AG158" s="7">
        <f t="shared" si="29"/>
        <v>-9.7854723372223784E-3</v>
      </c>
    </row>
    <row r="159" spans="1:33" x14ac:dyDescent="0.35">
      <c r="A159" s="9">
        <v>43846</v>
      </c>
      <c r="B159" s="38">
        <f>Расчеты!G172/360</f>
        <v>1.7583333333333333E-2</v>
      </c>
      <c r="C159" s="11">
        <v>53.07</v>
      </c>
      <c r="D159" s="3">
        <f t="shared" si="20"/>
        <v>-3.7671877943123988E-2</v>
      </c>
      <c r="E159" s="3">
        <f t="shared" si="21"/>
        <v>-5.5255211276457321E-2</v>
      </c>
      <c r="F159" s="34">
        <v>3157.23</v>
      </c>
      <c r="G159" s="3">
        <f t="shared" si="22"/>
        <v>0.78528265387229901</v>
      </c>
      <c r="H159" s="3">
        <f t="shared" si="23"/>
        <v>0.76769932053896572</v>
      </c>
      <c r="I159" s="3">
        <f t="shared" si="24"/>
        <v>3.0531383732059362E-3</v>
      </c>
      <c r="J159" s="3">
        <f t="shared" si="25"/>
        <v>0.58936224675598969</v>
      </c>
      <c r="K159" s="3">
        <f t="shared" si="26"/>
        <v>-4.2419388153173282E-2</v>
      </c>
      <c r="M159" s="8">
        <v>0.51689860834991386</v>
      </c>
      <c r="N159" s="7">
        <f t="shared" si="27"/>
        <v>5.1689860834991386E-3</v>
      </c>
      <c r="AD159" s="8">
        <v>0.51689860834991386</v>
      </c>
      <c r="AE159" s="8">
        <f t="shared" si="28"/>
        <v>-0.51689860834991386</v>
      </c>
      <c r="AF159" s="8">
        <v>-0.95594347464671436</v>
      </c>
      <c r="AG159" s="7">
        <f t="shared" si="29"/>
        <v>-9.5594347464671436E-3</v>
      </c>
    </row>
    <row r="160" spans="1:33" x14ac:dyDescent="0.35">
      <c r="A160" s="9">
        <v>43847</v>
      </c>
      <c r="B160" s="38">
        <f>Расчеты!G173/360</f>
        <v>1.7499999999999998E-2</v>
      </c>
      <c r="C160" s="11">
        <v>53.774999999999999</v>
      </c>
      <c r="D160" s="3">
        <f t="shared" si="20"/>
        <v>1.3284341435839453</v>
      </c>
      <c r="E160" s="3">
        <f t="shared" si="21"/>
        <v>1.3109341435839452</v>
      </c>
      <c r="F160" s="34">
        <v>3196.88</v>
      </c>
      <c r="G160" s="3">
        <f t="shared" si="22"/>
        <v>1.2558476892719383</v>
      </c>
      <c r="H160" s="3">
        <f t="shared" si="23"/>
        <v>1.2383476892719383</v>
      </c>
      <c r="I160" s="3">
        <f t="shared" si="24"/>
        <v>1.7185483288141719</v>
      </c>
      <c r="J160" s="3">
        <f t="shared" si="25"/>
        <v>1.5335049995251491</v>
      </c>
      <c r="K160" s="3">
        <f t="shared" si="26"/>
        <v>1.623392267494866</v>
      </c>
      <c r="M160" s="8">
        <v>0.54921841994084453</v>
      </c>
      <c r="N160" s="7">
        <f t="shared" si="27"/>
        <v>5.4921841994084453E-3</v>
      </c>
      <c r="AD160" s="8">
        <v>0.54921841994084453</v>
      </c>
      <c r="AE160" s="8">
        <f t="shared" si="28"/>
        <v>-0.54921841994084453</v>
      </c>
      <c r="AF160" s="8">
        <v>-0.92165898617511122</v>
      </c>
      <c r="AG160" s="7">
        <f t="shared" si="29"/>
        <v>-9.2165898617511122E-3</v>
      </c>
    </row>
    <row r="161" spans="1:33" x14ac:dyDescent="0.35">
      <c r="A161" s="9">
        <v>43850</v>
      </c>
      <c r="B161" s="38">
        <f>Расчеты!G174/360</f>
        <v>1.7527777777777778E-2</v>
      </c>
      <c r="C161" s="11">
        <v>54.17</v>
      </c>
      <c r="D161" s="3">
        <f t="shared" si="20"/>
        <v>0.73454207345420297</v>
      </c>
      <c r="E161" s="3">
        <f t="shared" si="21"/>
        <v>0.71701429567642516</v>
      </c>
      <c r="F161" s="34">
        <v>3219.92</v>
      </c>
      <c r="G161" s="3">
        <f t="shared" si="22"/>
        <v>0.72070268511799096</v>
      </c>
      <c r="H161" s="3">
        <f t="shared" si="23"/>
        <v>0.70317490734021315</v>
      </c>
      <c r="I161" s="3">
        <f t="shared" si="24"/>
        <v>0.51410950020436008</v>
      </c>
      <c r="J161" s="3">
        <f t="shared" si="25"/>
        <v>0.49445495031291736</v>
      </c>
      <c r="K161" s="3">
        <f t="shared" si="26"/>
        <v>0.50418646092387842</v>
      </c>
      <c r="M161" s="8">
        <v>0.55555555555555358</v>
      </c>
      <c r="N161" s="7">
        <f t="shared" si="27"/>
        <v>5.5555555555555358E-3</v>
      </c>
      <c r="AD161" s="8">
        <v>0.55555555555555358</v>
      </c>
      <c r="AE161" s="8">
        <f t="shared" si="28"/>
        <v>-0.55555555555555358</v>
      </c>
      <c r="AF161" s="8">
        <v>-0.8736559139784994</v>
      </c>
      <c r="AG161" s="7">
        <f t="shared" si="29"/>
        <v>-8.736559139784994E-3</v>
      </c>
    </row>
    <row r="162" spans="1:33" x14ac:dyDescent="0.35">
      <c r="A162" s="9">
        <v>43851</v>
      </c>
      <c r="B162" s="38">
        <f>Расчеты!G175/360</f>
        <v>1.7499999999999998E-2</v>
      </c>
      <c r="C162" s="11">
        <v>52.04</v>
      </c>
      <c r="D162" s="3">
        <f t="shared" si="20"/>
        <v>-3.9320657190326846</v>
      </c>
      <c r="E162" s="3">
        <f t="shared" si="21"/>
        <v>-3.9495657190326847</v>
      </c>
      <c r="F162" s="34">
        <v>3209.22</v>
      </c>
      <c r="G162" s="3">
        <f t="shared" si="22"/>
        <v>-0.33230639270541706</v>
      </c>
      <c r="H162" s="3">
        <f t="shared" si="23"/>
        <v>-0.34980639270541708</v>
      </c>
      <c r="I162" s="3">
        <f t="shared" si="24"/>
        <v>15.599069368958167</v>
      </c>
      <c r="J162" s="3">
        <f t="shared" si="25"/>
        <v>0.12236451237757646</v>
      </c>
      <c r="K162" s="3">
        <f t="shared" si="26"/>
        <v>1.3815833369278003</v>
      </c>
      <c r="M162" s="8">
        <v>0.55741360089185399</v>
      </c>
      <c r="N162" s="7">
        <f t="shared" si="27"/>
        <v>5.5741360089185399E-3</v>
      </c>
      <c r="AD162" s="8">
        <v>0.55741360089185399</v>
      </c>
      <c r="AE162" s="8">
        <f t="shared" si="28"/>
        <v>-0.55741360089185399</v>
      </c>
      <c r="AF162" s="8">
        <v>-0.8583690987124637</v>
      </c>
      <c r="AG162" s="7">
        <f t="shared" si="29"/>
        <v>-8.583690987124637E-3</v>
      </c>
    </row>
    <row r="163" spans="1:33" x14ac:dyDescent="0.35">
      <c r="A163" s="9">
        <v>43852</v>
      </c>
      <c r="B163" s="38">
        <f>Расчеты!G176/360</f>
        <v>1.7499999999999998E-2</v>
      </c>
      <c r="C163" s="11">
        <v>49.5</v>
      </c>
      <c r="D163" s="3">
        <f t="shared" si="20"/>
        <v>-4.880860876249038</v>
      </c>
      <c r="E163" s="3">
        <f t="shared" si="21"/>
        <v>-4.898360876249038</v>
      </c>
      <c r="F163" s="34">
        <v>3174.62</v>
      </c>
      <c r="G163" s="3">
        <f t="shared" si="22"/>
        <v>-1.0781435987560761</v>
      </c>
      <c r="H163" s="3">
        <f t="shared" si="23"/>
        <v>-1.0956435987560762</v>
      </c>
      <c r="I163" s="3">
        <f t="shared" si="24"/>
        <v>23.993939273967243</v>
      </c>
      <c r="J163" s="3">
        <f t="shared" si="25"/>
        <v>1.2004348954951658</v>
      </c>
      <c r="K163" s="3">
        <f t="shared" si="26"/>
        <v>5.3668577384594629</v>
      </c>
      <c r="M163" s="8">
        <v>0.58302967204582057</v>
      </c>
      <c r="N163" s="7">
        <f t="shared" si="27"/>
        <v>5.8302967204582057E-3</v>
      </c>
      <c r="AD163" s="8">
        <v>0.58302967204582057</v>
      </c>
      <c r="AE163" s="8">
        <f t="shared" si="28"/>
        <v>-0.58302967204582057</v>
      </c>
      <c r="AF163" s="8">
        <v>-0.85607276618513417</v>
      </c>
      <c r="AG163" s="7">
        <f t="shared" si="29"/>
        <v>-8.5607276618513417E-3</v>
      </c>
    </row>
    <row r="164" spans="1:33" x14ac:dyDescent="0.35">
      <c r="A164" s="9">
        <v>43853</v>
      </c>
      <c r="B164" s="38">
        <f>Расчеты!G177/360</f>
        <v>1.7583333333333333E-2</v>
      </c>
      <c r="C164" s="11">
        <v>47.8</v>
      </c>
      <c r="D164" s="3">
        <f t="shared" si="20"/>
        <v>-3.4343434343434454</v>
      </c>
      <c r="E164" s="3">
        <f t="shared" si="21"/>
        <v>-3.4519267676767789</v>
      </c>
      <c r="F164" s="34">
        <v>3141.2</v>
      </c>
      <c r="G164" s="3">
        <f t="shared" si="22"/>
        <v>-1.052724420560569</v>
      </c>
      <c r="H164" s="3">
        <f t="shared" si="23"/>
        <v>-1.0703077538939023</v>
      </c>
      <c r="I164" s="3">
        <f t="shared" si="24"/>
        <v>11.915798409403454</v>
      </c>
      <c r="J164" s="3">
        <f t="shared" si="25"/>
        <v>1.1455586880454101</v>
      </c>
      <c r="K164" s="3">
        <f t="shared" si="26"/>
        <v>3.6946239853183713</v>
      </c>
      <c r="M164" s="8">
        <v>0.58577405857740406</v>
      </c>
      <c r="N164" s="7">
        <f t="shared" si="27"/>
        <v>5.8577405857740406E-3</v>
      </c>
      <c r="AD164" s="8">
        <v>0.58577405857740406</v>
      </c>
      <c r="AE164" s="8">
        <f t="shared" si="28"/>
        <v>-0.58577405857740406</v>
      </c>
      <c r="AF164" s="8">
        <v>-0.85481501268865889</v>
      </c>
      <c r="AG164" s="7">
        <f t="shared" si="29"/>
        <v>-8.5481501268865889E-3</v>
      </c>
    </row>
    <row r="165" spans="1:33" x14ac:dyDescent="0.35">
      <c r="A165" s="9">
        <v>43854</v>
      </c>
      <c r="B165" s="38">
        <f>Расчеты!G178/360</f>
        <v>1.7583333333333333E-2</v>
      </c>
      <c r="C165" s="11">
        <v>48.08</v>
      </c>
      <c r="D165" s="3">
        <f t="shared" si="20"/>
        <v>0.58577405857740406</v>
      </c>
      <c r="E165" s="3">
        <f t="shared" si="21"/>
        <v>0.56819072524407077</v>
      </c>
      <c r="F165" s="34">
        <v>3146.2</v>
      </c>
      <c r="G165" s="3">
        <f t="shared" si="22"/>
        <v>0.15917483764167351</v>
      </c>
      <c r="H165" s="3">
        <f t="shared" si="23"/>
        <v>0.14159150430834017</v>
      </c>
      <c r="I165" s="3">
        <f t="shared" si="24"/>
        <v>0.32284070025338313</v>
      </c>
      <c r="J165" s="3">
        <f t="shared" si="25"/>
        <v>2.0048154092298712E-2</v>
      </c>
      <c r="K165" s="3">
        <f t="shared" si="26"/>
        <v>8.0450979521354771E-2</v>
      </c>
      <c r="M165" s="8">
        <v>0.60274740678440963</v>
      </c>
      <c r="N165" s="7">
        <f t="shared" si="27"/>
        <v>6.0274740678440963E-3</v>
      </c>
      <c r="AD165" s="8">
        <v>0.60274740678440963</v>
      </c>
      <c r="AE165" s="8">
        <f t="shared" si="28"/>
        <v>-0.60274740678440963</v>
      </c>
      <c r="AF165" s="8">
        <v>-0.82120194102276445</v>
      </c>
      <c r="AG165" s="7">
        <f t="shared" si="29"/>
        <v>-8.2120194102276445E-3</v>
      </c>
    </row>
    <row r="166" spans="1:33" x14ac:dyDescent="0.35">
      <c r="A166" s="9">
        <v>43857</v>
      </c>
      <c r="B166" s="38">
        <f>Расчеты!G179/360</f>
        <v>1.7611111111111112E-2</v>
      </c>
      <c r="C166" s="11">
        <v>46.5</v>
      </c>
      <c r="D166" s="3">
        <f t="shared" si="20"/>
        <v>-3.28618968386023</v>
      </c>
      <c r="E166" s="3">
        <f t="shared" si="21"/>
        <v>-3.303800794971341</v>
      </c>
      <c r="F166" s="34">
        <v>3085.16</v>
      </c>
      <c r="G166" s="3">
        <f t="shared" si="22"/>
        <v>-1.9401182378742554</v>
      </c>
      <c r="H166" s="3">
        <f t="shared" si="23"/>
        <v>-1.9577293489853664</v>
      </c>
      <c r="I166" s="3">
        <f t="shared" si="24"/>
        <v>10.915099692853264</v>
      </c>
      <c r="J166" s="3">
        <f t="shared" si="25"/>
        <v>3.8327042038786665</v>
      </c>
      <c r="K166" s="3">
        <f t="shared" si="26"/>
        <v>6.4679477795165798</v>
      </c>
      <c r="M166" s="8">
        <v>0.60543604276697138</v>
      </c>
      <c r="N166" s="7">
        <f t="shared" si="27"/>
        <v>6.0543604276697138E-3</v>
      </c>
      <c r="AD166" s="8">
        <v>0.60543604276697138</v>
      </c>
      <c r="AE166" s="8">
        <f t="shared" si="28"/>
        <v>-0.60543604276697138</v>
      </c>
      <c r="AF166" s="8">
        <v>-0.80598733448474791</v>
      </c>
      <c r="AG166" s="7">
        <f t="shared" si="29"/>
        <v>-8.0598733448474791E-3</v>
      </c>
    </row>
    <row r="167" spans="1:33" x14ac:dyDescent="0.35">
      <c r="A167" s="9">
        <v>43858</v>
      </c>
      <c r="B167" s="38">
        <f>Расчеты!G180/360</f>
        <v>1.7694444444444443E-2</v>
      </c>
      <c r="C167" s="11">
        <v>47.395000000000003</v>
      </c>
      <c r="D167" s="3">
        <f t="shared" si="20"/>
        <v>1.9247311827957025</v>
      </c>
      <c r="E167" s="3">
        <f t="shared" si="21"/>
        <v>1.9070367383512581</v>
      </c>
      <c r="F167" s="34">
        <v>3113.1</v>
      </c>
      <c r="G167" s="3">
        <f t="shared" si="22"/>
        <v>0.90562564016130054</v>
      </c>
      <c r="H167" s="3">
        <f t="shared" si="23"/>
        <v>0.88793119571685608</v>
      </c>
      <c r="I167" s="3">
        <f t="shared" si="24"/>
        <v>3.6367891214214048</v>
      </c>
      <c r="J167" s="3">
        <f t="shared" si="25"/>
        <v>0.7884218083271658</v>
      </c>
      <c r="K167" s="3">
        <f t="shared" si="26"/>
        <v>1.6933174113602059</v>
      </c>
      <c r="M167" s="8">
        <v>0.63120860927152744</v>
      </c>
      <c r="N167" s="7">
        <f t="shared" si="27"/>
        <v>6.3120860927152744E-3</v>
      </c>
      <c r="AD167" s="8">
        <v>0.63120860927152744</v>
      </c>
      <c r="AE167" s="8">
        <f t="shared" si="28"/>
        <v>-0.63120860927152744</v>
      </c>
      <c r="AF167" s="8">
        <v>-0.80000000000000071</v>
      </c>
      <c r="AG167" s="7">
        <f t="shared" si="29"/>
        <v>-8.0000000000000071E-3</v>
      </c>
    </row>
    <row r="168" spans="1:33" x14ac:dyDescent="0.35">
      <c r="A168" s="9">
        <v>43859</v>
      </c>
      <c r="B168" s="38">
        <f>Расчеты!G181/360</f>
        <v>1.7694444444444443E-2</v>
      </c>
      <c r="C168" s="11">
        <v>47.935000000000002</v>
      </c>
      <c r="D168" s="3">
        <f t="shared" si="20"/>
        <v>1.1393606920561128</v>
      </c>
      <c r="E168" s="3">
        <f t="shared" si="21"/>
        <v>1.1216662476116683</v>
      </c>
      <c r="F168" s="34">
        <v>3128.8</v>
      </c>
      <c r="G168" s="3">
        <f t="shared" si="22"/>
        <v>0.50432045228230304</v>
      </c>
      <c r="H168" s="3">
        <f t="shared" si="23"/>
        <v>0.48662600783785859</v>
      </c>
      <c r="I168" s="3">
        <f t="shared" si="24"/>
        <v>1.2581351710312405</v>
      </c>
      <c r="J168" s="3">
        <f t="shared" si="25"/>
        <v>0.23680487150421162</v>
      </c>
      <c r="K168" s="3">
        <f t="shared" si="26"/>
        <v>0.54583196820173718</v>
      </c>
      <c r="M168" s="8">
        <v>0.66175785254916075</v>
      </c>
      <c r="N168" s="7">
        <f t="shared" si="27"/>
        <v>6.6175785254916075E-3</v>
      </c>
      <c r="AD168" s="8">
        <v>0.66175785254916075</v>
      </c>
      <c r="AE168" s="8">
        <f t="shared" si="28"/>
        <v>-0.66175785254916075</v>
      </c>
      <c r="AF168" s="8">
        <v>-0.75705437026840627</v>
      </c>
      <c r="AG168" s="7">
        <f t="shared" si="29"/>
        <v>-7.5705437026840627E-3</v>
      </c>
    </row>
    <row r="169" spans="1:33" x14ac:dyDescent="0.35">
      <c r="A169" s="9">
        <v>43860</v>
      </c>
      <c r="B169" s="38">
        <f>Расчеты!G182/360</f>
        <v>1.7722222222222223E-2</v>
      </c>
      <c r="C169" s="11">
        <v>47.9</v>
      </c>
      <c r="D169" s="3">
        <f t="shared" si="20"/>
        <v>-7.3015541879639656E-2</v>
      </c>
      <c r="E169" s="3">
        <f t="shared" si="21"/>
        <v>-9.0737764101861879E-2</v>
      </c>
      <c r="F169" s="34">
        <v>3108.58</v>
      </c>
      <c r="G169" s="3">
        <f t="shared" si="22"/>
        <v>-0.64625415494758975</v>
      </c>
      <c r="H169" s="3">
        <f t="shared" si="23"/>
        <v>-0.66397637716981195</v>
      </c>
      <c r="I169" s="3">
        <f t="shared" si="24"/>
        <v>8.2333418342051337E-3</v>
      </c>
      <c r="J169" s="3">
        <f t="shared" si="25"/>
        <v>0.44086462943954835</v>
      </c>
      <c r="K169" s="3">
        <f t="shared" si="26"/>
        <v>6.0247731880843265E-2</v>
      </c>
      <c r="M169" s="8">
        <v>0.6776379477250849</v>
      </c>
      <c r="N169" s="7">
        <f t="shared" si="27"/>
        <v>6.776379477250849E-3</v>
      </c>
      <c r="AD169" s="8">
        <v>0.6776379477250849</v>
      </c>
      <c r="AE169" s="8">
        <f t="shared" si="28"/>
        <v>-0.6776379477250849</v>
      </c>
      <c r="AF169" s="8">
        <v>-0.73454207345420297</v>
      </c>
      <c r="AG169" s="7">
        <f t="shared" si="29"/>
        <v>-7.3454207345420297E-3</v>
      </c>
    </row>
    <row r="170" spans="1:33" x14ac:dyDescent="0.35">
      <c r="A170" s="9">
        <v>43861</v>
      </c>
      <c r="B170" s="38">
        <f>Расчеты!G183/360</f>
        <v>1.7666666666666667E-2</v>
      </c>
      <c r="C170" s="11">
        <v>46.045000000000002</v>
      </c>
      <c r="D170" s="3">
        <f t="shared" si="20"/>
        <v>-3.8726513569937282</v>
      </c>
      <c r="E170" s="3">
        <f t="shared" si="21"/>
        <v>-3.8903180236603947</v>
      </c>
      <c r="F170" s="34">
        <v>3076.65</v>
      </c>
      <c r="G170" s="3">
        <f t="shared" si="22"/>
        <v>-1.0271570942359531</v>
      </c>
      <c r="H170" s="3">
        <f t="shared" si="23"/>
        <v>-1.0448237609026199</v>
      </c>
      <c r="I170" s="3">
        <f t="shared" si="24"/>
        <v>15.134574325216919</v>
      </c>
      <c r="J170" s="3">
        <f t="shared" si="25"/>
        <v>1.091656691346695</v>
      </c>
      <c r="K170" s="3">
        <f t="shared" si="26"/>
        <v>4.0646967085881007</v>
      </c>
      <c r="M170" s="8">
        <v>0.68836045056319684</v>
      </c>
      <c r="N170" s="7">
        <f t="shared" si="27"/>
        <v>6.8836045056319684E-3</v>
      </c>
      <c r="AD170" s="8">
        <v>0.68836045056319684</v>
      </c>
      <c r="AE170" s="8">
        <f t="shared" si="28"/>
        <v>-0.68836045056319684</v>
      </c>
      <c r="AF170" s="8">
        <v>-0.70512820512820262</v>
      </c>
      <c r="AG170" s="7">
        <f t="shared" si="29"/>
        <v>-7.0512820512820262E-3</v>
      </c>
    </row>
    <row r="171" spans="1:33" x14ac:dyDescent="0.35">
      <c r="A171" s="9">
        <v>43864</v>
      </c>
      <c r="B171" s="38">
        <f>Расчеты!G184/360</f>
        <v>1.7611111111111112E-2</v>
      </c>
      <c r="C171" s="11">
        <v>44.454999999999998</v>
      </c>
      <c r="D171" s="3">
        <f t="shared" si="20"/>
        <v>-3.4531436638071566</v>
      </c>
      <c r="E171" s="3">
        <f t="shared" si="21"/>
        <v>-3.4707547749182677</v>
      </c>
      <c r="F171" s="34">
        <v>3070.84</v>
      </c>
      <c r="G171" s="3">
        <f t="shared" si="22"/>
        <v>-0.1888417597061709</v>
      </c>
      <c r="H171" s="3">
        <f t="shared" si="23"/>
        <v>-0.206452870817282</v>
      </c>
      <c r="I171" s="3">
        <f t="shared" si="24"/>
        <v>12.046138707617954</v>
      </c>
      <c r="J171" s="3">
        <f t="shared" si="25"/>
        <v>4.2622787868697332E-2</v>
      </c>
      <c r="K171" s="3">
        <f t="shared" si="26"/>
        <v>0.71654728718466576</v>
      </c>
      <c r="M171" s="8">
        <v>0.68978731557769457</v>
      </c>
      <c r="N171" s="7">
        <f t="shared" si="27"/>
        <v>6.8978731557769457E-3</v>
      </c>
      <c r="AD171" s="8">
        <v>0.68978731557769457</v>
      </c>
      <c r="AE171" s="8">
        <f t="shared" si="28"/>
        <v>-0.68978731557769457</v>
      </c>
      <c r="AF171" s="8">
        <v>-0.69565217391305278</v>
      </c>
      <c r="AG171" s="7">
        <f t="shared" si="29"/>
        <v>-6.9565217391305278E-3</v>
      </c>
    </row>
    <row r="172" spans="1:33" x14ac:dyDescent="0.35">
      <c r="A172" s="9">
        <v>43865</v>
      </c>
      <c r="B172" s="38">
        <f>Расчеты!G185/360</f>
        <v>1.7499999999999998E-2</v>
      </c>
      <c r="C172" s="11">
        <v>46.704999999999998</v>
      </c>
      <c r="D172" s="3">
        <f t="shared" si="20"/>
        <v>5.0612979417388404</v>
      </c>
      <c r="E172" s="3">
        <f t="shared" si="21"/>
        <v>5.0437979417388403</v>
      </c>
      <c r="F172" s="34">
        <v>3097.6</v>
      </c>
      <c r="G172" s="3">
        <f t="shared" si="22"/>
        <v>0.87142280288128315</v>
      </c>
      <c r="H172" s="3">
        <f t="shared" si="23"/>
        <v>0.85392280288128319</v>
      </c>
      <c r="I172" s="3">
        <f t="shared" si="24"/>
        <v>25.439897677088961</v>
      </c>
      <c r="J172" s="3">
        <f t="shared" si="25"/>
        <v>0.7291841532806268</v>
      </c>
      <c r="K172" s="3">
        <f t="shared" si="26"/>
        <v>4.3070140755764781</v>
      </c>
      <c r="M172" s="8">
        <v>0.69223573433114804</v>
      </c>
      <c r="N172" s="7">
        <f t="shared" si="27"/>
        <v>6.9223573433114804E-3</v>
      </c>
      <c r="AD172" s="8">
        <v>0.69223573433114804</v>
      </c>
      <c r="AE172" s="8">
        <f t="shared" si="28"/>
        <v>-0.69223573433114804</v>
      </c>
      <c r="AF172" s="8">
        <v>-0.69223573433114804</v>
      </c>
      <c r="AG172" s="7">
        <f t="shared" si="29"/>
        <v>-6.9223573433114804E-3</v>
      </c>
    </row>
    <row r="173" spans="1:33" x14ac:dyDescent="0.35">
      <c r="A173" s="9">
        <v>43866</v>
      </c>
      <c r="B173" s="38">
        <f>Расчеты!G186/360</f>
        <v>1.7499999999999998E-2</v>
      </c>
      <c r="C173" s="11">
        <v>46.875</v>
      </c>
      <c r="D173" s="3">
        <f t="shared" si="20"/>
        <v>0.36398672519002417</v>
      </c>
      <c r="E173" s="3">
        <f t="shared" si="21"/>
        <v>0.34648672519002416</v>
      </c>
      <c r="F173" s="34">
        <v>3114.25</v>
      </c>
      <c r="G173" s="3">
        <f t="shared" si="22"/>
        <v>0.5375129132231482</v>
      </c>
      <c r="H173" s="3">
        <f t="shared" si="23"/>
        <v>0.52001291322314824</v>
      </c>
      <c r="I173" s="3">
        <f t="shared" si="24"/>
        <v>0.12005305073290733</v>
      </c>
      <c r="J173" s="3">
        <f t="shared" si="25"/>
        <v>0.2704134299188255</v>
      </c>
      <c r="K173" s="3">
        <f t="shared" si="26"/>
        <v>0.18017757135921283</v>
      </c>
      <c r="M173" s="8">
        <v>0.69565217391305278</v>
      </c>
      <c r="N173" s="7">
        <f t="shared" si="27"/>
        <v>6.9565217391305278E-3</v>
      </c>
      <c r="AD173" s="8">
        <v>0.69565217391305278</v>
      </c>
      <c r="AE173" s="8">
        <f t="shared" si="28"/>
        <v>-0.69565217391305278</v>
      </c>
      <c r="AF173" s="8">
        <v>-0.68978731557769457</v>
      </c>
      <c r="AG173" s="7">
        <f t="shared" si="29"/>
        <v>-6.8978731557769457E-3</v>
      </c>
    </row>
    <row r="174" spans="1:33" x14ac:dyDescent="0.35">
      <c r="A174" s="9">
        <v>43867</v>
      </c>
      <c r="B174" s="38">
        <f>Расчеты!G187/360</f>
        <v>1.7499999999999998E-2</v>
      </c>
      <c r="C174" s="11">
        <v>46.965000000000003</v>
      </c>
      <c r="D174" s="3">
        <f t="shared" si="20"/>
        <v>0.19200000000001438</v>
      </c>
      <c r="E174" s="3">
        <f t="shared" si="21"/>
        <v>0.17450000000001439</v>
      </c>
      <c r="F174" s="34">
        <v>3096.68</v>
      </c>
      <c r="G174" s="3">
        <f t="shared" si="22"/>
        <v>-0.56418078188970044</v>
      </c>
      <c r="H174" s="3">
        <f t="shared" si="23"/>
        <v>-0.5816807818897004</v>
      </c>
      <c r="I174" s="3">
        <f t="shared" si="24"/>
        <v>3.0450250000005022E-2</v>
      </c>
      <c r="J174" s="3">
        <f t="shared" si="25"/>
        <v>0.33835253201981319</v>
      </c>
      <c r="K174" s="3">
        <f t="shared" si="26"/>
        <v>-0.1015032964397611</v>
      </c>
      <c r="M174" s="8">
        <v>0.73454207345420297</v>
      </c>
      <c r="N174" s="7">
        <f t="shared" si="27"/>
        <v>7.3454207345420297E-3</v>
      </c>
      <c r="AD174" s="8">
        <v>0.73454207345420297</v>
      </c>
      <c r="AE174" s="8">
        <f t="shared" si="28"/>
        <v>-0.73454207345420297</v>
      </c>
      <c r="AF174" s="8">
        <v>-0.68836045056319684</v>
      </c>
      <c r="AG174" s="7">
        <f t="shared" si="29"/>
        <v>-6.8836045056319684E-3</v>
      </c>
    </row>
    <row r="175" spans="1:33" x14ac:dyDescent="0.35">
      <c r="A175" s="9">
        <v>43868</v>
      </c>
      <c r="B175" s="38">
        <f>Расчеты!G188/360</f>
        <v>1.7555555555555557E-2</v>
      </c>
      <c r="C175" s="11">
        <v>46.125</v>
      </c>
      <c r="D175" s="3">
        <f t="shared" si="20"/>
        <v>-1.7885659533695364</v>
      </c>
      <c r="E175" s="3">
        <f t="shared" si="21"/>
        <v>-1.8061215089250919</v>
      </c>
      <c r="F175" s="34">
        <v>3087.63</v>
      </c>
      <c r="G175" s="3">
        <f t="shared" si="22"/>
        <v>-0.29224847255769903</v>
      </c>
      <c r="H175" s="3">
        <f t="shared" si="23"/>
        <v>-0.30980402811325458</v>
      </c>
      <c r="I175" s="3">
        <f t="shared" si="24"/>
        <v>3.2620749050018509</v>
      </c>
      <c r="J175" s="3">
        <f t="shared" si="25"/>
        <v>9.5978535835198234E-2</v>
      </c>
      <c r="K175" s="3">
        <f t="shared" si="26"/>
        <v>0.55954371872698294</v>
      </c>
      <c r="M175" s="8">
        <v>0.85607276618513417</v>
      </c>
      <c r="N175" s="7">
        <f t="shared" si="27"/>
        <v>8.5607276618513417E-3</v>
      </c>
      <c r="AD175" s="8">
        <v>0.85607276618513417</v>
      </c>
      <c r="AE175" s="8">
        <f t="shared" si="28"/>
        <v>-0.85607276618513417</v>
      </c>
      <c r="AF175" s="8">
        <v>-0.6776379477250849</v>
      </c>
      <c r="AG175" s="7">
        <f t="shared" si="29"/>
        <v>-6.776379477250849E-3</v>
      </c>
    </row>
    <row r="176" spans="1:33" x14ac:dyDescent="0.35">
      <c r="A176" s="9">
        <v>43871</v>
      </c>
      <c r="B176" s="38">
        <f>Расчеты!G189/360</f>
        <v>1.7222222222222222E-2</v>
      </c>
      <c r="C176" s="11">
        <v>46.22</v>
      </c>
      <c r="D176" s="3">
        <f t="shared" si="20"/>
        <v>0.20596205962060132</v>
      </c>
      <c r="E176" s="3">
        <f t="shared" si="21"/>
        <v>0.1887398373983791</v>
      </c>
      <c r="F176" s="34">
        <v>3062.41</v>
      </c>
      <c r="G176" s="3">
        <f t="shared" si="22"/>
        <v>-0.81680771335944646</v>
      </c>
      <c r="H176" s="3">
        <f t="shared" si="23"/>
        <v>-0.83402993558166871</v>
      </c>
      <c r="I176" s="3">
        <f t="shared" si="24"/>
        <v>3.5622726221166585E-2</v>
      </c>
      <c r="J176" s="3">
        <f t="shared" si="25"/>
        <v>0.69560593344636246</v>
      </c>
      <c r="K176" s="3">
        <f t="shared" si="26"/>
        <v>-0.15741467442706475</v>
      </c>
      <c r="M176" s="8">
        <v>0.8583690987124637</v>
      </c>
      <c r="N176" s="7">
        <f t="shared" si="27"/>
        <v>8.583690987124637E-3</v>
      </c>
      <c r="AD176" s="8">
        <v>0.8583690987124637</v>
      </c>
      <c r="AE176" s="8">
        <f t="shared" si="28"/>
        <v>-0.8583690987124637</v>
      </c>
      <c r="AF176" s="8">
        <v>-0.66175785254916075</v>
      </c>
      <c r="AG176" s="7">
        <f t="shared" si="29"/>
        <v>-6.6175785254916075E-3</v>
      </c>
    </row>
    <row r="177" spans="1:33" x14ac:dyDescent="0.35">
      <c r="A177" s="9">
        <v>43872</v>
      </c>
      <c r="B177" s="38">
        <f>Расчеты!G190/360</f>
        <v>1.7027777777777777E-2</v>
      </c>
      <c r="C177" s="11">
        <v>47.725000000000001</v>
      </c>
      <c r="D177" s="3">
        <f t="shared" si="20"/>
        <v>3.256166161834706</v>
      </c>
      <c r="E177" s="3">
        <f t="shared" si="21"/>
        <v>3.2391383840569281</v>
      </c>
      <c r="F177" s="34">
        <v>3097.58</v>
      </c>
      <c r="G177" s="3">
        <f t="shared" si="22"/>
        <v>1.1484419133950041</v>
      </c>
      <c r="H177" s="3">
        <f t="shared" si="23"/>
        <v>1.1314141356172263</v>
      </c>
      <c r="I177" s="3">
        <f t="shared" si="24"/>
        <v>10.492017471070927</v>
      </c>
      <c r="J177" s="3">
        <f t="shared" si="25"/>
        <v>1.2800979462744753</v>
      </c>
      <c r="K177" s="3">
        <f t="shared" si="26"/>
        <v>3.6648069549423483</v>
      </c>
      <c r="M177" s="8">
        <v>0.95594347464671436</v>
      </c>
      <c r="N177" s="7">
        <f t="shared" si="27"/>
        <v>9.5594347464671436E-3</v>
      </c>
      <c r="AD177" s="8">
        <v>0.95594347464671436</v>
      </c>
      <c r="AE177" s="8">
        <f t="shared" si="28"/>
        <v>-0.95594347464671436</v>
      </c>
      <c r="AF177" s="8">
        <v>-0.63120860927152744</v>
      </c>
      <c r="AG177" s="7">
        <f t="shared" si="29"/>
        <v>-6.3120860927152744E-3</v>
      </c>
    </row>
    <row r="178" spans="1:33" x14ac:dyDescent="0.35">
      <c r="A178" s="9">
        <v>43873</v>
      </c>
      <c r="B178" s="38">
        <f>Расчеты!G191/360</f>
        <v>1.6944444444444443E-2</v>
      </c>
      <c r="C178" s="11">
        <v>49</v>
      </c>
      <c r="D178" s="3">
        <f t="shared" si="20"/>
        <v>2.6715557883708607</v>
      </c>
      <c r="E178" s="3">
        <f t="shared" si="21"/>
        <v>2.6546113439264163</v>
      </c>
      <c r="F178" s="34">
        <v>3122.27</v>
      </c>
      <c r="G178" s="3">
        <f t="shared" si="22"/>
        <v>0.79707384474332343</v>
      </c>
      <c r="H178" s="3">
        <f t="shared" si="23"/>
        <v>0.78012940029887901</v>
      </c>
      <c r="I178" s="3">
        <f t="shared" si="24"/>
        <v>7.0469613873028143</v>
      </c>
      <c r="J178" s="3">
        <f t="shared" si="25"/>
        <v>0.60860188121068859</v>
      </c>
      <c r="K178" s="3">
        <f t="shared" si="26"/>
        <v>2.0709403557639163</v>
      </c>
      <c r="M178" s="8">
        <v>0.97854723372223784</v>
      </c>
      <c r="N178" s="7">
        <f t="shared" si="27"/>
        <v>9.7854723372223784E-3</v>
      </c>
      <c r="AD178" s="8">
        <v>0.97854723372223784</v>
      </c>
      <c r="AE178" s="8">
        <f t="shared" si="28"/>
        <v>-0.97854723372223784</v>
      </c>
      <c r="AF178" s="8">
        <v>-0.60907395898074368</v>
      </c>
      <c r="AG178" s="7">
        <f t="shared" si="29"/>
        <v>-6.0907395898074368E-3</v>
      </c>
    </row>
    <row r="179" spans="1:33" x14ac:dyDescent="0.35">
      <c r="A179" s="9">
        <v>43874</v>
      </c>
      <c r="B179" s="38">
        <f>Расчеты!G192/360</f>
        <v>1.6916666666666667E-2</v>
      </c>
      <c r="C179" s="11">
        <v>48.31</v>
      </c>
      <c r="D179" s="3">
        <f t="shared" si="20"/>
        <v>-1.4081632653061171</v>
      </c>
      <c r="E179" s="3">
        <f t="shared" si="21"/>
        <v>-1.4250799319727838</v>
      </c>
      <c r="F179" s="34">
        <v>3110.05</v>
      </c>
      <c r="G179" s="3">
        <f t="shared" si="22"/>
        <v>-0.39138191123765376</v>
      </c>
      <c r="H179" s="3">
        <f t="shared" si="23"/>
        <v>-0.40829857790432045</v>
      </c>
      <c r="I179" s="3">
        <f t="shared" si="24"/>
        <v>2.0308528125115544</v>
      </c>
      <c r="J179" s="3">
        <f t="shared" si="25"/>
        <v>0.16670772871869044</v>
      </c>
      <c r="K179" s="3">
        <f t="shared" si="26"/>
        <v>0.58185810962447337</v>
      </c>
      <c r="M179" s="8">
        <v>0.98868219071157615</v>
      </c>
      <c r="N179" s="7">
        <f t="shared" si="27"/>
        <v>9.8868219071157615E-3</v>
      </c>
      <c r="AD179" s="8">
        <v>0.98868219071157615</v>
      </c>
      <c r="AE179" s="8">
        <f t="shared" si="28"/>
        <v>-0.98868219071157615</v>
      </c>
      <c r="AF179" s="8">
        <v>-0.60543604276697138</v>
      </c>
      <c r="AG179" s="7">
        <f t="shared" si="29"/>
        <v>-6.0543604276697138E-3</v>
      </c>
    </row>
    <row r="180" spans="1:33" x14ac:dyDescent="0.35">
      <c r="A180" s="9">
        <v>43875</v>
      </c>
      <c r="B180" s="38">
        <f>Расчеты!G193/360</f>
        <v>1.6916666666666667E-2</v>
      </c>
      <c r="C180" s="11">
        <v>48.32</v>
      </c>
      <c r="D180" s="3">
        <f t="shared" si="20"/>
        <v>2.0699648105981794E-2</v>
      </c>
      <c r="E180" s="3">
        <f t="shared" si="21"/>
        <v>3.7829814393151272E-3</v>
      </c>
      <c r="F180" s="34">
        <v>3096.88</v>
      </c>
      <c r="G180" s="3">
        <f t="shared" si="22"/>
        <v>-0.42346586067748548</v>
      </c>
      <c r="H180" s="3">
        <f t="shared" si="23"/>
        <v>-0.44038252734415217</v>
      </c>
      <c r="I180" s="3">
        <f t="shared" si="24"/>
        <v>1.4310948570202751E-5</v>
      </c>
      <c r="J180" s="3">
        <f t="shared" si="25"/>
        <v>0.19393677039002294</v>
      </c>
      <c r="K180" s="3">
        <f t="shared" si="26"/>
        <v>-1.6659589271416141E-3</v>
      </c>
      <c r="M180" s="8">
        <v>1.0085632730732597</v>
      </c>
      <c r="N180" s="7">
        <f t="shared" si="27"/>
        <v>1.0085632730732597E-2</v>
      </c>
      <c r="AD180" s="8">
        <v>1.0085632730732597</v>
      </c>
      <c r="AE180" s="8">
        <f t="shared" si="28"/>
        <v>-1.0085632730732597</v>
      </c>
      <c r="AF180" s="8">
        <v>-0.60274740678440963</v>
      </c>
      <c r="AG180" s="7">
        <f t="shared" si="29"/>
        <v>-6.0274740678440963E-3</v>
      </c>
    </row>
    <row r="181" spans="1:33" x14ac:dyDescent="0.35">
      <c r="A181" s="9">
        <v>43878</v>
      </c>
      <c r="B181" s="38">
        <f>Расчеты!G194/360</f>
        <v>1.6916666666666667E-2</v>
      </c>
      <c r="C181" s="11">
        <v>48.625</v>
      </c>
      <c r="D181" s="3">
        <f t="shared" si="20"/>
        <v>0.63120860927152744</v>
      </c>
      <c r="E181" s="3">
        <f t="shared" si="21"/>
        <v>0.61429194260486075</v>
      </c>
      <c r="F181" s="34">
        <v>3110.06</v>
      </c>
      <c r="G181" s="3">
        <f t="shared" si="22"/>
        <v>0.42558962568779446</v>
      </c>
      <c r="H181" s="3">
        <f t="shared" si="23"/>
        <v>0.40867295902112777</v>
      </c>
      <c r="I181" s="3">
        <f t="shared" si="24"/>
        <v>0.37735459074925354</v>
      </c>
      <c r="J181" s="3">
        <f t="shared" si="25"/>
        <v>0.16701358743508438</v>
      </c>
      <c r="K181" s="3">
        <f t="shared" si="26"/>
        <v>0.2510445058871652</v>
      </c>
      <c r="M181" s="8">
        <v>1.0144614720483558</v>
      </c>
      <c r="N181" s="7">
        <f t="shared" si="27"/>
        <v>1.0144614720483558E-2</v>
      </c>
      <c r="AD181" s="8">
        <v>1.0144614720483558</v>
      </c>
      <c r="AE181" s="8">
        <f t="shared" si="28"/>
        <v>-1.0144614720483558</v>
      </c>
      <c r="AF181" s="8">
        <v>-0.59435364041603433</v>
      </c>
      <c r="AG181" s="7">
        <f t="shared" si="29"/>
        <v>-5.9435364041603433E-3</v>
      </c>
    </row>
    <row r="182" spans="1:33" x14ac:dyDescent="0.35">
      <c r="A182" s="9">
        <v>43879</v>
      </c>
      <c r="B182" s="38">
        <f>Расчеты!G195/360</f>
        <v>1.6916666666666667E-2</v>
      </c>
      <c r="C182" s="11">
        <v>46.695</v>
      </c>
      <c r="D182" s="3">
        <f t="shared" si="20"/>
        <v>-3.9691516709511543</v>
      </c>
      <c r="E182" s="3">
        <f t="shared" si="21"/>
        <v>-3.9860683376178208</v>
      </c>
      <c r="F182" s="34">
        <v>3074.05</v>
      </c>
      <c r="G182" s="3">
        <f t="shared" si="22"/>
        <v>-1.1578554754570591</v>
      </c>
      <c r="H182" s="3">
        <f t="shared" si="23"/>
        <v>-1.1747721421237258</v>
      </c>
      <c r="I182" s="3">
        <f t="shared" si="24"/>
        <v>15.888740792159297</v>
      </c>
      <c r="J182" s="3">
        <f t="shared" si="25"/>
        <v>1.3800895859099676</v>
      </c>
      <c r="K182" s="3">
        <f t="shared" si="26"/>
        <v>4.6827220396348457</v>
      </c>
      <c r="M182" s="8">
        <v>1.0401188707280795</v>
      </c>
      <c r="N182" s="7">
        <f t="shared" si="27"/>
        <v>1.0401188707280795E-2</v>
      </c>
      <c r="AD182" s="8">
        <v>1.0401188707280795</v>
      </c>
      <c r="AE182" s="8">
        <f t="shared" si="28"/>
        <v>-1.0401188707280795</v>
      </c>
      <c r="AF182" s="8">
        <v>-0.58577405857740406</v>
      </c>
      <c r="AG182" s="7">
        <f t="shared" si="29"/>
        <v>-5.8577405857740406E-3</v>
      </c>
    </row>
    <row r="183" spans="1:33" x14ac:dyDescent="0.35">
      <c r="A183" s="9">
        <v>43880</v>
      </c>
      <c r="B183" s="38">
        <f>Расчеты!G196/360</f>
        <v>1.6888888888888891E-2</v>
      </c>
      <c r="C183" s="11">
        <v>47.46</v>
      </c>
      <c r="D183" s="3">
        <f t="shared" si="20"/>
        <v>1.6382910375843274</v>
      </c>
      <c r="E183" s="3">
        <f t="shared" si="21"/>
        <v>1.6214021486954384</v>
      </c>
      <c r="F183" s="34">
        <v>3114.57</v>
      </c>
      <c r="G183" s="3">
        <f t="shared" si="22"/>
        <v>1.3181308046388285</v>
      </c>
      <c r="H183" s="3">
        <f t="shared" si="23"/>
        <v>1.3012419157499395</v>
      </c>
      <c r="I183" s="3">
        <f t="shared" si="24"/>
        <v>2.6289449277941848</v>
      </c>
      <c r="J183" s="3">
        <f t="shared" si="25"/>
        <v>1.6932305233045728</v>
      </c>
      <c r="K183" s="3">
        <f t="shared" si="26"/>
        <v>2.1098364381695207</v>
      </c>
      <c r="M183" s="8">
        <v>1.0425020048115519</v>
      </c>
      <c r="N183" s="7">
        <f t="shared" si="27"/>
        <v>1.0425020048115519E-2</v>
      </c>
      <c r="AD183" s="8">
        <v>1.0425020048115519</v>
      </c>
      <c r="AE183" s="8">
        <f t="shared" si="28"/>
        <v>-1.0425020048115519</v>
      </c>
      <c r="AF183" s="8">
        <v>-0.58302967204582057</v>
      </c>
      <c r="AG183" s="7">
        <f t="shared" si="29"/>
        <v>-5.8302967204582057E-3</v>
      </c>
    </row>
    <row r="184" spans="1:33" x14ac:dyDescent="0.35">
      <c r="A184" s="9">
        <v>43881</v>
      </c>
      <c r="B184" s="38">
        <f>Расчеты!G197/360</f>
        <v>1.6833333333333332E-2</v>
      </c>
      <c r="C184" s="11">
        <v>47.39</v>
      </c>
      <c r="D184" s="3">
        <f t="shared" si="20"/>
        <v>-0.14749262536872809</v>
      </c>
      <c r="E184" s="3">
        <f t="shared" si="21"/>
        <v>-0.16432595870206143</v>
      </c>
      <c r="F184" s="34">
        <v>3125.1</v>
      </c>
      <c r="G184" s="3">
        <f t="shared" si="22"/>
        <v>0.33808840385669559</v>
      </c>
      <c r="H184" s="3">
        <f t="shared" si="23"/>
        <v>0.32125507052336227</v>
      </c>
      <c r="I184" s="3">
        <f t="shared" si="24"/>
        <v>2.7003020703351598E-2</v>
      </c>
      <c r="J184" s="3">
        <f t="shared" si="25"/>
        <v>0.10320482033697047</v>
      </c>
      <c r="K184" s="3">
        <f t="shared" si="26"/>
        <v>-5.2790547451649864E-2</v>
      </c>
      <c r="M184" s="8">
        <v>1.0550769528603343</v>
      </c>
      <c r="N184" s="7">
        <f t="shared" si="27"/>
        <v>1.0550769528603343E-2</v>
      </c>
      <c r="AD184" s="8">
        <v>1.0550769528603343</v>
      </c>
      <c r="AE184" s="8">
        <f t="shared" si="28"/>
        <v>-1.0550769528603343</v>
      </c>
      <c r="AF184" s="8">
        <v>-0.57673509286413349</v>
      </c>
      <c r="AG184" s="7">
        <f t="shared" si="29"/>
        <v>-5.7673509286413349E-3</v>
      </c>
    </row>
    <row r="185" spans="1:33" x14ac:dyDescent="0.35">
      <c r="A185" s="9">
        <v>43882</v>
      </c>
      <c r="B185" s="38">
        <f>Расчеты!G198/360</f>
        <v>1.6833333333333332E-2</v>
      </c>
      <c r="C185" s="11">
        <v>46.755000000000003</v>
      </c>
      <c r="D185" s="3">
        <f t="shared" si="20"/>
        <v>-1.3399451361046588</v>
      </c>
      <c r="E185" s="3">
        <f t="shared" si="21"/>
        <v>-1.3567784694379921</v>
      </c>
      <c r="F185" s="34">
        <v>3106.03</v>
      </c>
      <c r="G185" s="3">
        <f t="shared" si="22"/>
        <v>-0.61022047294485571</v>
      </c>
      <c r="H185" s="3">
        <f t="shared" si="23"/>
        <v>-0.62705380627818907</v>
      </c>
      <c r="I185" s="3">
        <f t="shared" si="24"/>
        <v>1.8408478151305003</v>
      </c>
      <c r="J185" s="3">
        <f t="shared" si="25"/>
        <v>0.3931964759679647</v>
      </c>
      <c r="K185" s="3">
        <f t="shared" si="26"/>
        <v>0.85077310353738855</v>
      </c>
      <c r="M185" s="8">
        <v>1.0942599347283366</v>
      </c>
      <c r="N185" s="7">
        <f t="shared" si="27"/>
        <v>1.0942599347283366E-2</v>
      </c>
      <c r="AD185" s="8">
        <v>1.0942599347283366</v>
      </c>
      <c r="AE185" s="8">
        <f t="shared" si="28"/>
        <v>-1.0942599347283366</v>
      </c>
      <c r="AF185" s="8">
        <v>-0.57422969187677086</v>
      </c>
      <c r="AG185" s="7">
        <f t="shared" si="29"/>
        <v>-5.7422969187677086E-3</v>
      </c>
    </row>
    <row r="186" spans="1:33" x14ac:dyDescent="0.35">
      <c r="A186" s="9">
        <v>43886</v>
      </c>
      <c r="B186" s="38">
        <f>Расчеты!G199/360</f>
        <v>1.6888888888888891E-2</v>
      </c>
      <c r="C186" s="11">
        <v>44.805</v>
      </c>
      <c r="D186" s="3">
        <f t="shared" si="20"/>
        <v>-4.1706769329483588</v>
      </c>
      <c r="E186" s="3">
        <f t="shared" si="21"/>
        <v>-4.1875658218372473</v>
      </c>
      <c r="F186" s="34">
        <v>3002.68</v>
      </c>
      <c r="G186" s="3">
        <f t="shared" si="22"/>
        <v>-3.3273986407085676</v>
      </c>
      <c r="H186" s="3">
        <f t="shared" si="23"/>
        <v>-3.3442875295974566</v>
      </c>
      <c r="I186" s="3">
        <f t="shared" si="24"/>
        <v>17.53570751221946</v>
      </c>
      <c r="J186" s="3">
        <f t="shared" si="25"/>
        <v>11.184259080621059</v>
      </c>
      <c r="K186" s="3">
        <f t="shared" si="26"/>
        <v>14.00442415733883</v>
      </c>
      <c r="M186" s="8">
        <v>1.0946216187769586</v>
      </c>
      <c r="N186" s="7">
        <f t="shared" si="27"/>
        <v>1.0946216187769586E-2</v>
      </c>
      <c r="AD186" s="8">
        <v>1.0946216187769586</v>
      </c>
      <c r="AE186" s="8">
        <f t="shared" si="28"/>
        <v>-1.0946216187769586</v>
      </c>
      <c r="AF186" s="8">
        <v>-0.55762081784387352</v>
      </c>
      <c r="AG186" s="7">
        <f t="shared" si="29"/>
        <v>-5.5762081784387352E-3</v>
      </c>
    </row>
    <row r="187" spans="1:33" x14ac:dyDescent="0.35">
      <c r="A187" s="9">
        <v>43887</v>
      </c>
      <c r="B187" s="38">
        <f>Расчеты!G200/360</f>
        <v>1.6944444444444443E-2</v>
      </c>
      <c r="C187" s="11">
        <v>44</v>
      </c>
      <c r="D187" s="3">
        <f t="shared" si="20"/>
        <v>-1.7966744782948352</v>
      </c>
      <c r="E187" s="3">
        <f t="shared" si="21"/>
        <v>-1.8136189227392796</v>
      </c>
      <c r="F187" s="34">
        <v>3017.42</v>
      </c>
      <c r="G187" s="3">
        <f t="shared" si="22"/>
        <v>0.49089480064476998</v>
      </c>
      <c r="H187" s="3">
        <f t="shared" si="23"/>
        <v>0.47395035620032555</v>
      </c>
      <c r="I187" s="3">
        <f t="shared" si="24"/>
        <v>3.289213596917985</v>
      </c>
      <c r="J187" s="3">
        <f t="shared" si="25"/>
        <v>0.22462894014241547</v>
      </c>
      <c r="K187" s="3">
        <f t="shared" si="26"/>
        <v>-0.85956533444393224</v>
      </c>
      <c r="M187" s="8">
        <v>1.0972222222222383</v>
      </c>
      <c r="N187" s="7">
        <f t="shared" si="27"/>
        <v>1.0972222222222383E-2</v>
      </c>
      <c r="AD187" s="8">
        <v>1.0972222222222383</v>
      </c>
      <c r="AE187" s="8">
        <f t="shared" si="28"/>
        <v>-1.0972222222222383</v>
      </c>
      <c r="AF187" s="8">
        <v>-0.55741360089185399</v>
      </c>
      <c r="AG187" s="7">
        <f t="shared" si="29"/>
        <v>-5.5741360089185399E-3</v>
      </c>
    </row>
    <row r="188" spans="1:33" x14ac:dyDescent="0.35">
      <c r="A188" s="9">
        <v>43888</v>
      </c>
      <c r="B188" s="38">
        <f>Расчеты!G201/360</f>
        <v>1.7027777777777777E-2</v>
      </c>
      <c r="C188" s="11">
        <v>39.6</v>
      </c>
      <c r="D188" s="3">
        <f t="shared" si="20"/>
        <v>-9.9999999999999982</v>
      </c>
      <c r="E188" s="3">
        <f t="shared" si="21"/>
        <v>-10.017027777777775</v>
      </c>
      <c r="F188" s="34">
        <v>2915.84</v>
      </c>
      <c r="G188" s="3">
        <f t="shared" si="22"/>
        <v>-3.366452134605058</v>
      </c>
      <c r="H188" s="3">
        <f t="shared" si="23"/>
        <v>-3.3834799123828359</v>
      </c>
      <c r="I188" s="3">
        <f t="shared" si="24"/>
        <v>100.34084550077155</v>
      </c>
      <c r="J188" s="3">
        <f t="shared" si="25"/>
        <v>11.447936317498163</v>
      </c>
      <c r="K188" s="3">
        <f t="shared" si="26"/>
        <v>33.892412267891977</v>
      </c>
      <c r="M188" s="8">
        <v>1.1333914559720881</v>
      </c>
      <c r="N188" s="7">
        <f t="shared" si="27"/>
        <v>1.1333914559720881E-2</v>
      </c>
      <c r="AD188" s="8">
        <v>1.1333914559720881</v>
      </c>
      <c r="AE188" s="8">
        <f t="shared" si="28"/>
        <v>-1.1333914559720881</v>
      </c>
      <c r="AF188" s="8">
        <v>-0.55555555555555358</v>
      </c>
      <c r="AG188" s="7">
        <f t="shared" si="29"/>
        <v>-5.5555555555555358E-3</v>
      </c>
    </row>
    <row r="189" spans="1:33" x14ac:dyDescent="0.35">
      <c r="A189" s="9">
        <v>43889</v>
      </c>
      <c r="B189" s="38">
        <f>Расчеты!G202/360</f>
        <v>1.7194444444444446E-2</v>
      </c>
      <c r="C189" s="11">
        <v>38.435000000000002</v>
      </c>
      <c r="D189" s="3">
        <f t="shared" si="20"/>
        <v>-2.9419191919191845</v>
      </c>
      <c r="E189" s="3">
        <f t="shared" si="21"/>
        <v>-2.9591136363636288</v>
      </c>
      <c r="F189" s="34">
        <v>2785.08</v>
      </c>
      <c r="G189" s="3">
        <f t="shared" si="22"/>
        <v>-4.4844710272168626</v>
      </c>
      <c r="H189" s="3">
        <f t="shared" si="23"/>
        <v>-4.5016654716613074</v>
      </c>
      <c r="I189" s="3">
        <f t="shared" si="24"/>
        <v>8.7563535129131775</v>
      </c>
      <c r="J189" s="3">
        <f t="shared" si="25"/>
        <v>20.26499201874762</v>
      </c>
      <c r="K189" s="3">
        <f t="shared" si="26"/>
        <v>13.320939683540281</v>
      </c>
      <c r="M189" s="8">
        <v>1.1393606920561128</v>
      </c>
      <c r="N189" s="7">
        <f t="shared" si="27"/>
        <v>1.1393606920561128E-2</v>
      </c>
      <c r="AD189" s="8">
        <v>1.1393606920561128</v>
      </c>
      <c r="AE189" s="8">
        <f t="shared" si="28"/>
        <v>-1.1393606920561128</v>
      </c>
      <c r="AF189" s="8">
        <v>-0.54921841994084453</v>
      </c>
      <c r="AG189" s="7">
        <f t="shared" si="29"/>
        <v>-5.4921841994084453E-3</v>
      </c>
    </row>
    <row r="190" spans="1:33" x14ac:dyDescent="0.35">
      <c r="A190" s="9">
        <v>43892</v>
      </c>
      <c r="B190" s="38">
        <f>Расчеты!G203/360</f>
        <v>1.7166666666666667E-2</v>
      </c>
      <c r="C190" s="11">
        <v>38.814999999999998</v>
      </c>
      <c r="D190" s="3">
        <f t="shared" si="20"/>
        <v>0.98868219071157615</v>
      </c>
      <c r="E190" s="3">
        <f t="shared" si="21"/>
        <v>0.97151552404490948</v>
      </c>
      <c r="F190" s="34">
        <v>2765.77</v>
      </c>
      <c r="G190" s="3">
        <f t="shared" si="22"/>
        <v>-0.69333735476180269</v>
      </c>
      <c r="H190" s="3">
        <f t="shared" si="23"/>
        <v>-0.71050402142846936</v>
      </c>
      <c r="I190" s="3">
        <f t="shared" si="24"/>
        <v>0.9438424134602551</v>
      </c>
      <c r="J190" s="3">
        <f t="shared" si="25"/>
        <v>0.50481596446602683</v>
      </c>
      <c r="K190" s="3">
        <f t="shared" si="26"/>
        <v>-0.69026568671409505</v>
      </c>
      <c r="M190" s="8">
        <v>1.1947267234276415</v>
      </c>
      <c r="N190" s="7">
        <f t="shared" si="27"/>
        <v>1.1947267234276415E-2</v>
      </c>
      <c r="AD190" s="8">
        <v>1.1947267234276415</v>
      </c>
      <c r="AE190" s="8">
        <f t="shared" si="28"/>
        <v>-1.1947267234276415</v>
      </c>
      <c r="AF190" s="8">
        <v>-0.53020261314145056</v>
      </c>
      <c r="AG190" s="7">
        <f t="shared" si="29"/>
        <v>-5.3020261314145056E-3</v>
      </c>
    </row>
    <row r="191" spans="1:33" x14ac:dyDescent="0.35">
      <c r="A191" s="9">
        <v>43893</v>
      </c>
      <c r="B191" s="38">
        <f>Расчеты!G204/360</f>
        <v>1.7194444444444446E-2</v>
      </c>
      <c r="C191" s="11">
        <v>39.049999999999997</v>
      </c>
      <c r="D191" s="3">
        <f t="shared" si="20"/>
        <v>0.60543604276697138</v>
      </c>
      <c r="E191" s="3">
        <f t="shared" si="21"/>
        <v>0.58824159832252698</v>
      </c>
      <c r="F191" s="34">
        <v>2821.37</v>
      </c>
      <c r="G191" s="3">
        <f t="shared" si="22"/>
        <v>2.010290081966315</v>
      </c>
      <c r="H191" s="3">
        <f t="shared" si="23"/>
        <v>1.9930956375218705</v>
      </c>
      <c r="I191" s="3">
        <f t="shared" si="24"/>
        <v>0.34602817799704116</v>
      </c>
      <c r="J191" s="3">
        <f t="shared" si="25"/>
        <v>3.9724302203087114</v>
      </c>
      <c r="K191" s="3">
        <f t="shared" si="26"/>
        <v>1.172421763425521</v>
      </c>
      <c r="M191" s="8">
        <v>1.2360446570973016</v>
      </c>
      <c r="N191" s="7">
        <f t="shared" si="27"/>
        <v>1.2360446570973016E-2</v>
      </c>
      <c r="AD191" s="8">
        <v>1.2360446570973016</v>
      </c>
      <c r="AE191" s="8">
        <f t="shared" si="28"/>
        <v>-1.2360446570973016</v>
      </c>
      <c r="AF191" s="8">
        <v>-0.51851851851851816</v>
      </c>
      <c r="AG191" s="7">
        <f t="shared" si="29"/>
        <v>-5.1851851851851816E-3</v>
      </c>
    </row>
    <row r="192" spans="1:33" x14ac:dyDescent="0.35">
      <c r="A192" s="9">
        <v>43894</v>
      </c>
      <c r="B192" s="38">
        <f>Расчеты!G205/360</f>
        <v>1.7277777777777777E-2</v>
      </c>
      <c r="C192" s="11">
        <v>38.454999999999998</v>
      </c>
      <c r="D192" s="3">
        <f t="shared" si="20"/>
        <v>-1.5236875800256011</v>
      </c>
      <c r="E192" s="3">
        <f t="shared" si="21"/>
        <v>-1.5409653578033788</v>
      </c>
      <c r="F192" s="34">
        <v>2828.01</v>
      </c>
      <c r="G192" s="3">
        <f t="shared" si="22"/>
        <v>0.23534665782936059</v>
      </c>
      <c r="H192" s="3">
        <f t="shared" si="23"/>
        <v>0.21806888005158281</v>
      </c>
      <c r="I192" s="3">
        <f t="shared" si="24"/>
        <v>2.3745742339500953</v>
      </c>
      <c r="J192" s="3">
        <f t="shared" si="25"/>
        <v>4.7554036446951616E-2</v>
      </c>
      <c r="K192" s="3">
        <f t="shared" si="26"/>
        <v>-0.33603658977446943</v>
      </c>
      <c r="M192" s="8">
        <v>1.3284341435839453</v>
      </c>
      <c r="N192" s="7">
        <f t="shared" si="27"/>
        <v>1.3284341435839453E-2</v>
      </c>
      <c r="AD192" s="8">
        <v>1.3284341435839453</v>
      </c>
      <c r="AE192" s="8">
        <f t="shared" si="28"/>
        <v>-1.3284341435839453</v>
      </c>
      <c r="AF192" s="8">
        <v>-0.51689860834991386</v>
      </c>
      <c r="AG192" s="7">
        <f t="shared" si="29"/>
        <v>-5.1689860834991386E-3</v>
      </c>
    </row>
    <row r="193" spans="1:33" x14ac:dyDescent="0.35">
      <c r="A193" s="9">
        <v>43895</v>
      </c>
      <c r="B193" s="38">
        <f>Расчеты!G206/360</f>
        <v>1.7277777777777777E-2</v>
      </c>
      <c r="C193" s="11">
        <v>37.76</v>
      </c>
      <c r="D193" s="3">
        <f t="shared" si="20"/>
        <v>-1.807307242231182</v>
      </c>
      <c r="E193" s="3">
        <f t="shared" si="21"/>
        <v>-1.8245850200089597</v>
      </c>
      <c r="F193" s="34">
        <v>2816.7</v>
      </c>
      <c r="G193" s="3">
        <f t="shared" si="22"/>
        <v>-0.39992786447008433</v>
      </c>
      <c r="H193" s="3">
        <f t="shared" si="23"/>
        <v>-0.41720564224786211</v>
      </c>
      <c r="I193" s="3">
        <f t="shared" si="24"/>
        <v>3.3291104952410961</v>
      </c>
      <c r="J193" s="3">
        <f t="shared" si="25"/>
        <v>0.1740605479234511</v>
      </c>
      <c r="K193" s="3">
        <f t="shared" si="26"/>
        <v>0.76122716510866639</v>
      </c>
      <c r="M193" s="8">
        <v>1.3296578563321004</v>
      </c>
      <c r="N193" s="7">
        <f t="shared" si="27"/>
        <v>1.3296578563321004E-2</v>
      </c>
      <c r="AD193" s="8">
        <v>1.3296578563321004</v>
      </c>
      <c r="AE193" s="8">
        <f t="shared" si="28"/>
        <v>-1.3296578563321004</v>
      </c>
      <c r="AF193" s="8">
        <v>-0.51424050632911111</v>
      </c>
      <c r="AG193" s="7">
        <f t="shared" si="29"/>
        <v>-5.1424050632911111E-3</v>
      </c>
    </row>
    <row r="194" spans="1:33" x14ac:dyDescent="0.35">
      <c r="A194" s="9">
        <v>43896</v>
      </c>
      <c r="B194" s="38">
        <f>Расчеты!G207/360</f>
        <v>1.7333333333333333E-2</v>
      </c>
      <c r="C194" s="11">
        <v>35.68</v>
      </c>
      <c r="D194" s="3">
        <f t="shared" si="20"/>
        <v>-5.5084745762711833</v>
      </c>
      <c r="E194" s="3">
        <f t="shared" si="21"/>
        <v>-5.5258079096045165</v>
      </c>
      <c r="F194" s="34">
        <v>2719.51</v>
      </c>
      <c r="G194" s="3">
        <f t="shared" si="22"/>
        <v>-3.4504917101572663</v>
      </c>
      <c r="H194" s="3">
        <f t="shared" si="23"/>
        <v>-3.4678250434905995</v>
      </c>
      <c r="I194" s="3">
        <f t="shared" si="24"/>
        <v>30.534553053847837</v>
      </c>
      <c r="J194" s="3">
        <f t="shared" si="25"/>
        <v>12.025810532260579</v>
      </c>
      <c r="K194" s="3">
        <f t="shared" si="26"/>
        <v>19.16253505444498</v>
      </c>
      <c r="M194" s="8">
        <v>1.3496366362902412</v>
      </c>
      <c r="N194" s="7">
        <f t="shared" si="27"/>
        <v>1.3496366362902412E-2</v>
      </c>
      <c r="AD194" s="8">
        <v>1.3496366362902412</v>
      </c>
      <c r="AE194" s="8">
        <f t="shared" si="28"/>
        <v>-1.3496366362902412</v>
      </c>
      <c r="AF194" s="8">
        <v>-0.50629447181171905</v>
      </c>
      <c r="AG194" s="7">
        <f t="shared" si="29"/>
        <v>-5.0629447181171905E-3</v>
      </c>
    </row>
    <row r="195" spans="1:33" x14ac:dyDescent="0.35">
      <c r="A195" s="9">
        <v>43900</v>
      </c>
      <c r="B195" s="38">
        <f>Расчеты!G208/360</f>
        <v>1.7583333333333333E-2</v>
      </c>
      <c r="C195" s="11">
        <v>30.835000000000001</v>
      </c>
      <c r="D195" s="3">
        <f t="shared" si="20"/>
        <v>-13.579035874439461</v>
      </c>
      <c r="E195" s="3">
        <f t="shared" si="21"/>
        <v>-13.596619207772793</v>
      </c>
      <c r="F195" s="34">
        <v>2498.94</v>
      </c>
      <c r="G195" s="3">
        <f t="shared" si="22"/>
        <v>-8.1106522866251645</v>
      </c>
      <c r="H195" s="3">
        <f t="shared" si="23"/>
        <v>-8.1282356199584971</v>
      </c>
      <c r="I195" s="3">
        <f t="shared" si="24"/>
        <v>184.86805388117605</v>
      </c>
      <c r="J195" s="3">
        <f t="shared" si="25"/>
        <v>66.068214293562093</v>
      </c>
      <c r="K195" s="3">
        <f t="shared" si="26"/>
        <v>110.5165245556307</v>
      </c>
      <c r="M195" s="8">
        <v>1.3841486537732317</v>
      </c>
      <c r="N195" s="7">
        <f t="shared" si="27"/>
        <v>1.3841486537732317E-2</v>
      </c>
      <c r="AD195" s="8">
        <v>1.3841486537732317</v>
      </c>
      <c r="AE195" s="8">
        <f t="shared" si="28"/>
        <v>-1.3841486537732317</v>
      </c>
      <c r="AF195" s="8">
        <v>-0.49211173831236188</v>
      </c>
      <c r="AG195" s="7">
        <f t="shared" si="29"/>
        <v>-4.9211173831236188E-3</v>
      </c>
    </row>
    <row r="196" spans="1:33" x14ac:dyDescent="0.35">
      <c r="A196" s="9">
        <v>43901</v>
      </c>
      <c r="B196" s="38">
        <f>Расчеты!G209/360</f>
        <v>1.6833333333333332E-2</v>
      </c>
      <c r="C196" s="11">
        <v>31.245000000000001</v>
      </c>
      <c r="D196" s="3">
        <f t="shared" si="20"/>
        <v>1.3296578563321004</v>
      </c>
      <c r="E196" s="3">
        <f t="shared" si="21"/>
        <v>1.3128245229987672</v>
      </c>
      <c r="F196" s="34">
        <v>2492.88</v>
      </c>
      <c r="G196" s="3">
        <f t="shared" si="22"/>
        <v>-0.24250282119618882</v>
      </c>
      <c r="H196" s="3">
        <f t="shared" si="23"/>
        <v>-0.25933615452952213</v>
      </c>
      <c r="I196" s="3">
        <f t="shared" si="24"/>
        <v>1.7235082281869405</v>
      </c>
      <c r="J196" s="3">
        <f t="shared" si="25"/>
        <v>6.725524104616018E-2</v>
      </c>
      <c r="K196" s="3">
        <f t="shared" si="26"/>
        <v>-0.34046286336655446</v>
      </c>
      <c r="M196" s="8">
        <v>1.4081790123456672</v>
      </c>
      <c r="N196" s="7">
        <f t="shared" si="27"/>
        <v>1.4081790123456672E-2</v>
      </c>
      <c r="AD196" s="8">
        <v>1.4081790123456672</v>
      </c>
      <c r="AE196" s="8">
        <f t="shared" si="28"/>
        <v>-1.4081790123456672</v>
      </c>
      <c r="AF196" s="8">
        <v>-0.4761904761904856</v>
      </c>
      <c r="AG196" s="7">
        <f t="shared" si="29"/>
        <v>-4.761904761904856E-3</v>
      </c>
    </row>
    <row r="197" spans="1:33" x14ac:dyDescent="0.35">
      <c r="A197" s="9">
        <v>43902</v>
      </c>
      <c r="B197" s="38">
        <f>Расчеты!G210/360</f>
        <v>1.6666666666666666E-2</v>
      </c>
      <c r="C197" s="11">
        <v>29.4</v>
      </c>
      <c r="D197" s="3">
        <f t="shared" si="20"/>
        <v>-5.9049447911665887</v>
      </c>
      <c r="E197" s="3">
        <f t="shared" si="21"/>
        <v>-5.9216114578332553</v>
      </c>
      <c r="F197" s="34">
        <v>2286.4</v>
      </c>
      <c r="G197" s="3">
        <f t="shared" si="22"/>
        <v>-8.2827893841661009</v>
      </c>
      <c r="H197" s="3">
        <f t="shared" si="23"/>
        <v>-8.2994560508327684</v>
      </c>
      <c r="I197" s="3">
        <f t="shared" si="24"/>
        <v>35.065482257542094</v>
      </c>
      <c r="J197" s="3">
        <f t="shared" si="25"/>
        <v>68.880970739704651</v>
      </c>
      <c r="K197" s="3">
        <f t="shared" si="26"/>
        <v>49.146154044394862</v>
      </c>
      <c r="M197" s="8">
        <v>1.5240998285387608</v>
      </c>
      <c r="N197" s="7">
        <f t="shared" si="27"/>
        <v>1.5240998285387608E-2</v>
      </c>
      <c r="AD197" s="8">
        <v>1.5240998285387608</v>
      </c>
      <c r="AE197" s="8">
        <f t="shared" si="28"/>
        <v>-1.5240998285387608</v>
      </c>
      <c r="AF197" s="8">
        <v>-0.45688178183895811</v>
      </c>
      <c r="AG197" s="7">
        <f t="shared" si="29"/>
        <v>-4.5688178183895811E-3</v>
      </c>
    </row>
    <row r="198" spans="1:33" x14ac:dyDescent="0.35">
      <c r="A198" s="9">
        <v>43903</v>
      </c>
      <c r="B198" s="38">
        <f>Расчеты!G211/360</f>
        <v>1.6055555555555556E-2</v>
      </c>
      <c r="C198" s="11">
        <v>27.5</v>
      </c>
      <c r="D198" s="3">
        <f t="shared" ref="D198:D254" si="30">(C198/C197-1)*100</f>
        <v>-6.4625850340136015</v>
      </c>
      <c r="E198" s="3">
        <f t="shared" ref="E198:E254" si="31">D198-B198</f>
        <v>-6.4786405895691574</v>
      </c>
      <c r="F198" s="34">
        <v>2316.38</v>
      </c>
      <c r="G198" s="3">
        <f t="shared" ref="G198:G254" si="32">(F198/F197-1)*100</f>
        <v>1.3112316305108562</v>
      </c>
      <c r="H198" s="3">
        <f t="shared" ref="H198:H254" si="33">G198-B198</f>
        <v>1.2951760749553007</v>
      </c>
      <c r="I198" s="3">
        <f t="shared" ref="I198:I254" si="34">E198^2</f>
        <v>41.972783888812998</v>
      </c>
      <c r="J198" s="3">
        <f t="shared" ref="J198:J254" si="35">H198^2</f>
        <v>1.6774810651366188</v>
      </c>
      <c r="K198" s="3">
        <f t="shared" ref="K198:K254" si="36">E198*H198</f>
        <v>-8.3909802898442774</v>
      </c>
      <c r="M198" s="8">
        <v>1.5263908701854678</v>
      </c>
      <c r="N198" s="7">
        <f t="shared" ref="N198:N254" si="37">M198*$N$4</f>
        <v>1.5263908701854678E-2</v>
      </c>
      <c r="AD198" s="8">
        <v>1.5263908701854678</v>
      </c>
      <c r="AE198" s="8">
        <f t="shared" ref="AE198:AE254" si="38">IF(AD198&lt;0,AD198,AD198*(-1))</f>
        <v>-1.5263908701854678</v>
      </c>
      <c r="AF198" s="8">
        <v>-0.45471303920364692</v>
      </c>
      <c r="AG198" s="7">
        <f t="shared" ref="AG198:AG254" si="39">AF198*$AG$4</f>
        <v>-4.5471303920364692E-3</v>
      </c>
    </row>
    <row r="199" spans="1:33" x14ac:dyDescent="0.35">
      <c r="A199" s="9">
        <v>43906</v>
      </c>
      <c r="B199" s="38">
        <f>Расчеты!G212/360</f>
        <v>1.6083333333333335E-2</v>
      </c>
      <c r="C199" s="11">
        <v>26.045000000000002</v>
      </c>
      <c r="D199" s="3">
        <f t="shared" si="30"/>
        <v>-5.2909090909090795</v>
      </c>
      <c r="E199" s="3">
        <f t="shared" si="31"/>
        <v>-5.3069924242424129</v>
      </c>
      <c r="F199" s="34">
        <v>2266.9</v>
      </c>
      <c r="G199" s="3">
        <f t="shared" si="32"/>
        <v>-2.1360916602629954</v>
      </c>
      <c r="H199" s="3">
        <f t="shared" si="33"/>
        <v>-2.1521749935963288</v>
      </c>
      <c r="I199" s="3">
        <f t="shared" si="34"/>
        <v>28.164168590966362</v>
      </c>
      <c r="J199" s="3">
        <f t="shared" si="35"/>
        <v>4.6318572030613581</v>
      </c>
      <c r="K199" s="3">
        <f t="shared" si="36"/>
        <v>11.42157638665968</v>
      </c>
      <c r="M199" s="8">
        <v>1.6031457955232975</v>
      </c>
      <c r="N199" s="7">
        <f t="shared" si="37"/>
        <v>1.6031457955232975E-2</v>
      </c>
      <c r="AD199" s="8">
        <v>1.6031457955232975</v>
      </c>
      <c r="AE199" s="8">
        <f t="shared" si="38"/>
        <v>-1.6031457955232975</v>
      </c>
      <c r="AF199" s="8">
        <v>-0.44776119402984982</v>
      </c>
      <c r="AG199" s="7">
        <f t="shared" si="39"/>
        <v>-4.4776119402984982E-3</v>
      </c>
    </row>
    <row r="200" spans="1:33" x14ac:dyDescent="0.35">
      <c r="A200" s="9">
        <v>43907</v>
      </c>
      <c r="B200" s="38">
        <f>Расчеты!G213/360</f>
        <v>1.5972222222222221E-2</v>
      </c>
      <c r="C200" s="11">
        <v>26.33</v>
      </c>
      <c r="D200" s="3">
        <f t="shared" si="30"/>
        <v>1.0942599347283366</v>
      </c>
      <c r="E200" s="3">
        <f t="shared" si="31"/>
        <v>1.0782877125061143</v>
      </c>
      <c r="F200" s="34">
        <v>2224.7399999999998</v>
      </c>
      <c r="G200" s="3">
        <f t="shared" si="32"/>
        <v>-1.8598085491199567</v>
      </c>
      <c r="H200" s="3">
        <f t="shared" si="33"/>
        <v>-1.875780771342179</v>
      </c>
      <c r="I200" s="3">
        <f t="shared" si="34"/>
        <v>1.1627043909416686</v>
      </c>
      <c r="J200" s="3">
        <f t="shared" si="35"/>
        <v>3.5185535021370602</v>
      </c>
      <c r="K200" s="3">
        <f t="shared" si="36"/>
        <v>-2.022631357093513</v>
      </c>
      <c r="M200" s="8">
        <v>1.6058394160584077</v>
      </c>
      <c r="N200" s="7">
        <f t="shared" si="37"/>
        <v>1.6058394160584077E-2</v>
      </c>
      <c r="AD200" s="8">
        <v>1.6058394160584077</v>
      </c>
      <c r="AE200" s="8">
        <f t="shared" si="38"/>
        <v>-1.6058394160584077</v>
      </c>
      <c r="AF200" s="8">
        <v>-0.44333076329993171</v>
      </c>
      <c r="AG200" s="7">
        <f t="shared" si="39"/>
        <v>-4.4333076329993171E-3</v>
      </c>
    </row>
    <row r="201" spans="1:33" x14ac:dyDescent="0.35">
      <c r="A201" s="9">
        <v>43908</v>
      </c>
      <c r="B201" s="38">
        <f>Расчеты!G214/360</f>
        <v>1.6111111111111111E-2</v>
      </c>
      <c r="C201" s="11">
        <v>24.835000000000001</v>
      </c>
      <c r="D201" s="3">
        <f t="shared" si="30"/>
        <v>-5.677933915685518</v>
      </c>
      <c r="E201" s="3">
        <f t="shared" si="31"/>
        <v>-5.6940450267966289</v>
      </c>
      <c r="F201" s="34">
        <v>2112.64</v>
      </c>
      <c r="G201" s="3">
        <f t="shared" si="32"/>
        <v>-5.0387910497406434</v>
      </c>
      <c r="H201" s="3">
        <f t="shared" si="33"/>
        <v>-5.0549021608517544</v>
      </c>
      <c r="I201" s="3">
        <f t="shared" si="34"/>
        <v>32.422148767187423</v>
      </c>
      <c r="J201" s="3">
        <f t="shared" si="35"/>
        <v>25.552035855783735</v>
      </c>
      <c r="K201" s="3">
        <f t="shared" si="36"/>
        <v>28.782840509941465</v>
      </c>
      <c r="M201" s="8">
        <v>1.6148148148148245</v>
      </c>
      <c r="N201" s="7">
        <f t="shared" si="37"/>
        <v>1.6148148148148245E-2</v>
      </c>
      <c r="AD201" s="8">
        <v>1.6148148148148245</v>
      </c>
      <c r="AE201" s="8">
        <f t="shared" si="38"/>
        <v>-1.6148148148148245</v>
      </c>
      <c r="AF201" s="8">
        <v>-0.42926829268292721</v>
      </c>
      <c r="AG201" s="7">
        <f t="shared" si="39"/>
        <v>-4.2926829268292721E-3</v>
      </c>
    </row>
    <row r="202" spans="1:33" x14ac:dyDescent="0.35">
      <c r="A202" s="9">
        <v>43909</v>
      </c>
      <c r="B202" s="38">
        <f>Расчеты!G215/360</f>
        <v>1.6555555555555556E-2</v>
      </c>
      <c r="C202" s="11">
        <v>27</v>
      </c>
      <c r="D202" s="3">
        <f t="shared" si="30"/>
        <v>8.7175357358566519</v>
      </c>
      <c r="E202" s="3">
        <f t="shared" si="31"/>
        <v>8.7009801803010962</v>
      </c>
      <c r="F202" s="34">
        <v>2275.6999999999998</v>
      </c>
      <c r="G202" s="3">
        <f t="shared" si="32"/>
        <v>7.7183050590730051</v>
      </c>
      <c r="H202" s="3">
        <f t="shared" si="33"/>
        <v>7.7017495035174495</v>
      </c>
      <c r="I202" s="3">
        <f t="shared" si="34"/>
        <v>75.707056097992492</v>
      </c>
      <c r="J202" s="3">
        <f t="shared" si="35"/>
        <v>59.316945414931283</v>
      </c>
      <c r="K202" s="3">
        <f t="shared" si="36"/>
        <v>67.012769783749135</v>
      </c>
      <c r="M202" s="8">
        <v>1.6219319649777519</v>
      </c>
      <c r="N202" s="7">
        <f t="shared" si="37"/>
        <v>1.6219319649777519E-2</v>
      </c>
      <c r="AD202" s="8">
        <v>1.6219319649777519</v>
      </c>
      <c r="AE202" s="8">
        <f t="shared" si="38"/>
        <v>-1.6219319649777519</v>
      </c>
      <c r="AF202" s="8">
        <v>-0.38314176245211051</v>
      </c>
      <c r="AG202" s="7">
        <f t="shared" si="39"/>
        <v>-3.8314176245211051E-3</v>
      </c>
    </row>
    <row r="203" spans="1:33" x14ac:dyDescent="0.35">
      <c r="A203" s="9">
        <v>43910</v>
      </c>
      <c r="B203" s="38">
        <f>Расчеты!G216/360</f>
        <v>1.6666666666666666E-2</v>
      </c>
      <c r="C203" s="11">
        <v>26.86</v>
      </c>
      <c r="D203" s="3">
        <f t="shared" si="30"/>
        <v>-0.51851851851851816</v>
      </c>
      <c r="E203" s="3">
        <f t="shared" si="31"/>
        <v>-0.53518518518518488</v>
      </c>
      <c r="F203" s="34">
        <v>2331.61</v>
      </c>
      <c r="G203" s="3">
        <f t="shared" si="32"/>
        <v>2.4568264709759813</v>
      </c>
      <c r="H203" s="3">
        <f t="shared" si="33"/>
        <v>2.4401598043093147</v>
      </c>
      <c r="I203" s="3">
        <f t="shared" si="34"/>
        <v>0.28642318244170062</v>
      </c>
      <c r="J203" s="3">
        <f t="shared" si="35"/>
        <v>5.9543798705668731</v>
      </c>
      <c r="K203" s="3">
        <f t="shared" si="36"/>
        <v>-1.305937376750725</v>
      </c>
      <c r="M203" s="8">
        <v>1.6382910375843274</v>
      </c>
      <c r="N203" s="7">
        <f t="shared" si="37"/>
        <v>1.6382910375843274E-2</v>
      </c>
      <c r="AD203" s="8">
        <v>1.6382910375843274</v>
      </c>
      <c r="AE203" s="8">
        <f t="shared" si="38"/>
        <v>-1.6382910375843274</v>
      </c>
      <c r="AF203" s="8">
        <v>-0.37878787878788955</v>
      </c>
      <c r="AG203" s="7">
        <f t="shared" si="39"/>
        <v>-3.7878787878788955E-3</v>
      </c>
    </row>
    <row r="204" spans="1:33" x14ac:dyDescent="0.35">
      <c r="A204" s="9">
        <v>43913</v>
      </c>
      <c r="B204" s="38">
        <f>Расчеты!G217/360</f>
        <v>1.6638888888888891E-2</v>
      </c>
      <c r="C204" s="11">
        <v>26.094999999999999</v>
      </c>
      <c r="D204" s="3">
        <f t="shared" si="30"/>
        <v>-2.8481012658227889</v>
      </c>
      <c r="E204" s="3">
        <f t="shared" si="31"/>
        <v>-2.864740154711678</v>
      </c>
      <c r="F204" s="34">
        <v>2253.35</v>
      </c>
      <c r="G204" s="3">
        <f t="shared" si="32"/>
        <v>-3.3564789994896316</v>
      </c>
      <c r="H204" s="3">
        <f t="shared" si="33"/>
        <v>-3.3731178883785207</v>
      </c>
      <c r="I204" s="3">
        <f t="shared" si="34"/>
        <v>8.2067361540174879</v>
      </c>
      <c r="J204" s="3">
        <f t="shared" si="35"/>
        <v>11.37792428889917</v>
      </c>
      <c r="K204" s="3">
        <f t="shared" si="36"/>
        <v>9.663106261414212</v>
      </c>
      <c r="M204" s="8">
        <v>1.6807909604519722</v>
      </c>
      <c r="N204" s="7">
        <f t="shared" si="37"/>
        <v>1.6807909604519722E-2</v>
      </c>
      <c r="AD204" s="8">
        <v>1.6807909604519722</v>
      </c>
      <c r="AE204" s="8">
        <f t="shared" si="38"/>
        <v>-1.6807909604519722</v>
      </c>
      <c r="AF204" s="8">
        <v>-0.36398672519002417</v>
      </c>
      <c r="AG204" s="7">
        <f t="shared" si="39"/>
        <v>-3.6398672519002417E-3</v>
      </c>
    </row>
    <row r="205" spans="1:33" x14ac:dyDescent="0.35">
      <c r="A205" s="9">
        <v>43914</v>
      </c>
      <c r="B205" s="38">
        <f>Расчеты!G218/360</f>
        <v>1.6611111111111111E-2</v>
      </c>
      <c r="C205" s="11">
        <v>28.25</v>
      </c>
      <c r="D205" s="3">
        <f t="shared" si="30"/>
        <v>8.2582870281663112</v>
      </c>
      <c r="E205" s="3">
        <f t="shared" si="31"/>
        <v>8.2416759170552005</v>
      </c>
      <c r="F205" s="34">
        <v>2415.9699999999998</v>
      </c>
      <c r="G205" s="3">
        <f t="shared" si="32"/>
        <v>7.2168105265493443</v>
      </c>
      <c r="H205" s="3">
        <f t="shared" si="33"/>
        <v>7.2001994154382336</v>
      </c>
      <c r="I205" s="3">
        <f t="shared" si="34"/>
        <v>67.925221921767687</v>
      </c>
      <c r="J205" s="3">
        <f t="shared" si="35"/>
        <v>51.842871622077084</v>
      </c>
      <c r="K205" s="3">
        <f t="shared" si="36"/>
        <v>59.34171012021222</v>
      </c>
      <c r="M205" s="8">
        <v>1.7255434782608825</v>
      </c>
      <c r="N205" s="7">
        <f t="shared" si="37"/>
        <v>1.7255434782608825E-2</v>
      </c>
      <c r="AD205" s="8">
        <v>1.7255434782608825</v>
      </c>
      <c r="AE205" s="8">
        <f t="shared" si="38"/>
        <v>-1.7255434782608825</v>
      </c>
      <c r="AF205" s="8">
        <v>-0.36111111111111205</v>
      </c>
      <c r="AG205" s="7">
        <f t="shared" si="39"/>
        <v>-3.6111111111111205E-3</v>
      </c>
    </row>
    <row r="206" spans="1:33" x14ac:dyDescent="0.35">
      <c r="A206" s="9">
        <v>43915</v>
      </c>
      <c r="B206" s="38">
        <f>Расчеты!G219/360</f>
        <v>1.6750000000000001E-2</v>
      </c>
      <c r="C206" s="11">
        <v>29.664999999999999</v>
      </c>
      <c r="D206" s="3">
        <f t="shared" si="30"/>
        <v>5.0088495575221215</v>
      </c>
      <c r="E206" s="3">
        <f t="shared" si="31"/>
        <v>4.9920995575221214</v>
      </c>
      <c r="F206" s="34">
        <v>2452.69</v>
      </c>
      <c r="G206" s="3">
        <f t="shared" si="32"/>
        <v>1.5198864224307496</v>
      </c>
      <c r="H206" s="3">
        <f t="shared" si="33"/>
        <v>1.5031364224307495</v>
      </c>
      <c r="I206" s="3">
        <f t="shared" si="34"/>
        <v>24.92105799221256</v>
      </c>
      <c r="J206" s="3">
        <f t="shared" si="35"/>
        <v>2.2594191044379128</v>
      </c>
      <c r="K206" s="3">
        <f t="shared" si="36"/>
        <v>7.5038066693119294</v>
      </c>
      <c r="M206" s="8">
        <v>1.7491525423728893</v>
      </c>
      <c r="N206" s="7">
        <f t="shared" si="37"/>
        <v>1.7491525423728893E-2</v>
      </c>
      <c r="AD206" s="8">
        <v>1.7491525423728893</v>
      </c>
      <c r="AE206" s="8">
        <f t="shared" si="38"/>
        <v>-1.7491525423728893</v>
      </c>
      <c r="AF206" s="8">
        <v>-0.35941387890517928</v>
      </c>
      <c r="AG206" s="7">
        <f t="shared" si="39"/>
        <v>-3.5941387890517928E-3</v>
      </c>
    </row>
    <row r="207" spans="1:33" x14ac:dyDescent="0.35">
      <c r="A207" s="9">
        <v>43916</v>
      </c>
      <c r="B207" s="38">
        <f>Расчеты!G220/360</f>
        <v>1.7055555555555553E-2</v>
      </c>
      <c r="C207" s="11">
        <v>32.25</v>
      </c>
      <c r="D207" s="3">
        <f t="shared" si="30"/>
        <v>8.7139726950952401</v>
      </c>
      <c r="E207" s="3">
        <f t="shared" si="31"/>
        <v>8.6969171395396838</v>
      </c>
      <c r="F207" s="34">
        <v>2489.9699999999998</v>
      </c>
      <c r="G207" s="3">
        <f t="shared" si="32"/>
        <v>1.5199637948537958</v>
      </c>
      <c r="H207" s="3">
        <f t="shared" si="33"/>
        <v>1.5029082392982402</v>
      </c>
      <c r="I207" s="3">
        <f t="shared" si="34"/>
        <v>75.63636773201911</v>
      </c>
      <c r="J207" s="3">
        <f t="shared" si="35"/>
        <v>2.2587331757505367</v>
      </c>
      <c r="K207" s="3">
        <f t="shared" si="36"/>
        <v>13.070668425508273</v>
      </c>
      <c r="M207" s="8">
        <v>1.7931444422429221</v>
      </c>
      <c r="N207" s="7">
        <f t="shared" si="37"/>
        <v>1.7931444422429221E-2</v>
      </c>
      <c r="AD207" s="8">
        <v>1.7931444422429221</v>
      </c>
      <c r="AE207" s="8">
        <f t="shared" si="38"/>
        <v>-1.7931444422429221</v>
      </c>
      <c r="AF207" s="8">
        <v>-0.3558718861209953</v>
      </c>
      <c r="AG207" s="7">
        <f t="shared" si="39"/>
        <v>-3.558718861209953E-3</v>
      </c>
    </row>
    <row r="208" spans="1:33" x14ac:dyDescent="0.35">
      <c r="A208" s="9">
        <v>43917</v>
      </c>
      <c r="B208" s="38">
        <f>Расчеты!G221/360</f>
        <v>1.7361111111111112E-2</v>
      </c>
      <c r="C208" s="11">
        <v>30.925000000000001</v>
      </c>
      <c r="D208" s="3">
        <f t="shared" si="30"/>
        <v>-4.1085271317829459</v>
      </c>
      <c r="E208" s="3">
        <f t="shared" si="31"/>
        <v>-4.1258882428940566</v>
      </c>
      <c r="F208" s="34">
        <v>2401.11</v>
      </c>
      <c r="G208" s="3">
        <f t="shared" si="32"/>
        <v>-3.5687176953939082</v>
      </c>
      <c r="H208" s="3">
        <f t="shared" si="33"/>
        <v>-3.5860788065050193</v>
      </c>
      <c r="I208" s="3">
        <f t="shared" si="34"/>
        <v>17.022953792851407</v>
      </c>
      <c r="J208" s="3">
        <f t="shared" si="35"/>
        <v>12.859961206464464</v>
      </c>
      <c r="K208" s="3">
        <f t="shared" si="36"/>
        <v>14.79576038585061</v>
      </c>
      <c r="M208" s="8">
        <v>1.8062397372742289</v>
      </c>
      <c r="N208" s="7">
        <f t="shared" si="37"/>
        <v>1.8062397372742289E-2</v>
      </c>
      <c r="AD208" s="8">
        <v>1.8062397372742289</v>
      </c>
      <c r="AE208" s="8">
        <f t="shared" si="38"/>
        <v>-1.8062397372742289</v>
      </c>
      <c r="AF208" s="8">
        <v>-0.34567189975514001</v>
      </c>
      <c r="AG208" s="7">
        <f t="shared" si="39"/>
        <v>-3.4567189975514001E-3</v>
      </c>
    </row>
    <row r="209" spans="1:33" x14ac:dyDescent="0.35">
      <c r="A209" s="9">
        <v>43920</v>
      </c>
      <c r="B209" s="38">
        <f>Расчеты!G222/360</f>
        <v>1.7208333333333332E-2</v>
      </c>
      <c r="C209" s="11">
        <v>31.7</v>
      </c>
      <c r="D209" s="3">
        <f t="shared" si="30"/>
        <v>2.5060630557801167</v>
      </c>
      <c r="E209" s="3">
        <f t="shared" si="31"/>
        <v>2.4888547224467832</v>
      </c>
      <c r="F209" s="34">
        <v>2433.35</v>
      </c>
      <c r="G209" s="3">
        <f t="shared" si="32"/>
        <v>1.3427123288812126</v>
      </c>
      <c r="H209" s="3">
        <f t="shared" si="33"/>
        <v>1.3255039955478793</v>
      </c>
      <c r="I209" s="3">
        <f t="shared" si="34"/>
        <v>6.1943978294456539</v>
      </c>
      <c r="J209" s="3">
        <f t="shared" si="35"/>
        <v>1.7569608422133924</v>
      </c>
      <c r="K209" s="3">
        <f t="shared" si="36"/>
        <v>3.2989868789414194</v>
      </c>
      <c r="M209" s="8">
        <v>1.8637602179836454</v>
      </c>
      <c r="N209" s="7">
        <f t="shared" si="37"/>
        <v>1.8637602179836454E-2</v>
      </c>
      <c r="AD209" s="8">
        <v>1.8637602179836454</v>
      </c>
      <c r="AE209" s="8">
        <f t="shared" si="38"/>
        <v>-1.8637602179836454</v>
      </c>
      <c r="AF209" s="8">
        <v>-0.33564814814814881</v>
      </c>
      <c r="AG209" s="7">
        <f t="shared" si="39"/>
        <v>-3.3564814814814881E-3</v>
      </c>
    </row>
    <row r="210" spans="1:33" x14ac:dyDescent="0.35">
      <c r="A210" s="9">
        <v>43921</v>
      </c>
      <c r="B210" s="38">
        <f>Расчеты!G223/360</f>
        <v>1.7208333333333332E-2</v>
      </c>
      <c r="C210" s="11">
        <v>33.9</v>
      </c>
      <c r="D210" s="3">
        <f t="shared" si="30"/>
        <v>6.9400630914826511</v>
      </c>
      <c r="E210" s="3">
        <f t="shared" si="31"/>
        <v>6.9228547581493176</v>
      </c>
      <c r="F210" s="34">
        <v>2508.81</v>
      </c>
      <c r="G210" s="3">
        <f t="shared" si="32"/>
        <v>3.1010746501736408</v>
      </c>
      <c r="H210" s="3">
        <f t="shared" si="33"/>
        <v>3.0838663168403073</v>
      </c>
      <c r="I210" s="3">
        <f t="shared" si="34"/>
        <v>47.925918002430649</v>
      </c>
      <c r="J210" s="3">
        <f t="shared" si="35"/>
        <v>9.5102314601422027</v>
      </c>
      <c r="K210" s="3">
        <f t="shared" si="36"/>
        <v>21.349158605034333</v>
      </c>
      <c r="M210" s="8">
        <v>1.885614385614387</v>
      </c>
      <c r="N210" s="7">
        <f t="shared" si="37"/>
        <v>1.885614385614387E-2</v>
      </c>
      <c r="AD210" s="8">
        <v>1.885614385614387</v>
      </c>
      <c r="AE210" s="8">
        <f t="shared" si="38"/>
        <v>-1.885614385614387</v>
      </c>
      <c r="AF210" s="8">
        <v>-0.31829245459651379</v>
      </c>
      <c r="AG210" s="7">
        <f t="shared" si="39"/>
        <v>-3.1829245459651379E-3</v>
      </c>
    </row>
    <row r="211" spans="1:33" x14ac:dyDescent="0.35">
      <c r="A211" s="9">
        <v>43922</v>
      </c>
      <c r="B211" s="38">
        <f>Расчеты!G224/360</f>
        <v>1.7208333333333332E-2</v>
      </c>
      <c r="C211" s="11">
        <v>35</v>
      </c>
      <c r="D211" s="3">
        <f t="shared" si="30"/>
        <v>3.2448377581121068</v>
      </c>
      <c r="E211" s="3">
        <f t="shared" si="31"/>
        <v>3.2276294247787733</v>
      </c>
      <c r="F211" s="34">
        <v>2473.61</v>
      </c>
      <c r="G211" s="3">
        <f t="shared" si="32"/>
        <v>-1.4030556319529874</v>
      </c>
      <c r="H211" s="3">
        <f t="shared" si="33"/>
        <v>-1.4202639652863207</v>
      </c>
      <c r="I211" s="3">
        <f t="shared" si="34"/>
        <v>10.417591703697756</v>
      </c>
      <c r="J211" s="3">
        <f t="shared" si="35"/>
        <v>2.0171497310908233</v>
      </c>
      <c r="K211" s="3">
        <f t="shared" si="36"/>
        <v>-4.5840857653111069</v>
      </c>
      <c r="M211" s="8">
        <v>1.9006659267480686</v>
      </c>
      <c r="N211" s="7">
        <f t="shared" si="37"/>
        <v>1.9006659267480686E-2</v>
      </c>
      <c r="AD211" s="8">
        <v>1.9006659267480686</v>
      </c>
      <c r="AE211" s="8">
        <f t="shared" si="38"/>
        <v>-1.9006659267480686</v>
      </c>
      <c r="AF211" s="8">
        <v>-0.30769230769229772</v>
      </c>
      <c r="AG211" s="7">
        <f t="shared" si="39"/>
        <v>-3.0769230769229772E-3</v>
      </c>
    </row>
    <row r="212" spans="1:33" x14ac:dyDescent="0.35">
      <c r="A212" s="9">
        <v>43923</v>
      </c>
      <c r="B212" s="38">
        <f>Расчеты!G225/360</f>
        <v>1.7208333333333332E-2</v>
      </c>
      <c r="C212" s="11">
        <v>35.67</v>
      </c>
      <c r="D212" s="3">
        <f t="shared" si="30"/>
        <v>1.9142857142857128</v>
      </c>
      <c r="E212" s="3">
        <f t="shared" si="31"/>
        <v>1.8970773809523795</v>
      </c>
      <c r="F212" s="34">
        <v>2545.9499999999998</v>
      </c>
      <c r="G212" s="3">
        <f t="shared" si="32"/>
        <v>2.9244707128447844</v>
      </c>
      <c r="H212" s="3">
        <f t="shared" si="33"/>
        <v>2.9072623795114509</v>
      </c>
      <c r="I212" s="3">
        <f t="shared" si="34"/>
        <v>3.5989025893211397</v>
      </c>
      <c r="J212" s="3">
        <f t="shared" si="35"/>
        <v>8.4521745433225846</v>
      </c>
      <c r="K212" s="3">
        <f t="shared" si="36"/>
        <v>5.5153017006649661</v>
      </c>
      <c r="M212" s="8">
        <v>1.9142857142857128</v>
      </c>
      <c r="N212" s="7">
        <f t="shared" si="37"/>
        <v>1.9142857142857128E-2</v>
      </c>
      <c r="AD212" s="8">
        <v>1.9142857142857128</v>
      </c>
      <c r="AE212" s="8">
        <f t="shared" si="38"/>
        <v>-1.9142857142857128</v>
      </c>
      <c r="AF212" s="8">
        <v>-0.30266998162360448</v>
      </c>
      <c r="AG212" s="7">
        <f t="shared" si="39"/>
        <v>-3.0266998162360448E-3</v>
      </c>
    </row>
    <row r="213" spans="1:33" x14ac:dyDescent="0.35">
      <c r="A213" s="9">
        <v>43924</v>
      </c>
      <c r="B213" s="38">
        <f>Расчеты!G226/360</f>
        <v>1.7208333333333332E-2</v>
      </c>
      <c r="C213" s="11">
        <v>36.384999999999998</v>
      </c>
      <c r="D213" s="3">
        <f t="shared" si="30"/>
        <v>2.0044855620969804</v>
      </c>
      <c r="E213" s="3">
        <f t="shared" si="31"/>
        <v>1.9872772287636471</v>
      </c>
      <c r="F213" s="34">
        <v>2572.23</v>
      </c>
      <c r="G213" s="3">
        <f t="shared" si="32"/>
        <v>1.0322276556884447</v>
      </c>
      <c r="H213" s="3">
        <f t="shared" si="33"/>
        <v>1.0150193223551114</v>
      </c>
      <c r="I213" s="3">
        <f t="shared" si="34"/>
        <v>3.949270783962521</v>
      </c>
      <c r="J213" s="3">
        <f t="shared" si="35"/>
        <v>1.0302642247542295</v>
      </c>
      <c r="K213" s="3">
        <f t="shared" si="36"/>
        <v>2.0171247860714208</v>
      </c>
      <c r="M213" s="8">
        <v>1.9247311827957025</v>
      </c>
      <c r="N213" s="7">
        <f t="shared" si="37"/>
        <v>1.9247311827957025E-2</v>
      </c>
      <c r="AD213" s="8">
        <v>1.9247311827957025</v>
      </c>
      <c r="AE213" s="8">
        <f t="shared" si="38"/>
        <v>-1.9247311827957025</v>
      </c>
      <c r="AF213" s="8">
        <v>-0.30249295921560559</v>
      </c>
      <c r="AG213" s="7">
        <f t="shared" si="39"/>
        <v>-3.0249295921560559E-3</v>
      </c>
    </row>
    <row r="214" spans="1:33" x14ac:dyDescent="0.35">
      <c r="A214" s="9">
        <v>43927</v>
      </c>
      <c r="B214" s="38">
        <f>Расчеты!G227/360</f>
        <v>1.7055555555555553E-2</v>
      </c>
      <c r="C214" s="11">
        <v>37.25</v>
      </c>
      <c r="D214" s="3">
        <f t="shared" si="30"/>
        <v>2.3773533049333606</v>
      </c>
      <c r="E214" s="3">
        <f t="shared" si="31"/>
        <v>2.3602977493778052</v>
      </c>
      <c r="F214" s="34">
        <v>2622.59</v>
      </c>
      <c r="G214" s="3">
        <f t="shared" si="32"/>
        <v>1.9578342527690085</v>
      </c>
      <c r="H214" s="3">
        <f t="shared" si="33"/>
        <v>1.9407786972134529</v>
      </c>
      <c r="I214" s="3">
        <f t="shared" si="34"/>
        <v>5.5710054657179331</v>
      </c>
      <c r="J214" s="3">
        <f t="shared" si="35"/>
        <v>3.7666219515575472</v>
      </c>
      <c r="K214" s="3">
        <f t="shared" si="36"/>
        <v>4.5808155910733017</v>
      </c>
      <c r="M214" s="8">
        <v>2.0044855620969804</v>
      </c>
      <c r="N214" s="7">
        <f t="shared" si="37"/>
        <v>2.0044855620969804E-2</v>
      </c>
      <c r="AD214" s="8">
        <v>2.0044855620969804</v>
      </c>
      <c r="AE214" s="8">
        <f t="shared" si="38"/>
        <v>-2.0044855620969804</v>
      </c>
      <c r="AF214" s="8">
        <v>-0.29886431560072202</v>
      </c>
      <c r="AG214" s="7">
        <f t="shared" si="39"/>
        <v>-2.9886431560072202E-3</v>
      </c>
    </row>
    <row r="215" spans="1:33" x14ac:dyDescent="0.35">
      <c r="A215" s="9">
        <v>43928</v>
      </c>
      <c r="B215" s="38">
        <f>Расчеты!G228/360</f>
        <v>1.7055555555555553E-2</v>
      </c>
      <c r="C215" s="11">
        <v>37.200000000000003</v>
      </c>
      <c r="D215" s="3">
        <f t="shared" si="30"/>
        <v>-0.13422818791946067</v>
      </c>
      <c r="E215" s="3">
        <f t="shared" si="31"/>
        <v>-0.15128374347501622</v>
      </c>
      <c r="F215" s="34">
        <v>2634.74</v>
      </c>
      <c r="G215" s="3">
        <f t="shared" si="32"/>
        <v>0.4632824802961899</v>
      </c>
      <c r="H215" s="3">
        <f t="shared" si="33"/>
        <v>0.44622692474063436</v>
      </c>
      <c r="I215" s="3">
        <f t="shared" si="34"/>
        <v>2.2886771039814513E-2</v>
      </c>
      <c r="J215" s="3">
        <f t="shared" si="35"/>
        <v>0.19911846836348376</v>
      </c>
      <c r="K215" s="3">
        <f t="shared" si="36"/>
        <v>-6.7506879614107493E-2</v>
      </c>
      <c r="M215" s="8">
        <v>2.051282051282044</v>
      </c>
      <c r="N215" s="7">
        <f t="shared" si="37"/>
        <v>2.051282051282044E-2</v>
      </c>
      <c r="AD215" s="8">
        <v>2.051282051282044</v>
      </c>
      <c r="AE215" s="8">
        <f t="shared" si="38"/>
        <v>-2.051282051282044</v>
      </c>
      <c r="AF215" s="8">
        <v>-0.29581631215664927</v>
      </c>
      <c r="AG215" s="7">
        <f t="shared" si="39"/>
        <v>-2.9581631215664927E-3</v>
      </c>
    </row>
    <row r="216" spans="1:33" x14ac:dyDescent="0.35">
      <c r="A216" s="9">
        <v>43929</v>
      </c>
      <c r="B216" s="38">
        <f>Расчеты!G229/360</f>
        <v>1.7000000000000001E-2</v>
      </c>
      <c r="C216" s="11">
        <v>36.875</v>
      </c>
      <c r="D216" s="3">
        <f t="shared" si="30"/>
        <v>-0.8736559139784994</v>
      </c>
      <c r="E216" s="3">
        <f t="shared" si="31"/>
        <v>-0.89065591397849941</v>
      </c>
      <c r="F216" s="34">
        <v>2670.12</v>
      </c>
      <c r="G216" s="3">
        <f t="shared" si="32"/>
        <v>1.3428269962121542</v>
      </c>
      <c r="H216" s="3">
        <f t="shared" si="33"/>
        <v>1.3258269962121543</v>
      </c>
      <c r="I216" s="3">
        <f t="shared" si="34"/>
        <v>0.79326795710487619</v>
      </c>
      <c r="J216" s="3">
        <f t="shared" si="35"/>
        <v>1.7578172238849437</v>
      </c>
      <c r="K216" s="3">
        <f t="shared" si="36"/>
        <v>-1.1808556550887048</v>
      </c>
      <c r="M216" s="8">
        <v>2.0857929948839171</v>
      </c>
      <c r="N216" s="7">
        <f t="shared" si="37"/>
        <v>2.0857929948839171E-2</v>
      </c>
      <c r="AD216" s="8">
        <v>2.0857929948839171</v>
      </c>
      <c r="AE216" s="8">
        <f t="shared" si="38"/>
        <v>-2.0857929948839171</v>
      </c>
      <c r="AF216" s="8">
        <v>-0.29577464788731467</v>
      </c>
      <c r="AG216" s="7">
        <f t="shared" si="39"/>
        <v>-2.9577464788731467E-3</v>
      </c>
    </row>
    <row r="217" spans="1:33" x14ac:dyDescent="0.35">
      <c r="A217" s="9">
        <v>43930</v>
      </c>
      <c r="B217" s="38">
        <f>Расчеты!G230/360</f>
        <v>1.6833333333333332E-2</v>
      </c>
      <c r="C217" s="11">
        <v>37.520000000000003</v>
      </c>
      <c r="D217" s="3">
        <f t="shared" si="30"/>
        <v>1.7491525423728893</v>
      </c>
      <c r="E217" s="3">
        <f t="shared" si="31"/>
        <v>1.7323192090395561</v>
      </c>
      <c r="F217" s="34">
        <v>2701.77</v>
      </c>
      <c r="G217" s="3">
        <f t="shared" si="32"/>
        <v>1.185339984719791</v>
      </c>
      <c r="H217" s="3">
        <f t="shared" si="33"/>
        <v>1.1685066513864577</v>
      </c>
      <c r="I217" s="3">
        <f t="shared" si="34"/>
        <v>3.0009298420074333</v>
      </c>
      <c r="J217" s="3">
        <f t="shared" si="35"/>
        <v>1.3654077943343925</v>
      </c>
      <c r="K217" s="3">
        <f t="shared" si="36"/>
        <v>2.0242265180872487</v>
      </c>
      <c r="M217" s="8">
        <v>2.1273637374860987</v>
      </c>
      <c r="N217" s="7">
        <f t="shared" si="37"/>
        <v>2.1273637374860987E-2</v>
      </c>
      <c r="AD217" s="8">
        <v>2.1273637374860987</v>
      </c>
      <c r="AE217" s="8">
        <f t="shared" si="38"/>
        <v>-2.1273637374860987</v>
      </c>
      <c r="AF217" s="8">
        <v>-0.29354207436398383</v>
      </c>
      <c r="AG217" s="7">
        <f t="shared" si="39"/>
        <v>-2.9354207436398383E-3</v>
      </c>
    </row>
    <row r="218" spans="1:33" x14ac:dyDescent="0.35">
      <c r="A218" s="9">
        <v>43931</v>
      </c>
      <c r="B218" s="38">
        <f>Расчеты!G231/360</f>
        <v>1.7277777777777777E-2</v>
      </c>
      <c r="C218" s="11">
        <v>37.08</v>
      </c>
      <c r="D218" s="3">
        <f t="shared" si="30"/>
        <v>-1.1727078891258125</v>
      </c>
      <c r="E218" s="3">
        <f t="shared" si="31"/>
        <v>-1.1899856669035902</v>
      </c>
      <c r="F218" s="34">
        <v>2677.86</v>
      </c>
      <c r="G218" s="3">
        <f t="shared" si="32"/>
        <v>-0.88497540501226712</v>
      </c>
      <c r="H218" s="3">
        <f t="shared" si="33"/>
        <v>-0.90225318279004485</v>
      </c>
      <c r="I218" s="3">
        <f t="shared" si="34"/>
        <v>1.4160658874359824</v>
      </c>
      <c r="J218" s="3">
        <f t="shared" si="35"/>
        <v>0.81406080585476603</v>
      </c>
      <c r="K218" s="3">
        <f t="shared" si="36"/>
        <v>1.0736683554382984</v>
      </c>
      <c r="M218" s="8">
        <v>2.200141944641576</v>
      </c>
      <c r="N218" s="7">
        <f t="shared" si="37"/>
        <v>2.200141944641576E-2</v>
      </c>
      <c r="AD218" s="8">
        <v>2.200141944641576</v>
      </c>
      <c r="AE218" s="8">
        <f t="shared" si="38"/>
        <v>-2.200141944641576</v>
      </c>
      <c r="AF218" s="8">
        <v>-0.29069767441860517</v>
      </c>
      <c r="AG218" s="7">
        <f t="shared" si="39"/>
        <v>-2.9069767441860517E-3</v>
      </c>
    </row>
    <row r="219" spans="1:33" x14ac:dyDescent="0.35">
      <c r="A219" s="9">
        <v>43934</v>
      </c>
      <c r="B219" s="38">
        <f>Расчеты!G232/360</f>
        <v>1.7000000000000001E-2</v>
      </c>
      <c r="C219" s="11">
        <v>36.01</v>
      </c>
      <c r="D219" s="3">
        <f t="shared" si="30"/>
        <v>-2.8856526429342</v>
      </c>
      <c r="E219" s="3">
        <f t="shared" si="31"/>
        <v>-2.9026526429341999</v>
      </c>
      <c r="F219" s="34">
        <v>2628.85</v>
      </c>
      <c r="G219" s="3">
        <f t="shared" si="32"/>
        <v>-1.8301927658652906</v>
      </c>
      <c r="H219" s="3">
        <f t="shared" si="33"/>
        <v>-1.8471927658652905</v>
      </c>
      <c r="I219" s="3">
        <f t="shared" si="34"/>
        <v>8.4253923655328951</v>
      </c>
      <c r="J219" s="3">
        <f t="shared" si="35"/>
        <v>3.4121211142650618</v>
      </c>
      <c r="K219" s="3">
        <f t="shared" si="36"/>
        <v>5.3617589638478202</v>
      </c>
      <c r="M219" s="8">
        <v>2.2021384928716969</v>
      </c>
      <c r="N219" s="7">
        <f t="shared" si="37"/>
        <v>2.2021384928716969E-2</v>
      </c>
      <c r="AD219" s="8">
        <v>2.2021384928716969</v>
      </c>
      <c r="AE219" s="8">
        <f t="shared" si="38"/>
        <v>-2.2021384928716969</v>
      </c>
      <c r="AF219" s="8">
        <v>-0.28818443804032867</v>
      </c>
      <c r="AG219" s="7">
        <f t="shared" si="39"/>
        <v>-2.8818443804032867E-3</v>
      </c>
    </row>
    <row r="220" spans="1:33" x14ac:dyDescent="0.35">
      <c r="A220" s="9">
        <v>43935</v>
      </c>
      <c r="B220" s="38">
        <f>Расчеты!G233/360</f>
        <v>1.6972222222222222E-2</v>
      </c>
      <c r="C220" s="11">
        <v>35.65</v>
      </c>
      <c r="D220" s="3">
        <f t="shared" si="30"/>
        <v>-0.9997222993612831</v>
      </c>
      <c r="E220" s="3">
        <f t="shared" si="31"/>
        <v>-1.0166945215835053</v>
      </c>
      <c r="F220" s="34">
        <v>2631.83</v>
      </c>
      <c r="G220" s="3">
        <f t="shared" si="32"/>
        <v>0.11335755178119022</v>
      </c>
      <c r="H220" s="3">
        <f t="shared" si="33"/>
        <v>9.6385329558968003E-2</v>
      </c>
      <c r="I220" s="3">
        <f t="shared" si="34"/>
        <v>1.0336677502179126</v>
      </c>
      <c r="J220" s="3">
        <f t="shared" si="35"/>
        <v>9.2901317541908713E-3</v>
      </c>
      <c r="K220" s="3">
        <f t="shared" si="36"/>
        <v>-9.7994436523623468E-2</v>
      </c>
      <c r="M220" s="8">
        <v>2.2731726435430089</v>
      </c>
      <c r="N220" s="7">
        <f t="shared" si="37"/>
        <v>2.2731726435430089E-2</v>
      </c>
      <c r="AD220" s="8">
        <v>2.2731726435430089</v>
      </c>
      <c r="AE220" s="8">
        <f t="shared" si="38"/>
        <v>-2.2731726435430089</v>
      </c>
      <c r="AF220" s="8">
        <v>-0.26923076923077716</v>
      </c>
      <c r="AG220" s="7">
        <f t="shared" si="39"/>
        <v>-2.6923076923077716E-3</v>
      </c>
    </row>
    <row r="221" spans="1:33" x14ac:dyDescent="0.35">
      <c r="A221" s="9">
        <v>43936</v>
      </c>
      <c r="B221" s="38">
        <f>Расчеты!G234/360</f>
        <v>1.7027777777777777E-2</v>
      </c>
      <c r="C221" s="11">
        <v>33.75</v>
      </c>
      <c r="D221" s="3">
        <f t="shared" si="30"/>
        <v>-5.3295932678821822</v>
      </c>
      <c r="E221" s="3">
        <f t="shared" si="31"/>
        <v>-5.3466210456599601</v>
      </c>
      <c r="F221" s="34">
        <v>2498.94</v>
      </c>
      <c r="G221" s="3">
        <f t="shared" si="32"/>
        <v>-5.0493382931268265</v>
      </c>
      <c r="H221" s="3">
        <f t="shared" si="33"/>
        <v>-5.0663660709046043</v>
      </c>
      <c r="I221" s="3">
        <f t="shared" si="34"/>
        <v>28.586356605894004</v>
      </c>
      <c r="J221" s="3">
        <f t="shared" si="35"/>
        <v>25.66806516441336</v>
      </c>
      <c r="K221" s="3">
        <f t="shared" si="36"/>
        <v>27.087939459716118</v>
      </c>
      <c r="M221" s="8">
        <v>2.2956326987682019</v>
      </c>
      <c r="N221" s="7">
        <f t="shared" si="37"/>
        <v>2.2956326987682019E-2</v>
      </c>
      <c r="AD221" s="8">
        <v>2.2956326987682019</v>
      </c>
      <c r="AE221" s="8">
        <f t="shared" si="38"/>
        <v>-2.2956326987682019</v>
      </c>
      <c r="AF221" s="8">
        <v>-0.25834230355221699</v>
      </c>
      <c r="AG221" s="7">
        <f t="shared" si="39"/>
        <v>-2.5834230355221699E-3</v>
      </c>
    </row>
    <row r="222" spans="1:33" x14ac:dyDescent="0.35">
      <c r="A222" s="9">
        <v>43937</v>
      </c>
      <c r="B222" s="38">
        <f>Расчеты!G235/360</f>
        <v>1.7305555555555557E-2</v>
      </c>
      <c r="C222" s="11">
        <v>34.295000000000002</v>
      </c>
      <c r="D222" s="3">
        <f t="shared" si="30"/>
        <v>1.6148148148148245</v>
      </c>
      <c r="E222" s="3">
        <f t="shared" si="31"/>
        <v>1.597509259259269</v>
      </c>
      <c r="F222" s="34">
        <v>2515.0500000000002</v>
      </c>
      <c r="G222" s="3">
        <f t="shared" si="32"/>
        <v>0.64467334149680422</v>
      </c>
      <c r="H222" s="3">
        <f t="shared" si="33"/>
        <v>0.62736778594124865</v>
      </c>
      <c r="I222" s="3">
        <f t="shared" si="34"/>
        <v>2.5520358334190982</v>
      </c>
      <c r="J222" s="3">
        <f t="shared" si="35"/>
        <v>0.39359033883682437</v>
      </c>
      <c r="K222" s="3">
        <f t="shared" si="36"/>
        <v>1.0022258470021317</v>
      </c>
      <c r="M222" s="8">
        <v>2.3150151449588874</v>
      </c>
      <c r="N222" s="7">
        <f t="shared" si="37"/>
        <v>2.3150151449588874E-2</v>
      </c>
      <c r="AD222" s="8">
        <v>2.3150151449588874</v>
      </c>
      <c r="AE222" s="8">
        <f t="shared" si="38"/>
        <v>-2.3150151449588874</v>
      </c>
      <c r="AF222" s="8">
        <v>-0.25000000000001688</v>
      </c>
      <c r="AG222" s="7">
        <f t="shared" si="39"/>
        <v>-2.5000000000001688E-3</v>
      </c>
    </row>
    <row r="223" spans="1:33" x14ac:dyDescent="0.35">
      <c r="A223" s="9">
        <v>43938</v>
      </c>
      <c r="B223" s="38">
        <f>Расчеты!G236/360</f>
        <v>1.7472222222222222E-2</v>
      </c>
      <c r="C223" s="11">
        <v>34.36</v>
      </c>
      <c r="D223" s="3">
        <f t="shared" si="30"/>
        <v>0.18953200174951501</v>
      </c>
      <c r="E223" s="3">
        <f t="shared" si="31"/>
        <v>0.17205977952729279</v>
      </c>
      <c r="F223" s="34">
        <v>2534.9699999999998</v>
      </c>
      <c r="G223" s="3">
        <f t="shared" si="32"/>
        <v>0.79203196755530669</v>
      </c>
      <c r="H223" s="3">
        <f t="shared" si="33"/>
        <v>0.77455974533308447</v>
      </c>
      <c r="I223" s="3">
        <f t="shared" si="34"/>
        <v>2.9604567730980604E-2</v>
      </c>
      <c r="J223" s="3">
        <f t="shared" si="35"/>
        <v>0.59994279909045267</v>
      </c>
      <c r="K223" s="3">
        <f t="shared" si="36"/>
        <v>0.13327057901272657</v>
      </c>
      <c r="M223" s="8">
        <v>2.3750239417736019</v>
      </c>
      <c r="N223" s="7">
        <f t="shared" si="37"/>
        <v>2.3750239417736019E-2</v>
      </c>
      <c r="AD223" s="8">
        <v>2.3750239417736019</v>
      </c>
      <c r="AE223" s="8">
        <f t="shared" si="38"/>
        <v>-2.3750239417736019</v>
      </c>
      <c r="AF223" s="8">
        <v>-0.24312698709556546</v>
      </c>
      <c r="AG223" s="7">
        <f t="shared" si="39"/>
        <v>-2.4312698709556546E-3</v>
      </c>
    </row>
    <row r="224" spans="1:33" x14ac:dyDescent="0.35">
      <c r="A224" s="9">
        <v>43941</v>
      </c>
      <c r="B224" s="38">
        <f>Расчеты!G237/360</f>
        <v>1.7555555555555557E-2</v>
      </c>
      <c r="C224" s="11">
        <v>33.994999999999997</v>
      </c>
      <c r="D224" s="3">
        <f t="shared" si="30"/>
        <v>-1.0622817229336445</v>
      </c>
      <c r="E224" s="3">
        <f t="shared" si="31"/>
        <v>-1.0798372784892001</v>
      </c>
      <c r="F224" s="34">
        <v>2525.9699999999998</v>
      </c>
      <c r="G224" s="3">
        <f t="shared" si="32"/>
        <v>-0.35503378738209745</v>
      </c>
      <c r="H224" s="3">
        <f t="shared" si="33"/>
        <v>-0.372589342937653</v>
      </c>
      <c r="I224" s="3">
        <f t="shared" si="34"/>
        <v>1.1660485480149623</v>
      </c>
      <c r="J224" s="3">
        <f t="shared" si="35"/>
        <v>0.13882281847071198</v>
      </c>
      <c r="K224" s="3">
        <f t="shared" si="36"/>
        <v>0.40233586207187449</v>
      </c>
      <c r="M224" s="8">
        <v>2.3773533049333606</v>
      </c>
      <c r="N224" s="7">
        <f t="shared" si="37"/>
        <v>2.3773533049333606E-2</v>
      </c>
      <c r="AD224" s="8">
        <v>2.3773533049333606</v>
      </c>
      <c r="AE224" s="8">
        <f t="shared" si="38"/>
        <v>-2.3773533049333606</v>
      </c>
      <c r="AF224" s="8">
        <v>-0.23807059310629874</v>
      </c>
      <c r="AG224" s="7">
        <f t="shared" si="39"/>
        <v>-2.3807059310629874E-3</v>
      </c>
    </row>
    <row r="225" spans="1:33" x14ac:dyDescent="0.35">
      <c r="A225" s="9">
        <v>43942</v>
      </c>
      <c r="B225" s="38">
        <f>Расчеты!G238/360</f>
        <v>1.7638888888888888E-2</v>
      </c>
      <c r="C225" s="11">
        <v>33.549999999999997</v>
      </c>
      <c r="D225" s="3">
        <f t="shared" si="30"/>
        <v>-1.3090160317693833</v>
      </c>
      <c r="E225" s="3">
        <f t="shared" si="31"/>
        <v>-1.3266549206582723</v>
      </c>
      <c r="F225" s="34">
        <v>2488.02</v>
      </c>
      <c r="G225" s="3">
        <f t="shared" si="32"/>
        <v>-1.5023931400610424</v>
      </c>
      <c r="H225" s="3">
        <f t="shared" si="33"/>
        <v>-1.5200320289499314</v>
      </c>
      <c r="I225" s="3">
        <f t="shared" si="34"/>
        <v>1.7600132785068068</v>
      </c>
      <c r="J225" s="3">
        <f t="shared" si="35"/>
        <v>2.3104973690336452</v>
      </c>
      <c r="K225" s="3">
        <f t="shared" si="36"/>
        <v>2.016557970764604</v>
      </c>
      <c r="M225" s="8">
        <v>2.4427774572032934</v>
      </c>
      <c r="N225" s="7">
        <f t="shared" si="37"/>
        <v>2.4427774572032934E-2</v>
      </c>
      <c r="AD225" s="8">
        <v>2.4427774572032934</v>
      </c>
      <c r="AE225" s="8">
        <f t="shared" si="38"/>
        <v>-2.4427774572032934</v>
      </c>
      <c r="AF225" s="8">
        <v>-0.23752969121141332</v>
      </c>
      <c r="AG225" s="7">
        <f t="shared" si="39"/>
        <v>-2.3752969121141332E-3</v>
      </c>
    </row>
    <row r="226" spans="1:33" x14ac:dyDescent="0.35">
      <c r="A226" s="9">
        <v>43943</v>
      </c>
      <c r="B226" s="38">
        <f>Расчеты!G239/360</f>
        <v>1.7638888888888888E-2</v>
      </c>
      <c r="C226" s="11">
        <v>35.67</v>
      </c>
      <c r="D226" s="3">
        <f t="shared" si="30"/>
        <v>6.3189269746646959</v>
      </c>
      <c r="E226" s="3">
        <f t="shared" si="31"/>
        <v>6.3012880857758073</v>
      </c>
      <c r="F226" s="34">
        <v>2573.41</v>
      </c>
      <c r="G226" s="3">
        <f t="shared" si="32"/>
        <v>3.4320463661867695</v>
      </c>
      <c r="H226" s="3">
        <f t="shared" si="33"/>
        <v>3.4144074772978805</v>
      </c>
      <c r="I226" s="3">
        <f t="shared" si="34"/>
        <v>39.706231539940141</v>
      </c>
      <c r="J226" s="3">
        <f t="shared" si="35"/>
        <v>11.658178421027676</v>
      </c>
      <c r="K226" s="3">
        <f t="shared" si="36"/>
        <v>21.515165156680965</v>
      </c>
      <c r="M226" s="8">
        <v>2.5060630557801167</v>
      </c>
      <c r="N226" s="7">
        <f t="shared" si="37"/>
        <v>2.5060630557801167E-2</v>
      </c>
      <c r="AD226" s="8">
        <v>2.5060630557801167</v>
      </c>
      <c r="AE226" s="8">
        <f t="shared" si="38"/>
        <v>-2.5060630557801167</v>
      </c>
      <c r="AF226" s="8">
        <v>-0.2276916404640561</v>
      </c>
      <c r="AG226" s="7">
        <f t="shared" si="39"/>
        <v>-2.276916404640561E-3</v>
      </c>
    </row>
    <row r="227" spans="1:33" x14ac:dyDescent="0.35">
      <c r="A227" s="9">
        <v>43944</v>
      </c>
      <c r="B227" s="38">
        <f>Расчеты!G240/360</f>
        <v>1.7638888888888888E-2</v>
      </c>
      <c r="C227" s="11">
        <v>35.884999999999998</v>
      </c>
      <c r="D227" s="3">
        <f t="shared" si="30"/>
        <v>0.60274740678440963</v>
      </c>
      <c r="E227" s="3">
        <f t="shared" si="31"/>
        <v>0.58510851789552076</v>
      </c>
      <c r="F227" s="34">
        <v>2599.41</v>
      </c>
      <c r="G227" s="3">
        <f t="shared" si="32"/>
        <v>1.0103325937180552</v>
      </c>
      <c r="H227" s="3">
        <f t="shared" si="33"/>
        <v>0.9926937048291663</v>
      </c>
      <c r="I227" s="3">
        <f t="shared" si="34"/>
        <v>0.34235197771389292</v>
      </c>
      <c r="J227" s="3">
        <f t="shared" si="35"/>
        <v>0.9854407916074559</v>
      </c>
      <c r="K227" s="3">
        <f t="shared" si="36"/>
        <v>0.58083354235680706</v>
      </c>
      <c r="M227" s="8">
        <v>2.6715557883708607</v>
      </c>
      <c r="N227" s="7">
        <f t="shared" si="37"/>
        <v>2.6715557883708607E-2</v>
      </c>
      <c r="AD227" s="8">
        <v>2.6715557883708607</v>
      </c>
      <c r="AE227" s="8">
        <f t="shared" si="38"/>
        <v>-2.6715557883708607</v>
      </c>
      <c r="AF227" s="8">
        <v>-0.21821067248564141</v>
      </c>
      <c r="AG227" s="7">
        <f t="shared" si="39"/>
        <v>-2.1821067248564141E-3</v>
      </c>
    </row>
    <row r="228" spans="1:33" x14ac:dyDescent="0.35">
      <c r="A228" s="9">
        <v>43945</v>
      </c>
      <c r="B228" s="38">
        <f>Расчеты!G241/360</f>
        <v>1.7416666666666667E-2</v>
      </c>
      <c r="C228" s="11">
        <v>35.125</v>
      </c>
      <c r="D228" s="3">
        <f t="shared" si="30"/>
        <v>-2.1178765500905583</v>
      </c>
      <c r="E228" s="3">
        <f t="shared" si="31"/>
        <v>-2.1352932167572249</v>
      </c>
      <c r="F228" s="34">
        <v>2562.0300000000002</v>
      </c>
      <c r="G228" s="3">
        <f t="shared" si="32"/>
        <v>-1.438018627303872</v>
      </c>
      <c r="H228" s="3">
        <f t="shared" si="33"/>
        <v>-1.4554352939705386</v>
      </c>
      <c r="I228" s="3">
        <f t="shared" si="34"/>
        <v>4.559477121529417</v>
      </c>
      <c r="J228" s="3">
        <f t="shared" si="35"/>
        <v>2.1182918949351079</v>
      </c>
      <c r="K228" s="3">
        <f t="shared" si="36"/>
        <v>3.1077811106443489</v>
      </c>
      <c r="M228" s="8">
        <v>2.7064157164445657</v>
      </c>
      <c r="N228" s="7">
        <f t="shared" si="37"/>
        <v>2.7064157164445657E-2</v>
      </c>
      <c r="AD228" s="8">
        <v>2.7064157164445657</v>
      </c>
      <c r="AE228" s="8">
        <f t="shared" si="38"/>
        <v>-2.7064157164445657</v>
      </c>
      <c r="AF228" s="8">
        <v>-0.20596205962060132</v>
      </c>
      <c r="AG228" s="7">
        <f t="shared" si="39"/>
        <v>-2.0596205962060132E-3</v>
      </c>
    </row>
    <row r="229" spans="1:33" x14ac:dyDescent="0.35">
      <c r="A229" s="9">
        <v>43948</v>
      </c>
      <c r="B229" s="38">
        <f>Расчеты!G242/360</f>
        <v>1.6027777777777776E-2</v>
      </c>
      <c r="C229" s="11">
        <v>35</v>
      </c>
      <c r="D229" s="3">
        <f t="shared" si="30"/>
        <v>-0.3558718861209953</v>
      </c>
      <c r="E229" s="3">
        <f t="shared" si="31"/>
        <v>-0.37189966389877305</v>
      </c>
      <c r="F229" s="34">
        <v>2570.91</v>
      </c>
      <c r="G229" s="3">
        <f t="shared" si="32"/>
        <v>0.34660015690681778</v>
      </c>
      <c r="H229" s="3">
        <f t="shared" si="33"/>
        <v>0.33057237912904003</v>
      </c>
      <c r="I229" s="3">
        <f t="shared" si="34"/>
        <v>0.13830936000802035</v>
      </c>
      <c r="J229" s="3">
        <f t="shared" si="35"/>
        <v>0.10927809784303377</v>
      </c>
      <c r="K229" s="3">
        <f t="shared" si="36"/>
        <v>-0.12293975669230776</v>
      </c>
      <c r="M229" s="8">
        <v>2.7268453220498534</v>
      </c>
      <c r="N229" s="7">
        <f t="shared" si="37"/>
        <v>2.7268453220498534E-2</v>
      </c>
      <c r="AD229" s="8">
        <v>2.7268453220498534</v>
      </c>
      <c r="AE229" s="8">
        <f t="shared" si="38"/>
        <v>-2.7268453220498534</v>
      </c>
      <c r="AF229" s="8">
        <v>-0.20220588235293491</v>
      </c>
      <c r="AG229" s="7">
        <f t="shared" si="39"/>
        <v>-2.0220588235293491E-3</v>
      </c>
    </row>
    <row r="230" spans="1:33" x14ac:dyDescent="0.35">
      <c r="A230" s="9">
        <v>43949</v>
      </c>
      <c r="B230" s="38">
        <f>Расчеты!G243/360</f>
        <v>1.6027777777777776E-2</v>
      </c>
      <c r="C230" s="11">
        <v>36.799999999999997</v>
      </c>
      <c r="D230" s="3">
        <f t="shared" si="30"/>
        <v>5.1428571428571379</v>
      </c>
      <c r="E230" s="3">
        <f t="shared" si="31"/>
        <v>5.1268293650793604</v>
      </c>
      <c r="F230" s="34">
        <v>2612.2399999999998</v>
      </c>
      <c r="G230" s="3">
        <f t="shared" si="32"/>
        <v>1.6076019775099093</v>
      </c>
      <c r="H230" s="3">
        <f t="shared" si="33"/>
        <v>1.5915741997321315</v>
      </c>
      <c r="I230" s="3">
        <f t="shared" si="34"/>
        <v>26.284379338640036</v>
      </c>
      <c r="J230" s="3">
        <f t="shared" si="35"/>
        <v>2.5331084332529747</v>
      </c>
      <c r="K230" s="3">
        <f t="shared" si="36"/>
        <v>8.1597293438893743</v>
      </c>
      <c r="M230" s="8">
        <v>3.1634615384615428</v>
      </c>
      <c r="N230" s="7">
        <f t="shared" si="37"/>
        <v>3.1634615384615428E-2</v>
      </c>
      <c r="AD230" s="8">
        <v>3.1634615384615428</v>
      </c>
      <c r="AE230" s="8">
        <f t="shared" si="38"/>
        <v>-3.1634615384615428</v>
      </c>
      <c r="AF230" s="8">
        <v>-0.19200000000001438</v>
      </c>
      <c r="AG230" s="7">
        <f t="shared" si="39"/>
        <v>-1.9200000000001438E-3</v>
      </c>
    </row>
    <row r="231" spans="1:33" x14ac:dyDescent="0.35">
      <c r="A231" s="9">
        <v>43950</v>
      </c>
      <c r="B231" s="38">
        <f>Расчеты!G244/360</f>
        <v>1.6111111111111111E-2</v>
      </c>
      <c r="C231" s="11">
        <v>37.435000000000002</v>
      </c>
      <c r="D231" s="3">
        <f t="shared" si="30"/>
        <v>1.7255434782608825</v>
      </c>
      <c r="E231" s="3">
        <f t="shared" si="31"/>
        <v>1.7094323671497713</v>
      </c>
      <c r="F231" s="34">
        <v>2663.14</v>
      </c>
      <c r="G231" s="3">
        <f t="shared" si="32"/>
        <v>1.9485192784736594</v>
      </c>
      <c r="H231" s="3">
        <f t="shared" si="33"/>
        <v>1.9324081673625482</v>
      </c>
      <c r="I231" s="3">
        <f t="shared" si="34"/>
        <v>2.9221590178592707</v>
      </c>
      <c r="J231" s="3">
        <f t="shared" si="35"/>
        <v>3.7342013252894821</v>
      </c>
      <c r="K231" s="3">
        <f t="shared" si="36"/>
        <v>3.3033210678341121</v>
      </c>
      <c r="M231" s="8">
        <v>3.2448377581121068</v>
      </c>
      <c r="N231" s="7">
        <f t="shared" si="37"/>
        <v>3.2448377581121068E-2</v>
      </c>
      <c r="AD231" s="8">
        <v>3.2448377581121068</v>
      </c>
      <c r="AE231" s="8">
        <f t="shared" si="38"/>
        <v>-3.2448377581121068</v>
      </c>
      <c r="AF231" s="8">
        <v>-0.18953200174951501</v>
      </c>
      <c r="AG231" s="7">
        <f t="shared" si="39"/>
        <v>-1.8953200174951501E-3</v>
      </c>
    </row>
    <row r="232" spans="1:33" x14ac:dyDescent="0.35">
      <c r="A232" s="9">
        <v>43951</v>
      </c>
      <c r="B232" s="38">
        <f>Расчеты!G245/360</f>
        <v>1.6500000000000001E-2</v>
      </c>
      <c r="C232" s="11">
        <v>37.115000000000002</v>
      </c>
      <c r="D232" s="3">
        <f t="shared" si="30"/>
        <v>-0.85481501268865889</v>
      </c>
      <c r="E232" s="3">
        <f t="shared" si="31"/>
        <v>-0.87131501268865885</v>
      </c>
      <c r="F232" s="34">
        <v>2650.56</v>
      </c>
      <c r="G232" s="3">
        <f t="shared" si="32"/>
        <v>-0.47237471556133004</v>
      </c>
      <c r="H232" s="3">
        <f t="shared" si="33"/>
        <v>-0.48887471556133005</v>
      </c>
      <c r="I232" s="3">
        <f t="shared" si="34"/>
        <v>0.75918985133663774</v>
      </c>
      <c r="J232" s="3">
        <f t="shared" si="35"/>
        <v>0.23899848751517136</v>
      </c>
      <c r="K232" s="3">
        <f t="shared" si="36"/>
        <v>0.42596387899248478</v>
      </c>
      <c r="M232" s="8">
        <v>3.256166161834706</v>
      </c>
      <c r="N232" s="7">
        <f t="shared" si="37"/>
        <v>3.256166161834706E-2</v>
      </c>
      <c r="AD232" s="8">
        <v>3.256166161834706</v>
      </c>
      <c r="AE232" s="8">
        <f t="shared" si="38"/>
        <v>-3.256166161834706</v>
      </c>
      <c r="AF232" s="8">
        <v>-0.18765246762995069</v>
      </c>
      <c r="AG232" s="7">
        <f t="shared" si="39"/>
        <v>-1.8765246762995069E-3</v>
      </c>
    </row>
    <row r="233" spans="1:33" x14ac:dyDescent="0.35">
      <c r="A233" s="9">
        <v>43955</v>
      </c>
      <c r="B233" s="38">
        <f>Расчеты!G246/360</f>
        <v>1.6319444444444445E-2</v>
      </c>
      <c r="C233" s="11">
        <v>36.409999999999997</v>
      </c>
      <c r="D233" s="3">
        <f t="shared" si="30"/>
        <v>-1.8995015492388689</v>
      </c>
      <c r="E233" s="3">
        <f t="shared" si="31"/>
        <v>-1.9158209936833135</v>
      </c>
      <c r="F233" s="34">
        <v>2624.64</v>
      </c>
      <c r="G233" s="3">
        <f t="shared" si="32"/>
        <v>-0.97790655559579776</v>
      </c>
      <c r="H233" s="3">
        <f t="shared" si="33"/>
        <v>-0.9942260000402422</v>
      </c>
      <c r="I233" s="3">
        <f t="shared" si="34"/>
        <v>3.6703700798377188</v>
      </c>
      <c r="J233" s="3">
        <f t="shared" si="35"/>
        <v>0.98848533915601966</v>
      </c>
      <c r="K233" s="3">
        <f t="shared" si="36"/>
        <v>1.9047590433428829</v>
      </c>
      <c r="M233" s="8">
        <v>3.4287867370007552</v>
      </c>
      <c r="N233" s="7">
        <f t="shared" si="37"/>
        <v>3.4287867370007552E-2</v>
      </c>
      <c r="AD233" s="8">
        <v>3.4287867370007552</v>
      </c>
      <c r="AE233" s="8">
        <f t="shared" si="38"/>
        <v>-3.4287867370007552</v>
      </c>
      <c r="AF233" s="8">
        <v>-0.18656716417910779</v>
      </c>
      <c r="AG233" s="7">
        <f t="shared" si="39"/>
        <v>-1.8656716417910779E-3</v>
      </c>
    </row>
    <row r="234" spans="1:33" x14ac:dyDescent="0.35">
      <c r="A234" s="9">
        <v>43956</v>
      </c>
      <c r="B234" s="38">
        <f>Расчеты!G247/360</f>
        <v>1.6319444444444445E-2</v>
      </c>
      <c r="C234" s="11">
        <v>36.844999999999999</v>
      </c>
      <c r="D234" s="3">
        <f t="shared" si="30"/>
        <v>1.1947267234276415</v>
      </c>
      <c r="E234" s="3">
        <f t="shared" si="31"/>
        <v>1.178407278983197</v>
      </c>
      <c r="F234" s="34">
        <v>2653.51</v>
      </c>
      <c r="G234" s="3">
        <f t="shared" si="32"/>
        <v>1.099960375518183</v>
      </c>
      <c r="H234" s="3">
        <f t="shared" si="33"/>
        <v>1.0836409310737385</v>
      </c>
      <c r="I234" s="3">
        <f t="shared" si="34"/>
        <v>1.3886437151605822</v>
      </c>
      <c r="J234" s="3">
        <f t="shared" si="35"/>
        <v>1.1742776674983588</v>
      </c>
      <c r="K234" s="3">
        <f t="shared" si="36"/>
        <v>1.2769703609814222</v>
      </c>
      <c r="M234" s="8">
        <v>3.7911961281401174</v>
      </c>
      <c r="N234" s="7">
        <f t="shared" si="37"/>
        <v>3.7911961281401174E-2</v>
      </c>
      <c r="AD234" s="8">
        <v>3.7911961281401174</v>
      </c>
      <c r="AE234" s="8">
        <f t="shared" si="38"/>
        <v>-3.7911961281401174</v>
      </c>
      <c r="AF234" s="8">
        <v>-0.18621973929237035</v>
      </c>
      <c r="AG234" s="7">
        <f t="shared" si="39"/>
        <v>-1.8621973929237035E-3</v>
      </c>
    </row>
    <row r="235" spans="1:33" x14ac:dyDescent="0.35">
      <c r="A235" s="9">
        <v>43957</v>
      </c>
      <c r="B235" s="38">
        <f>Расчеты!G248/360</f>
        <v>1.6138888888888887E-2</v>
      </c>
      <c r="C235" s="11">
        <v>35.72</v>
      </c>
      <c r="D235" s="3">
        <f t="shared" si="30"/>
        <v>-3.0533315239516856</v>
      </c>
      <c r="E235" s="3">
        <f t="shared" si="31"/>
        <v>-3.0694704128405745</v>
      </c>
      <c r="F235" s="34">
        <v>2632.1</v>
      </c>
      <c r="G235" s="3">
        <f t="shared" si="32"/>
        <v>-0.80685582492624475</v>
      </c>
      <c r="H235" s="3">
        <f t="shared" si="33"/>
        <v>-0.82299471381513367</v>
      </c>
      <c r="I235" s="3">
        <f t="shared" si="34"/>
        <v>9.4216486153036865</v>
      </c>
      <c r="J235" s="3">
        <f t="shared" si="35"/>
        <v>0.67732029896765378</v>
      </c>
      <c r="K235" s="3">
        <f t="shared" si="36"/>
        <v>2.5261579239797487</v>
      </c>
      <c r="M235" s="8">
        <v>4.0510127531882878</v>
      </c>
      <c r="N235" s="7">
        <f t="shared" si="37"/>
        <v>4.0510127531882878E-2</v>
      </c>
      <c r="AD235" s="8">
        <v>4.0510127531882878</v>
      </c>
      <c r="AE235" s="8">
        <f t="shared" si="38"/>
        <v>-4.0510127531882878</v>
      </c>
      <c r="AF235" s="8">
        <v>-0.17656351640182866</v>
      </c>
      <c r="AG235" s="7">
        <f t="shared" si="39"/>
        <v>-1.7656351640182866E-3</v>
      </c>
    </row>
    <row r="236" spans="1:33" x14ac:dyDescent="0.35">
      <c r="A236" s="9">
        <v>43958</v>
      </c>
      <c r="B236" s="38">
        <f>Расчеты!G249/360</f>
        <v>1.575E-2</v>
      </c>
      <c r="C236" s="11">
        <v>36.54</v>
      </c>
      <c r="D236" s="3">
        <f t="shared" si="30"/>
        <v>2.2956326987682019</v>
      </c>
      <c r="E236" s="3">
        <f t="shared" si="31"/>
        <v>2.2798826987682017</v>
      </c>
      <c r="F236" s="34">
        <v>2634</v>
      </c>
      <c r="G236" s="3">
        <f t="shared" si="32"/>
        <v>7.218570722997697E-2</v>
      </c>
      <c r="H236" s="3">
        <f t="shared" si="33"/>
        <v>5.643570722997697E-2</v>
      </c>
      <c r="I236" s="3">
        <f t="shared" si="34"/>
        <v>5.1978651201425787</v>
      </c>
      <c r="J236" s="3">
        <f t="shared" si="35"/>
        <v>3.1849890505476746E-3</v>
      </c>
      <c r="K236" s="3">
        <f t="shared" si="36"/>
        <v>0.128666792506372</v>
      </c>
      <c r="M236" s="8">
        <v>5.0088495575221215</v>
      </c>
      <c r="N236" s="7">
        <f t="shared" si="37"/>
        <v>5.0088495575221215E-2</v>
      </c>
      <c r="AD236" s="8">
        <v>5.0088495575221215</v>
      </c>
      <c r="AE236" s="8">
        <f t="shared" si="38"/>
        <v>-5.0088495575221215</v>
      </c>
      <c r="AF236" s="8">
        <v>-0.14749262536872809</v>
      </c>
      <c r="AG236" s="7">
        <f t="shared" si="39"/>
        <v>-1.4749262536872809E-3</v>
      </c>
    </row>
    <row r="237" spans="1:33" x14ac:dyDescent="0.35">
      <c r="A237" s="9">
        <v>43959</v>
      </c>
      <c r="B237" s="38">
        <f>Расчеты!G250/360</f>
        <v>1.5000000000000001E-2</v>
      </c>
      <c r="C237" s="11">
        <v>37.200000000000003</v>
      </c>
      <c r="D237" s="3">
        <f t="shared" si="30"/>
        <v>1.8062397372742289</v>
      </c>
      <c r="E237" s="3">
        <f t="shared" si="31"/>
        <v>1.791239737274229</v>
      </c>
      <c r="F237" s="34">
        <v>2641.55</v>
      </c>
      <c r="G237" s="3">
        <f t="shared" si="32"/>
        <v>0.28663629460896622</v>
      </c>
      <c r="H237" s="3">
        <f t="shared" si="33"/>
        <v>0.27163629460896621</v>
      </c>
      <c r="I237" s="3">
        <f t="shared" si="34"/>
        <v>3.2085397963902489</v>
      </c>
      <c r="J237" s="3">
        <f t="shared" si="35"/>
        <v>7.3786276548889085E-2</v>
      </c>
      <c r="K237" s="3">
        <f t="shared" si="36"/>
        <v>0.48656572498950973</v>
      </c>
      <c r="M237" s="8">
        <v>5.0612979417388404</v>
      </c>
      <c r="N237" s="7">
        <f t="shared" si="37"/>
        <v>5.0612979417388404E-2</v>
      </c>
      <c r="AD237" s="8">
        <v>5.0612979417388404</v>
      </c>
      <c r="AE237" s="8">
        <f t="shared" si="38"/>
        <v>-5.0612979417388404</v>
      </c>
      <c r="AF237" s="8">
        <v>-0.13422818791946067</v>
      </c>
      <c r="AG237" s="7">
        <f t="shared" si="39"/>
        <v>-1.3422818791946067E-3</v>
      </c>
    </row>
    <row r="238" spans="1:33" x14ac:dyDescent="0.35">
      <c r="A238" s="9">
        <v>43963</v>
      </c>
      <c r="B238" s="38">
        <f>Расчеты!G251/360</f>
        <v>1.5583333333333334E-2</v>
      </c>
      <c r="C238" s="11">
        <v>37.159999999999997</v>
      </c>
      <c r="D238" s="3">
        <f t="shared" si="30"/>
        <v>-0.10752688172044333</v>
      </c>
      <c r="E238" s="3">
        <f t="shared" si="31"/>
        <v>-0.12311021505377667</v>
      </c>
      <c r="F238" s="34">
        <v>2642.04</v>
      </c>
      <c r="G238" s="3">
        <f t="shared" si="32"/>
        <v>1.854971512935677E-2</v>
      </c>
      <c r="H238" s="3">
        <f t="shared" si="33"/>
        <v>2.9663817960234352E-3</v>
      </c>
      <c r="I238" s="3">
        <f t="shared" si="34"/>
        <v>1.515612505058714E-2</v>
      </c>
      <c r="J238" s="3">
        <f t="shared" si="35"/>
        <v>8.7994209597792215E-6</v>
      </c>
      <c r="K238" s="3">
        <f t="shared" si="36"/>
        <v>-3.6519190084005338E-4</v>
      </c>
      <c r="M238" s="8">
        <v>5.087939698492483</v>
      </c>
      <c r="N238" s="7">
        <f t="shared" si="37"/>
        <v>5.087939698492483E-2</v>
      </c>
      <c r="AD238" s="8">
        <v>5.087939698492483</v>
      </c>
      <c r="AE238" s="8">
        <f t="shared" si="38"/>
        <v>-5.087939698492483</v>
      </c>
      <c r="AF238" s="8">
        <v>-0.13315579227697327</v>
      </c>
      <c r="AG238" s="7">
        <f t="shared" si="39"/>
        <v>-1.3315579227697327E-3</v>
      </c>
    </row>
    <row r="239" spans="1:33" x14ac:dyDescent="0.35">
      <c r="A239" s="9">
        <v>43964</v>
      </c>
      <c r="B239" s="38">
        <f>Расчеты!G252/360</f>
        <v>1.5777777777777776E-2</v>
      </c>
      <c r="C239" s="11">
        <v>36.445</v>
      </c>
      <c r="D239" s="3">
        <f t="shared" si="30"/>
        <v>-1.9241119483315305</v>
      </c>
      <c r="E239" s="3">
        <f t="shared" si="31"/>
        <v>-1.9398897261093082</v>
      </c>
      <c r="F239" s="34">
        <v>2604.98</v>
      </c>
      <c r="G239" s="3">
        <f t="shared" si="32"/>
        <v>-1.402703971173791</v>
      </c>
      <c r="H239" s="3">
        <f t="shared" si="33"/>
        <v>-1.4184817489515686</v>
      </c>
      <c r="I239" s="3">
        <f t="shared" si="34"/>
        <v>3.763172149464447</v>
      </c>
      <c r="J239" s="3">
        <f t="shared" si="35"/>
        <v>2.0120904721087012</v>
      </c>
      <c r="K239" s="3">
        <f t="shared" si="36"/>
        <v>2.7516981714647111</v>
      </c>
      <c r="M239" s="8">
        <v>5.1428571428571379</v>
      </c>
      <c r="N239" s="7">
        <f t="shared" si="37"/>
        <v>5.1428571428571379E-2</v>
      </c>
      <c r="AD239" s="8">
        <v>5.1428571428571379</v>
      </c>
      <c r="AE239" s="8">
        <f t="shared" si="38"/>
        <v>-5.1428571428571379</v>
      </c>
      <c r="AF239" s="8">
        <v>-0.11507479861909697</v>
      </c>
      <c r="AG239" s="7">
        <f t="shared" si="39"/>
        <v>-1.1507479861909697E-3</v>
      </c>
    </row>
    <row r="240" spans="1:33" x14ac:dyDescent="0.35">
      <c r="A240" s="9">
        <v>43965</v>
      </c>
      <c r="B240" s="38">
        <f>Расчеты!G253/360</f>
        <v>1.5722222222222224E-2</v>
      </c>
      <c r="C240" s="11">
        <v>39.28</v>
      </c>
      <c r="D240" s="3">
        <f t="shared" si="30"/>
        <v>7.7788448346824079</v>
      </c>
      <c r="E240" s="3">
        <f t="shared" si="31"/>
        <v>7.7631226124601858</v>
      </c>
      <c r="F240" s="34">
        <v>2590.31</v>
      </c>
      <c r="G240" s="3">
        <f t="shared" si="32"/>
        <v>-0.56315211633103379</v>
      </c>
      <c r="H240" s="3">
        <f t="shared" si="33"/>
        <v>-0.57887433855325598</v>
      </c>
      <c r="I240" s="3">
        <f t="shared" si="34"/>
        <v>60.26607269609066</v>
      </c>
      <c r="J240" s="3">
        <f t="shared" si="35"/>
        <v>0.3350954998354696</v>
      </c>
      <c r="K240" s="3">
        <f t="shared" si="36"/>
        <v>-4.4938724673957147</v>
      </c>
      <c r="M240" s="8">
        <v>6.3189269746646959</v>
      </c>
      <c r="N240" s="7">
        <f t="shared" si="37"/>
        <v>6.3189269746646959E-2</v>
      </c>
      <c r="AD240" s="8">
        <v>6.3189269746646959</v>
      </c>
      <c r="AE240" s="8">
        <f t="shared" si="38"/>
        <v>-6.3189269746646959</v>
      </c>
      <c r="AF240" s="8">
        <v>-0.1138952164009055</v>
      </c>
      <c r="AG240" s="7">
        <f t="shared" si="39"/>
        <v>-1.138952164009055E-3</v>
      </c>
    </row>
    <row r="241" spans="1:33" x14ac:dyDescent="0.35">
      <c r="A241" s="9">
        <v>43966</v>
      </c>
      <c r="B241" s="38">
        <f>Расчеты!G254/360</f>
        <v>1.5611111111111112E-2</v>
      </c>
      <c r="C241" s="11">
        <v>40.145000000000003</v>
      </c>
      <c r="D241" s="3">
        <f t="shared" si="30"/>
        <v>2.2021384928716969</v>
      </c>
      <c r="E241" s="3">
        <f t="shared" si="31"/>
        <v>2.1865273817605857</v>
      </c>
      <c r="F241" s="34">
        <v>2593.91</v>
      </c>
      <c r="G241" s="3">
        <f t="shared" si="32"/>
        <v>0.1389795043836406</v>
      </c>
      <c r="H241" s="3">
        <f t="shared" si="33"/>
        <v>0.12336839327252948</v>
      </c>
      <c r="I241" s="3">
        <f t="shared" si="34"/>
        <v>4.7809019911888022</v>
      </c>
      <c r="J241" s="3">
        <f t="shared" si="35"/>
        <v>1.5219760458645497E-2</v>
      </c>
      <c r="K241" s="3">
        <f t="shared" si="36"/>
        <v>0.26974836993419415</v>
      </c>
      <c r="M241" s="8">
        <v>6.9400630914826511</v>
      </c>
      <c r="N241" s="7">
        <f t="shared" si="37"/>
        <v>6.9400630914826511E-2</v>
      </c>
      <c r="AD241" s="8">
        <v>6.9400630914826511</v>
      </c>
      <c r="AE241" s="8">
        <f t="shared" si="38"/>
        <v>-6.9400630914826511</v>
      </c>
      <c r="AF241" s="8">
        <v>-0.11265490048816273</v>
      </c>
      <c r="AG241" s="7">
        <f t="shared" si="39"/>
        <v>-1.1265490048816273E-3</v>
      </c>
    </row>
    <row r="242" spans="1:33" x14ac:dyDescent="0.35">
      <c r="A242" s="9">
        <v>43969</v>
      </c>
      <c r="B242" s="38">
        <f>Расчеты!G255/360</f>
        <v>1.5555555555555555E-2</v>
      </c>
      <c r="C242" s="11">
        <v>40.6</v>
      </c>
      <c r="D242" s="3">
        <f t="shared" si="30"/>
        <v>1.1333914559720881</v>
      </c>
      <c r="E242" s="3">
        <f t="shared" si="31"/>
        <v>1.1178359004165326</v>
      </c>
      <c r="F242" s="34">
        <v>2694.25</v>
      </c>
      <c r="G242" s="3">
        <f t="shared" si="32"/>
        <v>3.8682914981630123</v>
      </c>
      <c r="H242" s="3">
        <f t="shared" si="33"/>
        <v>3.8527359426074566</v>
      </c>
      <c r="I242" s="3">
        <f t="shared" si="34"/>
        <v>1.2495571002600401</v>
      </c>
      <c r="J242" s="3">
        <f t="shared" si="35"/>
        <v>14.843574243459367</v>
      </c>
      <c r="K242" s="3">
        <f t="shared" si="36"/>
        <v>4.306726551471745</v>
      </c>
      <c r="M242" s="8">
        <v>6.9575200918484459</v>
      </c>
      <c r="N242" s="7">
        <f t="shared" si="37"/>
        <v>6.9575200918484459E-2</v>
      </c>
      <c r="AD242" s="8">
        <v>6.9575200918484459</v>
      </c>
      <c r="AE242" s="8">
        <f t="shared" si="38"/>
        <v>-6.9575200918484459</v>
      </c>
      <c r="AF242" s="8">
        <v>-0.11210762331839152</v>
      </c>
      <c r="AG242" s="7">
        <f t="shared" si="39"/>
        <v>-1.1210762331839152E-3</v>
      </c>
    </row>
    <row r="243" spans="1:33" x14ac:dyDescent="0.35">
      <c r="A243" s="9">
        <v>43970</v>
      </c>
      <c r="B243" s="38">
        <f>Расчеты!G256/360</f>
        <v>1.5611111111111112E-2</v>
      </c>
      <c r="C243" s="11">
        <v>40.04</v>
      </c>
      <c r="D243" s="3">
        <f t="shared" si="30"/>
        <v>-1.379310344827589</v>
      </c>
      <c r="E243" s="3">
        <f t="shared" si="31"/>
        <v>-1.3949214559387</v>
      </c>
      <c r="F243" s="34">
        <v>2711.72</v>
      </c>
      <c r="G243" s="3">
        <f t="shared" si="32"/>
        <v>0.64841792706689105</v>
      </c>
      <c r="H243" s="3">
        <f t="shared" si="33"/>
        <v>0.63280681595577992</v>
      </c>
      <c r="I243" s="3">
        <f t="shared" si="34"/>
        <v>1.9458058682381425</v>
      </c>
      <c r="J243" s="3">
        <f t="shared" si="35"/>
        <v>0.40044446632009234</v>
      </c>
      <c r="K243" s="3">
        <f t="shared" si="36"/>
        <v>-0.88271580504096947</v>
      </c>
      <c r="M243" s="8">
        <v>7.0278672143888166</v>
      </c>
      <c r="N243" s="7">
        <f t="shared" si="37"/>
        <v>7.0278672143888166E-2</v>
      </c>
      <c r="AD243" s="8">
        <v>7.0278672143888166</v>
      </c>
      <c r="AE243" s="8">
        <f t="shared" si="38"/>
        <v>-7.0278672143888166</v>
      </c>
      <c r="AF243" s="8">
        <v>-0.10752688172044333</v>
      </c>
      <c r="AG243" s="7">
        <f t="shared" si="39"/>
        <v>-1.0752688172044333E-3</v>
      </c>
    </row>
    <row r="244" spans="1:33" x14ac:dyDescent="0.35">
      <c r="A244" s="9">
        <v>43971</v>
      </c>
      <c r="B244" s="38">
        <f>Расчеты!G257/360</f>
        <v>1.5611111111111112E-2</v>
      </c>
      <c r="C244" s="11">
        <v>40.795000000000002</v>
      </c>
      <c r="D244" s="3">
        <f t="shared" si="30"/>
        <v>1.885614385614387</v>
      </c>
      <c r="E244" s="3">
        <f t="shared" si="31"/>
        <v>1.870003274503276</v>
      </c>
      <c r="F244" s="34">
        <v>2770.79</v>
      </c>
      <c r="G244" s="3">
        <f t="shared" si="32"/>
        <v>2.1783222456595919</v>
      </c>
      <c r="H244" s="3">
        <f t="shared" si="33"/>
        <v>2.1627111345484806</v>
      </c>
      <c r="I244" s="3">
        <f t="shared" si="34"/>
        <v>3.4969122466529745</v>
      </c>
      <c r="J244" s="3">
        <f t="shared" si="35"/>
        <v>4.6773194514999759</v>
      </c>
      <c r="K244" s="3">
        <f t="shared" si="36"/>
        <v>4.0442769034103536</v>
      </c>
      <c r="M244" s="8">
        <v>7.1747543911878431</v>
      </c>
      <c r="N244" s="7">
        <f t="shared" si="37"/>
        <v>7.1747543911878431E-2</v>
      </c>
      <c r="AD244" s="8">
        <v>7.1747543911878431</v>
      </c>
      <c r="AE244" s="8">
        <f t="shared" si="38"/>
        <v>-7.1747543911878431</v>
      </c>
      <c r="AF244" s="8">
        <v>-0.10741138560687036</v>
      </c>
      <c r="AG244" s="7">
        <f t="shared" si="39"/>
        <v>-1.0741138560687036E-3</v>
      </c>
    </row>
    <row r="245" spans="1:33" x14ac:dyDescent="0.35">
      <c r="A245" s="9">
        <v>43972</v>
      </c>
      <c r="B245" s="38">
        <f>Расчеты!G258/360</f>
        <v>1.5555555555555555E-2</v>
      </c>
      <c r="C245" s="11">
        <v>39</v>
      </c>
      <c r="D245" s="3">
        <f t="shared" si="30"/>
        <v>-4.4000490256158926</v>
      </c>
      <c r="E245" s="3">
        <f t="shared" si="31"/>
        <v>-4.4156045811714479</v>
      </c>
      <c r="F245" s="34">
        <v>2718.67</v>
      </c>
      <c r="G245" s="3">
        <f t="shared" si="32"/>
        <v>-1.8810519743466592</v>
      </c>
      <c r="H245" s="3">
        <f t="shared" si="33"/>
        <v>-1.8966075299022147</v>
      </c>
      <c r="I245" s="3">
        <f t="shared" si="34"/>
        <v>19.497563817262279</v>
      </c>
      <c r="J245" s="3">
        <f t="shared" si="35"/>
        <v>3.5971201224817801</v>
      </c>
      <c r="K245" s="3">
        <f t="shared" si="36"/>
        <v>8.3746688977204826</v>
      </c>
      <c r="M245" s="8">
        <v>7.3573729606151828</v>
      </c>
      <c r="N245" s="7">
        <f t="shared" si="37"/>
        <v>7.3573729606151828E-2</v>
      </c>
      <c r="AD245" s="8">
        <v>7.3573729606151828</v>
      </c>
      <c r="AE245" s="8">
        <f t="shared" si="38"/>
        <v>-7.3573729606151828</v>
      </c>
      <c r="AF245" s="8">
        <v>-9.9304865938443232E-2</v>
      </c>
      <c r="AG245" s="7">
        <f t="shared" si="39"/>
        <v>-9.9304865938443232E-4</v>
      </c>
    </row>
    <row r="246" spans="1:33" x14ac:dyDescent="0.35">
      <c r="A246" s="9">
        <v>43973</v>
      </c>
      <c r="B246" s="38">
        <f>Расчеты!G259/360</f>
        <v>1.5611111111111112E-2</v>
      </c>
      <c r="C246" s="11">
        <v>39.799999999999997</v>
      </c>
      <c r="D246" s="3">
        <f t="shared" si="30"/>
        <v>2.051282051282044</v>
      </c>
      <c r="E246" s="3">
        <f t="shared" si="31"/>
        <v>2.0356709401709328</v>
      </c>
      <c r="F246" s="34">
        <v>2709.38</v>
      </c>
      <c r="G246" s="3">
        <f t="shared" si="32"/>
        <v>-0.34171120437567204</v>
      </c>
      <c r="H246" s="3">
        <f t="shared" si="33"/>
        <v>-0.35732231548678317</v>
      </c>
      <c r="I246" s="3">
        <f t="shared" si="34"/>
        <v>4.1439561766564097</v>
      </c>
      <c r="J246" s="3">
        <f t="shared" si="35"/>
        <v>0.1276792371448362</v>
      </c>
      <c r="K246" s="3">
        <f t="shared" si="36"/>
        <v>-0.72739065391103452</v>
      </c>
      <c r="M246" s="8">
        <v>7.5697674418604644</v>
      </c>
      <c r="N246" s="7">
        <f t="shared" si="37"/>
        <v>7.5697674418604644E-2</v>
      </c>
      <c r="AD246" s="8">
        <v>7.5697674418604644</v>
      </c>
      <c r="AE246" s="8">
        <f t="shared" si="38"/>
        <v>-7.5697674418604644</v>
      </c>
      <c r="AF246" s="8">
        <v>-8.2872928176802585E-2</v>
      </c>
      <c r="AG246" s="7">
        <f t="shared" si="39"/>
        <v>-8.2872928176802585E-4</v>
      </c>
    </row>
    <row r="247" spans="1:33" x14ac:dyDescent="0.35">
      <c r="A247" s="9">
        <v>43976</v>
      </c>
      <c r="B247" s="38">
        <f>Расчеты!G260/360</f>
        <v>1.5694444444444445E-2</v>
      </c>
      <c r="C247" s="11">
        <v>41.825000000000003</v>
      </c>
      <c r="D247" s="3">
        <f t="shared" si="30"/>
        <v>5.087939698492483</v>
      </c>
      <c r="E247" s="3">
        <f t="shared" si="31"/>
        <v>5.0722452540480383</v>
      </c>
      <c r="F247" s="34">
        <v>2757.93</v>
      </c>
      <c r="G247" s="3">
        <f t="shared" si="32"/>
        <v>1.7919228753441541</v>
      </c>
      <c r="H247" s="3">
        <f t="shared" si="33"/>
        <v>1.7762284308997096</v>
      </c>
      <c r="I247" s="3">
        <f t="shared" si="34"/>
        <v>25.727671917212849</v>
      </c>
      <c r="J247" s="3">
        <f t="shared" si="35"/>
        <v>3.1549874387364443</v>
      </c>
      <c r="K247" s="3">
        <f t="shared" si="36"/>
        <v>9.0094662287362457</v>
      </c>
      <c r="M247" s="8">
        <v>7.7788448346824079</v>
      </c>
      <c r="N247" s="7">
        <f t="shared" si="37"/>
        <v>7.7788448346824079E-2</v>
      </c>
      <c r="AD247" s="8">
        <v>7.7788448346824079</v>
      </c>
      <c r="AE247" s="8">
        <f t="shared" si="38"/>
        <v>-7.7788448346824079</v>
      </c>
      <c r="AF247" s="8">
        <v>-7.5987841945290846E-2</v>
      </c>
      <c r="AG247" s="7">
        <f t="shared" si="39"/>
        <v>-7.5987841945290846E-4</v>
      </c>
    </row>
    <row r="248" spans="1:33" x14ac:dyDescent="0.35">
      <c r="A248" s="9">
        <v>43977</v>
      </c>
      <c r="B248" s="38">
        <f>Расчеты!G261/360</f>
        <v>1.5722222222222224E-2</v>
      </c>
      <c r="C248" s="11">
        <v>41.7</v>
      </c>
      <c r="D248" s="3">
        <f t="shared" si="30"/>
        <v>-0.29886431560072202</v>
      </c>
      <c r="E248" s="3">
        <f t="shared" si="31"/>
        <v>-0.31458653782294427</v>
      </c>
      <c r="F248" s="34">
        <v>2754.04</v>
      </c>
      <c r="G248" s="3">
        <f t="shared" si="32"/>
        <v>-0.14104781484663986</v>
      </c>
      <c r="H248" s="3">
        <f t="shared" si="33"/>
        <v>-0.15677003706886208</v>
      </c>
      <c r="I248" s="3">
        <f t="shared" si="34"/>
        <v>9.896468977942674E-2</v>
      </c>
      <c r="J248" s="3">
        <f t="shared" si="35"/>
        <v>2.4576844522572392E-2</v>
      </c>
      <c r="K248" s="3">
        <f t="shared" si="36"/>
        <v>4.9317743195867958E-2</v>
      </c>
      <c r="M248" s="8">
        <v>8.2582870281663112</v>
      </c>
      <c r="N248" s="7">
        <f t="shared" si="37"/>
        <v>8.2582870281663112E-2</v>
      </c>
      <c r="AD248" s="8">
        <v>8.2582870281663112</v>
      </c>
      <c r="AE248" s="8">
        <f t="shared" si="38"/>
        <v>-8.2582870281663112</v>
      </c>
      <c r="AF248" s="8">
        <v>-7.3909830007390376E-2</v>
      </c>
      <c r="AG248" s="7">
        <f t="shared" si="39"/>
        <v>-7.3909830007390376E-4</v>
      </c>
    </row>
    <row r="249" spans="1:33" x14ac:dyDescent="0.35">
      <c r="A249" s="9">
        <v>43978</v>
      </c>
      <c r="B249" s="38">
        <f>Расчеты!G262/360</f>
        <v>1.5722222222222224E-2</v>
      </c>
      <c r="C249" s="11">
        <v>40.685000000000002</v>
      </c>
      <c r="D249" s="3">
        <f t="shared" si="30"/>
        <v>-2.4340527577937698</v>
      </c>
      <c r="E249" s="3">
        <f t="shared" si="31"/>
        <v>-2.449774980015992</v>
      </c>
      <c r="F249" s="34">
        <v>2741.02</v>
      </c>
      <c r="G249" s="3">
        <f t="shared" si="32"/>
        <v>-0.47276001800991008</v>
      </c>
      <c r="H249" s="3">
        <f t="shared" si="33"/>
        <v>-0.48848224023213233</v>
      </c>
      <c r="I249" s="3">
        <f t="shared" si="34"/>
        <v>6.0013974527123546</v>
      </c>
      <c r="J249" s="3">
        <f t="shared" si="35"/>
        <v>0.23861489902220265</v>
      </c>
      <c r="K249" s="3">
        <f t="shared" si="36"/>
        <v>1.196671570302839</v>
      </c>
      <c r="M249" s="8">
        <v>8.4142394822006352</v>
      </c>
      <c r="N249" s="7">
        <f t="shared" si="37"/>
        <v>8.4142394822006347E-2</v>
      </c>
      <c r="AD249" s="8">
        <v>8.4142394822006352</v>
      </c>
      <c r="AE249" s="8">
        <f t="shared" si="38"/>
        <v>-8.4142394822006352</v>
      </c>
      <c r="AF249" s="8">
        <v>-7.3015541879639656E-2</v>
      </c>
      <c r="AG249" s="7">
        <f t="shared" si="39"/>
        <v>-7.3015541879639656E-4</v>
      </c>
    </row>
    <row r="250" spans="1:33" x14ac:dyDescent="0.35">
      <c r="A250" s="9">
        <v>43979</v>
      </c>
      <c r="B250" s="38">
        <f>Расчеты!G263/360</f>
        <v>1.5805555555555555E-2</v>
      </c>
      <c r="C250" s="11">
        <v>40.5</v>
      </c>
      <c r="D250" s="3">
        <f t="shared" si="30"/>
        <v>-0.45471303920364692</v>
      </c>
      <c r="E250" s="3">
        <f t="shared" si="31"/>
        <v>-0.47051859475920249</v>
      </c>
      <c r="F250" s="34">
        <v>2779.98</v>
      </c>
      <c r="G250" s="3">
        <f t="shared" si="32"/>
        <v>1.421368687568858</v>
      </c>
      <c r="H250" s="3">
        <f t="shared" si="33"/>
        <v>1.4055631320133024</v>
      </c>
      <c r="I250" s="3">
        <f t="shared" si="34"/>
        <v>0.2213877480141746</v>
      </c>
      <c r="J250" s="3">
        <f t="shared" si="35"/>
        <v>1.9756077180750442</v>
      </c>
      <c r="K250" s="3">
        <f t="shared" si="36"/>
        <v>-0.66134358972024243</v>
      </c>
      <c r="M250" s="8">
        <v>8.7139726950952401</v>
      </c>
      <c r="N250" s="7">
        <f t="shared" si="37"/>
        <v>8.7139726950952401E-2</v>
      </c>
      <c r="AD250" s="8">
        <v>8.7139726950952401</v>
      </c>
      <c r="AE250" s="8">
        <f t="shared" si="38"/>
        <v>-8.7139726950952401</v>
      </c>
      <c r="AF250" s="8">
        <v>-7.2689511941836926E-2</v>
      </c>
      <c r="AG250" s="7">
        <f t="shared" si="39"/>
        <v>-7.2689511941836926E-4</v>
      </c>
    </row>
    <row r="251" spans="1:33" x14ac:dyDescent="0.35">
      <c r="A251" s="9">
        <v>43980</v>
      </c>
      <c r="B251" s="38">
        <f>Расчеты!G264/360</f>
        <v>1.5805555555555555E-2</v>
      </c>
      <c r="C251" s="11">
        <v>39.61</v>
      </c>
      <c r="D251" s="3">
        <f t="shared" si="30"/>
        <v>-2.1975308641975277</v>
      </c>
      <c r="E251" s="3">
        <f t="shared" si="31"/>
        <v>-2.2133364197530834</v>
      </c>
      <c r="F251" s="34">
        <v>2734.83</v>
      </c>
      <c r="G251" s="3">
        <f t="shared" si="32"/>
        <v>-1.6241124036863619</v>
      </c>
      <c r="H251" s="3">
        <f t="shared" si="33"/>
        <v>-1.6399179592419175</v>
      </c>
      <c r="I251" s="3">
        <f t="shared" si="34"/>
        <v>4.8988581070053971</v>
      </c>
      <c r="J251" s="3">
        <f t="shared" si="35"/>
        <v>2.6893309130441754</v>
      </c>
      <c r="K251" s="3">
        <f t="shared" si="36"/>
        <v>3.6296901445972884</v>
      </c>
      <c r="M251" s="8">
        <v>8.7175357358566519</v>
      </c>
      <c r="N251" s="7">
        <f t="shared" si="37"/>
        <v>8.7175357358566519E-2</v>
      </c>
      <c r="AD251" s="8">
        <v>8.7175357358566519</v>
      </c>
      <c r="AE251" s="8">
        <f t="shared" si="38"/>
        <v>-8.7175357358566519</v>
      </c>
      <c r="AF251" s="8">
        <v>-3.7671877943123988E-2</v>
      </c>
      <c r="AG251" s="7">
        <f t="shared" si="39"/>
        <v>-3.7671877943123988E-4</v>
      </c>
    </row>
    <row r="252" spans="1:33" x14ac:dyDescent="0.35">
      <c r="A252" s="9">
        <v>43983</v>
      </c>
      <c r="B252" s="38">
        <f>Расчеты!G265/360</f>
        <v>1.575E-2</v>
      </c>
      <c r="C252" s="11">
        <v>39.950000000000003</v>
      </c>
      <c r="D252" s="3">
        <f t="shared" si="30"/>
        <v>0.8583690987124637</v>
      </c>
      <c r="E252" s="3">
        <f t="shared" si="31"/>
        <v>0.84261909871246365</v>
      </c>
      <c r="F252" s="34">
        <v>2750.24</v>
      </c>
      <c r="G252" s="3">
        <f t="shared" si="32"/>
        <v>0.56347195255279647</v>
      </c>
      <c r="H252" s="3">
        <f t="shared" si="33"/>
        <v>0.54772195255279643</v>
      </c>
      <c r="I252" s="3">
        <f t="shared" si="34"/>
        <v>0.71000694551500454</v>
      </c>
      <c r="J252" s="3">
        <f t="shared" si="35"/>
        <v>0.29999933730824779</v>
      </c>
      <c r="K252" s="3">
        <f t="shared" si="36"/>
        <v>0.46152097800506808</v>
      </c>
      <c r="M252" s="8">
        <v>9.3805309734513287</v>
      </c>
      <c r="N252" s="7">
        <f t="shared" si="37"/>
        <v>9.3805309734513287E-2</v>
      </c>
      <c r="AD252" s="8">
        <v>9.3805309734513287</v>
      </c>
      <c r="AE252" s="8">
        <f t="shared" si="38"/>
        <v>-9.3805309734513287</v>
      </c>
      <c r="AF252" s="8">
        <v>-2.0699648105981794E-2</v>
      </c>
      <c r="AG252" s="7">
        <f t="shared" si="39"/>
        <v>-2.0699648105981794E-4</v>
      </c>
    </row>
    <row r="253" spans="1:33" x14ac:dyDescent="0.35">
      <c r="A253" s="9">
        <v>43984</v>
      </c>
      <c r="B253" s="38">
        <f>Расчеты!G266/360</f>
        <v>1.5666666666666666E-2</v>
      </c>
      <c r="C253" s="11">
        <v>40.225000000000001</v>
      </c>
      <c r="D253" s="3">
        <f t="shared" si="30"/>
        <v>0.68836045056319684</v>
      </c>
      <c r="E253" s="3">
        <f t="shared" si="31"/>
        <v>0.67269378389653012</v>
      </c>
      <c r="F253" s="34">
        <v>2796.51</v>
      </c>
      <c r="G253" s="3">
        <f t="shared" si="32"/>
        <v>1.6823986270289248</v>
      </c>
      <c r="H253" s="3">
        <f t="shared" si="33"/>
        <v>1.6667319603622581</v>
      </c>
      <c r="I253" s="3">
        <f t="shared" si="34"/>
        <v>0.45251692689303158</v>
      </c>
      <c r="J253" s="3">
        <f t="shared" si="35"/>
        <v>2.7779954276930159</v>
      </c>
      <c r="K253" s="3">
        <f t="shared" si="36"/>
        <v>1.1212002291573688</v>
      </c>
      <c r="M253" s="8">
        <v>12.295081967213118</v>
      </c>
      <c r="N253" s="7">
        <f t="shared" si="37"/>
        <v>0.12295081967213119</v>
      </c>
      <c r="AD253" s="8">
        <v>12.295081967213118</v>
      </c>
      <c r="AE253" s="8">
        <f t="shared" si="38"/>
        <v>-12.295081967213118</v>
      </c>
      <c r="AF253" s="8">
        <v>0</v>
      </c>
      <c r="AG253" s="7">
        <f t="shared" si="39"/>
        <v>0</v>
      </c>
    </row>
    <row r="254" spans="1:33" x14ac:dyDescent="0.35">
      <c r="A254" s="9">
        <v>43985</v>
      </c>
      <c r="B254" s="38">
        <f>Расчеты!G267/360</f>
        <v>1.5738095238095239E-2</v>
      </c>
      <c r="C254" s="11">
        <v>39.979999999999997</v>
      </c>
      <c r="D254" s="3">
        <f t="shared" si="30"/>
        <v>-0.60907395898074368</v>
      </c>
      <c r="E254" s="3">
        <f t="shared" si="31"/>
        <v>-0.6248120542188389</v>
      </c>
      <c r="F254" s="34">
        <v>2801.77</v>
      </c>
      <c r="G254" s="3">
        <f t="shared" si="32"/>
        <v>0.18809158558346084</v>
      </c>
      <c r="H254" s="3">
        <f t="shared" si="33"/>
        <v>0.1723534903453656</v>
      </c>
      <c r="I254" s="3">
        <f t="shared" si="34"/>
        <v>0.39039010309716526</v>
      </c>
      <c r="J254" s="3">
        <f t="shared" si="35"/>
        <v>2.9705725634230032E-2</v>
      </c>
      <c r="K254" s="3">
        <f t="shared" si="36"/>
        <v>-0.1076885383544747</v>
      </c>
      <c r="M254" s="8">
        <v>15.166261151662619</v>
      </c>
      <c r="N254" s="7">
        <f t="shared" si="37"/>
        <v>0.15166261151662619</v>
      </c>
      <c r="AD254" s="8">
        <v>15.166261151662619</v>
      </c>
      <c r="AE254" s="8">
        <f t="shared" si="38"/>
        <v>-15.166261151662619</v>
      </c>
      <c r="AF254" s="8">
        <v>0</v>
      </c>
      <c r="AG254" s="7">
        <f t="shared" si="39"/>
        <v>0</v>
      </c>
    </row>
    <row r="255" spans="1:33" x14ac:dyDescent="0.35">
      <c r="A255" s="4" t="s">
        <v>3</v>
      </c>
      <c r="B255" s="2"/>
      <c r="C255" s="2"/>
      <c r="D255" s="2"/>
      <c r="E255" s="5">
        <f>SUM(E5:E254)</f>
        <v>53.302656494327309</v>
      </c>
      <c r="F255" s="2"/>
      <c r="G255" s="2"/>
      <c r="H255" s="5">
        <f>SUM(H5:H254)</f>
        <v>1.9905879446998178</v>
      </c>
      <c r="I255" s="5">
        <f>SUM(I5:I254)</f>
        <v>2395.8485531795668</v>
      </c>
      <c r="J255" s="5">
        <f>SUM(J5:J254)</f>
        <v>594.19370640923</v>
      </c>
      <c r="K255" s="5">
        <f>SUM(K5:K254)</f>
        <v>742.58842926691295</v>
      </c>
    </row>
    <row r="256" spans="1:33" x14ac:dyDescent="0.35">
      <c r="D256" s="8"/>
    </row>
    <row r="259" spans="1:6" x14ac:dyDescent="0.35">
      <c r="A259" s="70" t="s">
        <v>6</v>
      </c>
      <c r="B259" s="70"/>
      <c r="C259" s="70"/>
      <c r="D259" s="70"/>
      <c r="E259" s="2">
        <v>250</v>
      </c>
    </row>
    <row r="260" spans="1:6" x14ac:dyDescent="0.35">
      <c r="A260" s="70" t="s">
        <v>7</v>
      </c>
      <c r="B260" s="70"/>
      <c r="C260" s="70"/>
      <c r="D260" s="70"/>
      <c r="E260" s="3">
        <f>((E259*K255)-(E255*H255))/(E259*J255-H255^2)</f>
        <v>1.2490603721793019</v>
      </c>
      <c r="F260" t="s">
        <v>50</v>
      </c>
    </row>
    <row r="261" spans="1:6" x14ac:dyDescent="0.35">
      <c r="A261" s="70" t="s">
        <v>8</v>
      </c>
      <c r="B261" s="70"/>
      <c r="C261" s="70"/>
      <c r="D261" s="70"/>
      <c r="E261" s="3">
        <f>E255/E259-E260*H255/E259</f>
        <v>0.2032651679010597</v>
      </c>
      <c r="F261" t="s">
        <v>125</v>
      </c>
    </row>
    <row r="262" spans="1:6" x14ac:dyDescent="0.35">
      <c r="A262" s="70" t="s">
        <v>9</v>
      </c>
      <c r="B262" s="70"/>
      <c r="C262" s="70"/>
      <c r="D262" s="70"/>
      <c r="E262" s="3">
        <f>((I255-E261*E255-E260*K255)/(E259-2))^0.5</f>
        <v>2.4242359953135328</v>
      </c>
      <c r="F262" t="s">
        <v>16</v>
      </c>
    </row>
    <row r="263" spans="1:6" x14ac:dyDescent="0.35">
      <c r="A263" s="70" t="s">
        <v>10</v>
      </c>
      <c r="B263" s="70"/>
      <c r="C263" s="70"/>
      <c r="D263" s="70"/>
      <c r="E263" s="3">
        <f>E262/(J255-H255^2/E259)^0.5</f>
        <v>9.9452719666251826E-2</v>
      </c>
    </row>
    <row r="264" spans="1:6" x14ac:dyDescent="0.35">
      <c r="A264" s="70" t="s">
        <v>11</v>
      </c>
      <c r="B264" s="70"/>
      <c r="C264" s="70"/>
      <c r="D264" s="70"/>
      <c r="E264" s="3">
        <f>E262/(E259-(H255)^2/J255)^0.5</f>
        <v>0.1533241915482762</v>
      </c>
    </row>
    <row r="265" spans="1:6" x14ac:dyDescent="0.35">
      <c r="A265" s="70" t="s">
        <v>12</v>
      </c>
      <c r="B265" s="70"/>
      <c r="C265" s="70"/>
      <c r="D265" s="70"/>
      <c r="E265" s="3">
        <f>CORREL(E5:E254,H5:H254)</f>
        <v>0.62351149988791299</v>
      </c>
      <c r="F265" t="s">
        <v>126</v>
      </c>
    </row>
    <row r="266" spans="1:6" x14ac:dyDescent="0.35">
      <c r="A266" s="70" t="s">
        <v>13</v>
      </c>
      <c r="B266" s="70"/>
      <c r="C266" s="70"/>
      <c r="D266" s="70"/>
      <c r="E266" s="3">
        <f>E265^2</f>
        <v>0.38876659049247492</v>
      </c>
      <c r="F266" t="s">
        <v>129</v>
      </c>
    </row>
    <row r="267" spans="1:6" x14ac:dyDescent="0.35">
      <c r="A267" s="70" t="s">
        <v>14</v>
      </c>
      <c r="B267" s="70"/>
      <c r="C267" s="70"/>
      <c r="D267" s="70"/>
      <c r="E267" s="3">
        <f>1-E266</f>
        <v>0.61123340950752514</v>
      </c>
      <c r="F267" t="s">
        <v>51</v>
      </c>
    </row>
    <row r="270" spans="1:6" x14ac:dyDescent="0.35">
      <c r="A270" s="67" t="s">
        <v>71</v>
      </c>
      <c r="B270" s="67"/>
      <c r="C270" s="67"/>
      <c r="D270" s="67"/>
      <c r="E270" s="39">
        <f>AVERAGE(D5:D254)</f>
        <v>0.23176307835826171</v>
      </c>
    </row>
    <row r="271" spans="1:6" x14ac:dyDescent="0.35">
      <c r="A271" s="68"/>
      <c r="B271" s="68"/>
      <c r="C271" s="68"/>
      <c r="D271" s="68"/>
    </row>
    <row r="272" spans="1:6" x14ac:dyDescent="0.35">
      <c r="A272" s="68"/>
      <c r="B272" s="68"/>
      <c r="C272" s="68"/>
      <c r="D272" s="68"/>
    </row>
    <row r="280" spans="6:7" x14ac:dyDescent="0.35">
      <c r="F280" t="s">
        <v>76</v>
      </c>
    </row>
    <row r="281" spans="6:7" ht="15" thickBot="1" x14ac:dyDescent="0.4"/>
    <row r="282" spans="6:7" x14ac:dyDescent="0.35">
      <c r="F282" s="46" t="s">
        <v>77</v>
      </c>
      <c r="G282" s="46"/>
    </row>
    <row r="283" spans="6:7" x14ac:dyDescent="0.35">
      <c r="F283" s="43" t="s">
        <v>78</v>
      </c>
      <c r="G283" s="47">
        <v>0.62351149988791321</v>
      </c>
    </row>
    <row r="284" spans="6:7" x14ac:dyDescent="0.35">
      <c r="F284" s="43" t="s">
        <v>79</v>
      </c>
      <c r="G284" s="47">
        <v>0.38876659049247519</v>
      </c>
    </row>
    <row r="285" spans="6:7" x14ac:dyDescent="0.35">
      <c r="F285" s="43" t="s">
        <v>80</v>
      </c>
      <c r="G285" s="43">
        <v>0.38630193964768678</v>
      </c>
    </row>
    <row r="286" spans="6:7" x14ac:dyDescent="0.35">
      <c r="F286" s="43" t="s">
        <v>81</v>
      </c>
      <c r="G286" s="47">
        <v>2.4242359953135328</v>
      </c>
    </row>
    <row r="287" spans="6:7" ht="15" thickBot="1" x14ac:dyDescent="0.4">
      <c r="F287" s="44" t="s">
        <v>82</v>
      </c>
      <c r="G287" s="44">
        <v>250</v>
      </c>
    </row>
    <row r="289" spans="6:14" ht="15" thickBot="1" x14ac:dyDescent="0.4">
      <c r="F289" t="s">
        <v>83</v>
      </c>
    </row>
    <row r="290" spans="6:14" x14ac:dyDescent="0.35">
      <c r="F290" s="45"/>
      <c r="G290" s="45" t="s">
        <v>88</v>
      </c>
      <c r="H290" s="45" t="s">
        <v>89</v>
      </c>
      <c r="I290" s="45" t="s">
        <v>90</v>
      </c>
      <c r="J290" s="45" t="s">
        <v>91</v>
      </c>
      <c r="K290" s="45" t="s">
        <v>92</v>
      </c>
    </row>
    <row r="291" spans="6:14" x14ac:dyDescent="0.35">
      <c r="F291" s="43" t="s">
        <v>84</v>
      </c>
      <c r="G291" s="43">
        <v>1</v>
      </c>
      <c r="H291" s="43">
        <v>927.00766050065795</v>
      </c>
      <c r="I291" s="43">
        <v>927.00766050065795</v>
      </c>
      <c r="J291" s="43">
        <v>157.73698384683425</v>
      </c>
      <c r="K291" s="43">
        <v>2.4912680348149335E-28</v>
      </c>
    </row>
    <row r="292" spans="6:14" x14ac:dyDescent="0.35">
      <c r="F292" s="43" t="s">
        <v>85</v>
      </c>
      <c r="G292" s="43">
        <v>248</v>
      </c>
      <c r="H292" s="43">
        <v>1457.4761999215011</v>
      </c>
      <c r="I292" s="43">
        <v>5.8769201609737944</v>
      </c>
      <c r="J292" s="43"/>
      <c r="K292" s="43"/>
    </row>
    <row r="293" spans="6:14" ht="15" thickBot="1" x14ac:dyDescent="0.4">
      <c r="F293" s="44" t="s">
        <v>86</v>
      </c>
      <c r="G293" s="44">
        <v>249</v>
      </c>
      <c r="H293" s="44">
        <v>2384.4838604221591</v>
      </c>
      <c r="I293" s="44"/>
      <c r="J293" s="44"/>
      <c r="K293" s="44"/>
    </row>
    <row r="294" spans="6:14" ht="15" thickBot="1" x14ac:dyDescent="0.4"/>
    <row r="295" spans="6:14" x14ac:dyDescent="0.35">
      <c r="F295" s="45"/>
      <c r="G295" s="45" t="s">
        <v>93</v>
      </c>
      <c r="H295" s="45" t="s">
        <v>81</v>
      </c>
      <c r="I295" s="45" t="s">
        <v>94</v>
      </c>
      <c r="J295" s="45" t="s">
        <v>95</v>
      </c>
      <c r="K295" s="45" t="s">
        <v>96</v>
      </c>
      <c r="L295" s="45" t="s">
        <v>97</v>
      </c>
      <c r="M295" s="45" t="s">
        <v>98</v>
      </c>
      <c r="N295" s="45" t="s">
        <v>99</v>
      </c>
    </row>
    <row r="296" spans="6:14" x14ac:dyDescent="0.35">
      <c r="F296" s="43" t="s">
        <v>87</v>
      </c>
      <c r="G296" s="43">
        <v>0.2032651679010597</v>
      </c>
      <c r="H296" s="43">
        <v>0.1533241915482762</v>
      </c>
      <c r="I296" s="43">
        <v>1.3257214393141534</v>
      </c>
      <c r="J296" s="43">
        <v>0.18615182639547478</v>
      </c>
      <c r="K296" s="43">
        <v>-9.8718426884330079E-2</v>
      </c>
      <c r="L296" s="43">
        <v>0.50524876268644947</v>
      </c>
      <c r="M296" s="43">
        <v>-9.8718426884330079E-2</v>
      </c>
      <c r="N296" s="43">
        <v>0.50524876268644947</v>
      </c>
    </row>
    <row r="297" spans="6:14" ht="15" thickBot="1" x14ac:dyDescent="0.4">
      <c r="F297" s="44" t="s">
        <v>100</v>
      </c>
      <c r="G297" s="48">
        <v>1.2490603721793041</v>
      </c>
      <c r="H297" s="44">
        <v>9.9452719666251854E-2</v>
      </c>
      <c r="I297" s="44">
        <v>12.559338511515422</v>
      </c>
      <c r="J297" s="44">
        <v>2.4912680348148263E-28</v>
      </c>
      <c r="K297" s="44">
        <v>1.0531807168377525</v>
      </c>
      <c r="L297" s="44">
        <v>1.4449400275208557</v>
      </c>
      <c r="M297" s="44">
        <v>1.0531807168377525</v>
      </c>
      <c r="N297" s="44">
        <v>1.4449400275208557</v>
      </c>
    </row>
  </sheetData>
  <sortState xmlns:xlrd2="http://schemas.microsoft.com/office/spreadsheetml/2017/richdata2" ref="AF5:AF254">
    <sortCondition ref="AF5:AF254"/>
  </sortState>
  <mergeCells count="15">
    <mergeCell ref="AI3:AL3"/>
    <mergeCell ref="A265:D265"/>
    <mergeCell ref="A266:D266"/>
    <mergeCell ref="A267:D267"/>
    <mergeCell ref="A259:D259"/>
    <mergeCell ref="A260:D260"/>
    <mergeCell ref="A261:D261"/>
    <mergeCell ref="A262:D262"/>
    <mergeCell ref="A263:D263"/>
    <mergeCell ref="A264:D264"/>
    <mergeCell ref="A270:D270"/>
    <mergeCell ref="A272:D272"/>
    <mergeCell ref="A271:D271"/>
    <mergeCell ref="P3:S3"/>
    <mergeCell ref="X3:AA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3273-12BB-4ED5-A679-0D990E7D1C82}">
  <dimension ref="A1:AO297"/>
  <sheetViews>
    <sheetView topLeftCell="Q1" workbookViewId="0">
      <selection activeCell="E270" sqref="E270"/>
    </sheetView>
  </sheetViews>
  <sheetFormatPr defaultRowHeight="14.5" x14ac:dyDescent="0.35"/>
  <cols>
    <col min="1" max="1" width="12" customWidth="1"/>
    <col min="2" max="2" width="17.26953125" bestFit="1" customWidth="1"/>
    <col min="3" max="3" width="10.81640625" bestFit="1" customWidth="1"/>
    <col min="4" max="4" width="13.1796875" customWidth="1"/>
    <col min="5" max="5" width="18.453125" customWidth="1"/>
    <col min="6" max="6" width="20.453125" customWidth="1"/>
    <col min="7" max="7" width="16.81640625" bestFit="1" customWidth="1"/>
    <col min="8" max="8" width="23.26953125" bestFit="1" customWidth="1"/>
    <col min="9" max="9" width="15.54296875" bestFit="1" customWidth="1"/>
    <col min="10" max="10" width="12" bestFit="1" customWidth="1"/>
    <col min="11" max="11" width="14.7265625" bestFit="1" customWidth="1"/>
    <col min="12" max="12" width="4.26953125" customWidth="1"/>
    <col min="13" max="13" width="14.7265625" bestFit="1" customWidth="1"/>
    <col min="14" max="14" width="14.81640625" bestFit="1" customWidth="1"/>
    <col min="15" max="15" width="5.26953125" customWidth="1"/>
    <col min="16" max="16" width="27.81640625" bestFit="1" customWidth="1"/>
    <col min="18" max="18" width="11.81640625" customWidth="1"/>
    <col min="21" max="21" width="5.453125" customWidth="1"/>
    <col min="22" max="22" width="6.81640625" bestFit="1" customWidth="1"/>
    <col min="23" max="23" width="5.1796875" customWidth="1"/>
    <col min="24" max="24" width="29.453125" customWidth="1"/>
    <col min="25" max="25" width="10.26953125" customWidth="1"/>
    <col min="27" max="27" width="10" customWidth="1"/>
    <col min="29" max="29" width="4.26953125" customWidth="1"/>
    <col min="30" max="31" width="5.26953125" bestFit="1" customWidth="1"/>
    <col min="32" max="32" width="6.26953125" bestFit="1" customWidth="1"/>
    <col min="33" max="33" width="7.81640625" bestFit="1" customWidth="1"/>
    <col min="34" max="34" width="4.81640625" customWidth="1"/>
    <col min="35" max="35" width="27.7265625" customWidth="1"/>
    <col min="36" max="36" width="9.81640625" customWidth="1"/>
    <col min="39" max="39" width="11.7265625" customWidth="1"/>
  </cols>
  <sheetData>
    <row r="1" spans="1:39" x14ac:dyDescent="0.35">
      <c r="A1" t="s">
        <v>111</v>
      </c>
      <c r="F1" s="7"/>
      <c r="G1" s="7"/>
    </row>
    <row r="2" spans="1:39" x14ac:dyDescent="0.35">
      <c r="A2" t="s">
        <v>30</v>
      </c>
      <c r="D2" t="s">
        <v>31</v>
      </c>
      <c r="F2" s="22">
        <v>0.01</v>
      </c>
    </row>
    <row r="3" spans="1:39" ht="75" customHeight="1" x14ac:dyDescent="0.35">
      <c r="A3" s="2" t="s">
        <v>4</v>
      </c>
      <c r="B3" s="1" t="s">
        <v>43</v>
      </c>
      <c r="C3" s="1" t="s">
        <v>40</v>
      </c>
      <c r="D3" s="1" t="s">
        <v>42</v>
      </c>
      <c r="E3" s="1" t="s">
        <v>41</v>
      </c>
      <c r="F3" s="1" t="s">
        <v>46</v>
      </c>
      <c r="G3" s="1" t="s">
        <v>47</v>
      </c>
      <c r="H3" s="1" t="s">
        <v>49</v>
      </c>
      <c r="I3" s="2" t="s">
        <v>0</v>
      </c>
      <c r="J3" s="2" t="s">
        <v>1</v>
      </c>
      <c r="K3" s="2" t="s">
        <v>2</v>
      </c>
      <c r="N3" t="s">
        <v>27</v>
      </c>
      <c r="P3" s="69" t="s">
        <v>17</v>
      </c>
      <c r="Q3" s="69"/>
      <c r="R3" s="69"/>
      <c r="S3" s="69"/>
      <c r="V3" t="s">
        <v>27</v>
      </c>
      <c r="X3" s="69" t="s">
        <v>38</v>
      </c>
      <c r="Y3" s="69"/>
      <c r="Z3" s="69"/>
      <c r="AA3" s="69"/>
      <c r="AG3" t="s">
        <v>27</v>
      </c>
      <c r="AI3" s="69" t="s">
        <v>60</v>
      </c>
      <c r="AJ3" s="69"/>
      <c r="AK3" s="69"/>
      <c r="AL3" s="69"/>
    </row>
    <row r="4" spans="1:39" x14ac:dyDescent="0.35">
      <c r="A4" s="9">
        <v>43621</v>
      </c>
      <c r="B4" s="10">
        <f>Расчеты!G17/360</f>
        <v>2.1888888888888888E-2</v>
      </c>
      <c r="C4" s="11">
        <v>601.4</v>
      </c>
      <c r="D4" s="2"/>
      <c r="E4" s="2"/>
      <c r="F4" s="34">
        <v>2701.84</v>
      </c>
      <c r="G4" s="2"/>
      <c r="H4" s="2"/>
      <c r="I4" s="2"/>
      <c r="J4" s="2"/>
      <c r="K4" s="2"/>
      <c r="M4" s="8"/>
      <c r="N4" s="35">
        <v>0.01</v>
      </c>
      <c r="P4" s="6"/>
      <c r="Q4" s="6"/>
      <c r="R4" s="6"/>
      <c r="S4" s="6"/>
      <c r="X4" s="6"/>
      <c r="Y4" s="6"/>
      <c r="Z4" s="6"/>
      <c r="AA4" s="6"/>
      <c r="AG4" s="22">
        <v>0.01</v>
      </c>
      <c r="AI4" s="6"/>
      <c r="AJ4" s="6"/>
      <c r="AK4" s="6"/>
      <c r="AL4" s="6"/>
    </row>
    <row r="5" spans="1:39" x14ac:dyDescent="0.35">
      <c r="A5" s="9">
        <v>43622</v>
      </c>
      <c r="B5" s="10">
        <f>Расчеты!G18/360</f>
        <v>2.1972222222222223E-2</v>
      </c>
      <c r="C5" s="11">
        <v>604</v>
      </c>
      <c r="D5" s="3">
        <f>(C5/C4-1)*100</f>
        <v>0.43232457598936236</v>
      </c>
      <c r="E5" s="3">
        <f>D5-B5</f>
        <v>0.41035235376714013</v>
      </c>
      <c r="F5" s="34">
        <v>2728.25</v>
      </c>
      <c r="G5" s="3">
        <f>(F5/F4-1)*100</f>
        <v>0.97748201225831277</v>
      </c>
      <c r="H5" s="3">
        <f>G5-B5</f>
        <v>0.9555097900360906</v>
      </c>
      <c r="I5" s="3">
        <f>E5^2</f>
        <v>0.16838905424223213</v>
      </c>
      <c r="J5" s="3">
        <f>H5^2</f>
        <v>0.91299895885481397</v>
      </c>
      <c r="K5" s="3">
        <f>E5*H5</f>
        <v>0.39209569138885564</v>
      </c>
      <c r="M5" s="8">
        <v>-3.5252119589469055</v>
      </c>
      <c r="N5" s="7">
        <f>M5*$N$4</f>
        <v>-3.5252119589469055E-2</v>
      </c>
      <c r="P5" s="12" t="s">
        <v>6</v>
      </c>
      <c r="Q5" s="12">
        <v>250</v>
      </c>
      <c r="R5" s="12"/>
      <c r="S5" s="12"/>
      <c r="V5" s="7">
        <v>-3.5252119589469055E-2</v>
      </c>
      <c r="X5" s="12" t="s">
        <v>6</v>
      </c>
      <c r="Y5" s="12">
        <f>COUNT(V5:V119)</f>
        <v>115</v>
      </c>
      <c r="Z5" s="12"/>
      <c r="AA5" s="12"/>
      <c r="AD5" s="8">
        <v>-3.5252119589469055</v>
      </c>
      <c r="AE5" s="8">
        <f>IF(AD5&lt;0,AD5,AD5*(-1))</f>
        <v>-3.5252119589469055</v>
      </c>
      <c r="AF5" s="8">
        <v>-15.166261151662619</v>
      </c>
      <c r="AG5" s="7">
        <f>AF5*$AG$4</f>
        <v>-0.15166261151662619</v>
      </c>
      <c r="AI5" s="12" t="s">
        <v>6</v>
      </c>
      <c r="AJ5" s="12">
        <v>250</v>
      </c>
      <c r="AK5" s="12"/>
      <c r="AL5" s="12"/>
    </row>
    <row r="6" spans="1:39" x14ac:dyDescent="0.35">
      <c r="A6" s="9">
        <v>43623</v>
      </c>
      <c r="B6" s="10">
        <f>Расчеты!G19/360</f>
        <v>2.2027777777777778E-2</v>
      </c>
      <c r="C6" s="11">
        <v>604.20000000000005</v>
      </c>
      <c r="D6" s="3">
        <f t="shared" ref="D6:D69" si="0">(C6/C5-1)*100</f>
        <v>3.3112582781469335E-2</v>
      </c>
      <c r="E6" s="3">
        <f t="shared" ref="E6:E69" si="1">D6-B6</f>
        <v>1.1084805003691557E-2</v>
      </c>
      <c r="F6" s="34">
        <v>2729.61</v>
      </c>
      <c r="G6" s="3">
        <f t="shared" ref="G6:G69" si="2">(F6/F5-1)*100</f>
        <v>4.9848804178509454E-2</v>
      </c>
      <c r="H6" s="3">
        <f t="shared" ref="H6:H69" si="3">G6-B6</f>
        <v>2.7821026400731676E-2</v>
      </c>
      <c r="I6" s="3">
        <f t="shared" ref="I6:I69" si="4">E6^2</f>
        <v>1.2287290196986539E-4</v>
      </c>
      <c r="J6" s="3">
        <f t="shared" ref="J6:J69" si="5">H6^2</f>
        <v>7.740095099902089E-4</v>
      </c>
      <c r="K6" s="3">
        <f t="shared" ref="K6:K69" si="6">E6*H6</f>
        <v>3.0839065265466541E-4</v>
      </c>
      <c r="M6" s="8">
        <v>-3.3398342272062398</v>
      </c>
      <c r="N6" s="7">
        <f t="shared" ref="N6:N69" si="7">M6*$N$4</f>
        <v>-3.3398342272062398E-2</v>
      </c>
      <c r="P6" t="s">
        <v>18</v>
      </c>
      <c r="Q6" s="13">
        <f>AVERAGE(N5:N254)</f>
        <v>1.2804093099187126E-3</v>
      </c>
      <c r="V6" s="7">
        <v>-3.3398342272062398E-2</v>
      </c>
      <c r="X6" t="s">
        <v>18</v>
      </c>
      <c r="Y6" s="13">
        <f>AVERAGE(V5:V119)</f>
        <v>-8.0884869264549256E-3</v>
      </c>
      <c r="AD6" s="8">
        <v>-3.3398342272062398</v>
      </c>
      <c r="AE6" s="8">
        <f t="shared" ref="AE6:AE69" si="8">IF(AD6&lt;0,AD6,AD6*(-1))</f>
        <v>-3.3398342272062398</v>
      </c>
      <c r="AF6" s="8">
        <v>-13.579035874439461</v>
      </c>
      <c r="AG6" s="7">
        <f t="shared" ref="AG6:AG69" si="9">AF6*$AG$4</f>
        <v>-0.1357903587443946</v>
      </c>
      <c r="AI6" t="s">
        <v>18</v>
      </c>
      <c r="AJ6" s="13">
        <f>AVERAGE(AG5:AG254)</f>
        <v>-1.9995953690049206E-2</v>
      </c>
    </row>
    <row r="7" spans="1:39" ht="15" thickBot="1" x14ac:dyDescent="0.4">
      <c r="A7" s="9">
        <v>43626</v>
      </c>
      <c r="B7" s="10">
        <f>Расчеты!G20/360</f>
        <v>2.2055555555555557E-2</v>
      </c>
      <c r="C7" s="11">
        <v>595.20000000000005</v>
      </c>
      <c r="D7" s="3">
        <f t="shared" si="0"/>
        <v>-1.4895729890764597</v>
      </c>
      <c r="E7" s="3">
        <f t="shared" si="1"/>
        <v>-1.5116285446320152</v>
      </c>
      <c r="F7" s="34">
        <v>2742.59</v>
      </c>
      <c r="G7" s="3">
        <f t="shared" si="2"/>
        <v>0.47552580771612618</v>
      </c>
      <c r="H7" s="3">
        <f t="shared" si="3"/>
        <v>0.45347025216057063</v>
      </c>
      <c r="I7" s="3">
        <f t="shared" si="4"/>
        <v>2.2850208569463044</v>
      </c>
      <c r="J7" s="3">
        <f t="shared" si="5"/>
        <v>0.20563526959457151</v>
      </c>
      <c r="K7" s="3">
        <f t="shared" si="6"/>
        <v>-0.68547857730739636</v>
      </c>
      <c r="M7" s="8">
        <v>-2.8072033898305149</v>
      </c>
      <c r="N7" s="7">
        <f t="shared" si="7"/>
        <v>-2.8072033898305149E-2</v>
      </c>
      <c r="P7" s="14" t="s">
        <v>19</v>
      </c>
      <c r="Q7" s="15">
        <f>_xlfn.STDEV.S(N5:N254)</f>
        <v>1.220873885029836E-2</v>
      </c>
      <c r="R7" s="16">
        <f>Q7*C254</f>
        <v>9.9257046852925672</v>
      </c>
      <c r="S7" s="16" t="s">
        <v>33</v>
      </c>
      <c r="V7" s="7">
        <v>-2.8072033898305149E-2</v>
      </c>
      <c r="X7" s="14" t="s">
        <v>19</v>
      </c>
      <c r="Y7" s="15">
        <f>_xlfn.STDEV.S(V5:V125)</f>
        <v>7.2158282075659519E-3</v>
      </c>
      <c r="Z7" s="16">
        <f>Y7*C254</f>
        <v>5.8664683327511193</v>
      </c>
      <c r="AA7" s="16" t="s">
        <v>33</v>
      </c>
      <c r="AD7" s="8">
        <v>-2.8072033898305149</v>
      </c>
      <c r="AE7" s="8">
        <f t="shared" si="8"/>
        <v>-2.8072033898305149</v>
      </c>
      <c r="AF7" s="8">
        <v>-12.295081967213118</v>
      </c>
      <c r="AG7" s="7">
        <f t="shared" si="9"/>
        <v>-0.12295081967213119</v>
      </c>
      <c r="AI7" s="14" t="s">
        <v>19</v>
      </c>
      <c r="AJ7" s="15">
        <f>_xlfn.STDEV.S(AG5:AG254)</f>
        <v>2.3699031269948202E-2</v>
      </c>
      <c r="AK7" s="16">
        <f>AJ7*C254</f>
        <v>19.267312422467889</v>
      </c>
      <c r="AL7" s="16" t="s">
        <v>33</v>
      </c>
    </row>
    <row r="8" spans="1:39" x14ac:dyDescent="0.35">
      <c r="A8" s="9">
        <v>43627</v>
      </c>
      <c r="B8" s="10">
        <f>Расчеты!G21/360</f>
        <v>2.1833333333333333E-2</v>
      </c>
      <c r="C8" s="11">
        <v>592.20000000000005</v>
      </c>
      <c r="D8" s="3">
        <f t="shared" si="0"/>
        <v>-0.50403225806451291</v>
      </c>
      <c r="E8" s="3">
        <f t="shared" si="1"/>
        <v>-0.52586559139784628</v>
      </c>
      <c r="F8" s="34">
        <v>2751.75</v>
      </c>
      <c r="G8" s="3">
        <f t="shared" si="2"/>
        <v>0.33399086265171185</v>
      </c>
      <c r="H8" s="3">
        <f t="shared" si="3"/>
        <v>0.31215752931837853</v>
      </c>
      <c r="I8" s="3">
        <f t="shared" si="4"/>
        <v>0.27653462021620662</v>
      </c>
      <c r="J8" s="3">
        <f t="shared" si="5"/>
        <v>9.7442323110154355E-2</v>
      </c>
      <c r="K8" s="3">
        <f t="shared" si="6"/>
        <v>-0.16415290376429967</v>
      </c>
      <c r="M8" s="8">
        <v>-2.4744897959183665</v>
      </c>
      <c r="N8" s="7">
        <f t="shared" si="7"/>
        <v>-2.4744897959183665E-2</v>
      </c>
      <c r="V8" s="7">
        <v>-2.4744897959183665E-2</v>
      </c>
      <c r="AD8" s="8">
        <v>-2.4744897959183665</v>
      </c>
      <c r="AE8" s="8">
        <f t="shared" si="8"/>
        <v>-2.4744897959183665</v>
      </c>
      <c r="AF8" s="8">
        <v>-9.9999999999999982</v>
      </c>
      <c r="AG8" s="7">
        <f t="shared" si="9"/>
        <v>-9.9999999999999978E-2</v>
      </c>
    </row>
    <row r="9" spans="1:39" x14ac:dyDescent="0.35">
      <c r="A9" s="9">
        <v>43629</v>
      </c>
      <c r="B9" s="10">
        <f>Расчеты!G22/360</f>
        <v>2.1722222222222223E-2</v>
      </c>
      <c r="C9" s="11">
        <v>599</v>
      </c>
      <c r="D9" s="3">
        <f t="shared" si="0"/>
        <v>1.1482607227288</v>
      </c>
      <c r="E9" s="3">
        <f t="shared" si="1"/>
        <v>1.1265385005065778</v>
      </c>
      <c r="F9" s="34">
        <v>2758.36</v>
      </c>
      <c r="G9" s="3">
        <f t="shared" si="2"/>
        <v>0.24021077496139132</v>
      </c>
      <c r="H9" s="3">
        <f t="shared" si="3"/>
        <v>0.21848855273916909</v>
      </c>
      <c r="I9" s="3">
        <f t="shared" si="4"/>
        <v>1.2690889931236087</v>
      </c>
      <c r="J9" s="3">
        <f t="shared" si="5"/>
        <v>4.773724767805667E-2</v>
      </c>
      <c r="K9" s="3">
        <f t="shared" si="6"/>
        <v>0.24613576658063588</v>
      </c>
      <c r="M9" s="8">
        <v>-2.2680880018144722</v>
      </c>
      <c r="N9" s="7">
        <f t="shared" si="7"/>
        <v>-2.2680880018144722E-2</v>
      </c>
      <c r="P9" s="12" t="s">
        <v>20</v>
      </c>
      <c r="Q9" s="17">
        <v>0.05</v>
      </c>
      <c r="R9" s="12"/>
      <c r="S9" s="12"/>
      <c r="V9" s="33">
        <v>-2.2680880018144722E-2</v>
      </c>
      <c r="X9" s="12" t="s">
        <v>20</v>
      </c>
      <c r="Y9" s="17">
        <v>0.05</v>
      </c>
      <c r="Z9" s="12"/>
      <c r="AA9" s="12"/>
      <c r="AD9" s="8">
        <v>-2.2680880018144722</v>
      </c>
      <c r="AE9" s="8">
        <f t="shared" si="8"/>
        <v>-2.2680880018144722</v>
      </c>
      <c r="AF9" s="8">
        <v>-9.3805309734513287</v>
      </c>
      <c r="AG9" s="7">
        <f t="shared" si="9"/>
        <v>-9.3805309734513287E-2</v>
      </c>
      <c r="AI9" s="12" t="s">
        <v>20</v>
      </c>
      <c r="AJ9" s="17">
        <v>0.05</v>
      </c>
      <c r="AK9" s="12"/>
      <c r="AL9" s="12"/>
    </row>
    <row r="10" spans="1:39" ht="15" thickBot="1" x14ac:dyDescent="0.4">
      <c r="A10" s="9">
        <v>43630</v>
      </c>
      <c r="B10" s="10">
        <f>Расчеты!G23/360</f>
        <v>2.1694444444444443E-2</v>
      </c>
      <c r="C10" s="11">
        <v>603</v>
      </c>
      <c r="D10" s="3">
        <f t="shared" si="0"/>
        <v>0.66777963272119933</v>
      </c>
      <c r="E10" s="3">
        <f t="shared" si="1"/>
        <v>0.64608518827675487</v>
      </c>
      <c r="F10" s="34">
        <v>2739.28</v>
      </c>
      <c r="G10" s="3">
        <f t="shared" si="2"/>
        <v>-0.69171536710218584</v>
      </c>
      <c r="H10" s="3">
        <f t="shared" si="3"/>
        <v>-0.7134098115466303</v>
      </c>
      <c r="I10" s="3">
        <f t="shared" si="4"/>
        <v>0.41742607051060981</v>
      </c>
      <c r="J10" s="3">
        <f t="shared" si="5"/>
        <v>0.50895355921099861</v>
      </c>
      <c r="K10" s="3">
        <f t="shared" si="6"/>
        <v>-0.46092351241158885</v>
      </c>
      <c r="M10" s="8">
        <v>-2.173299463731293</v>
      </c>
      <c r="N10" s="7">
        <f t="shared" si="7"/>
        <v>-2.173299463731293E-2</v>
      </c>
      <c r="P10" s="14" t="s">
        <v>28</v>
      </c>
      <c r="Q10" s="18">
        <f>_xlfn.NORM.INV(Q9,Q6,Q7)</f>
        <v>-1.8801179068497896E-2</v>
      </c>
      <c r="R10" s="16">
        <f>Q10*C254</f>
        <v>-15.28535858268879</v>
      </c>
      <c r="S10" s="16" t="s">
        <v>33</v>
      </c>
      <c r="V10" s="36">
        <v>-2.173299463731293E-2</v>
      </c>
      <c r="X10" s="14" t="s">
        <v>28</v>
      </c>
      <c r="Y10" s="18">
        <f>_xlfn.NORM.INV(Y9,Y6,Y7)</f>
        <v>-1.9957468125128525E-2</v>
      </c>
      <c r="Z10" s="16">
        <f>Y10*C254</f>
        <v>-16.225421585729489</v>
      </c>
      <c r="AA10" s="16" t="s">
        <v>33</v>
      </c>
      <c r="AD10" s="8">
        <v>-2.173299463731293</v>
      </c>
      <c r="AE10" s="8">
        <f t="shared" si="8"/>
        <v>-2.173299463731293</v>
      </c>
      <c r="AF10" s="8">
        <v>-8.7175357358566519</v>
      </c>
      <c r="AG10" s="7">
        <f t="shared" si="9"/>
        <v>-8.7175357358566519E-2</v>
      </c>
      <c r="AI10" s="14" t="s">
        <v>28</v>
      </c>
      <c r="AJ10" s="18">
        <f>_xlfn.NORM.INV(AJ9,AJ6,AJ7)</f>
        <v>-5.8977391229659865E-2</v>
      </c>
      <c r="AK10" s="16">
        <f>AJ10*C254</f>
        <v>-47.948619069713473</v>
      </c>
      <c r="AL10" s="16" t="s">
        <v>33</v>
      </c>
    </row>
    <row r="11" spans="1:39" x14ac:dyDescent="0.35">
      <c r="A11" s="9">
        <v>43633</v>
      </c>
      <c r="B11" s="10">
        <f>Расчеты!G24/360</f>
        <v>2.1388888888888888E-2</v>
      </c>
      <c r="C11" s="11">
        <v>595.79999999999995</v>
      </c>
      <c r="D11" s="3">
        <f t="shared" si="0"/>
        <v>-1.194029850746281</v>
      </c>
      <c r="E11" s="3">
        <f t="shared" si="1"/>
        <v>-1.2154187396351699</v>
      </c>
      <c r="F11" s="34">
        <v>2734.31</v>
      </c>
      <c r="G11" s="3">
        <f t="shared" si="2"/>
        <v>-0.18143453754272398</v>
      </c>
      <c r="H11" s="3">
        <f t="shared" si="3"/>
        <v>-0.20282342643161289</v>
      </c>
      <c r="I11" s="3">
        <f t="shared" si="4"/>
        <v>1.477242712656345</v>
      </c>
      <c r="J11" s="3">
        <f t="shared" si="5"/>
        <v>4.1137342309459882E-2</v>
      </c>
      <c r="K11" s="3">
        <f t="shared" si="6"/>
        <v>0.24651539332199754</v>
      </c>
      <c r="M11" s="8">
        <v>-2.1643006748894633</v>
      </c>
      <c r="N11" s="7">
        <f t="shared" si="7"/>
        <v>-2.1643006748894633E-2</v>
      </c>
      <c r="P11" s="23" t="s">
        <v>54</v>
      </c>
      <c r="Q11" s="24"/>
      <c r="R11" s="24"/>
      <c r="S11" s="24"/>
      <c r="V11" s="26">
        <v>-2.1643006748894633E-2</v>
      </c>
      <c r="X11" s="23" t="s">
        <v>57</v>
      </c>
      <c r="Y11" s="24"/>
      <c r="Z11" s="24"/>
      <c r="AA11" s="24"/>
      <c r="AD11" s="8">
        <v>-2.1643006748894633</v>
      </c>
      <c r="AE11" s="8">
        <f t="shared" si="8"/>
        <v>-2.1643006748894633</v>
      </c>
      <c r="AF11" s="8">
        <v>-8.7139726950952401</v>
      </c>
      <c r="AG11" s="7">
        <f t="shared" si="9"/>
        <v>-8.7139726950952401E-2</v>
      </c>
      <c r="AI11" s="23" t="s">
        <v>61</v>
      </c>
      <c r="AJ11" s="24"/>
      <c r="AK11" s="24"/>
      <c r="AL11" s="24"/>
      <c r="AM11" s="24"/>
    </row>
    <row r="12" spans="1:39" x14ac:dyDescent="0.35">
      <c r="A12" s="9">
        <v>43634</v>
      </c>
      <c r="B12" s="10">
        <f>Расчеты!G25/360</f>
        <v>2.1388888888888888E-2</v>
      </c>
      <c r="C12" s="11">
        <v>598.20000000000005</v>
      </c>
      <c r="D12" s="3">
        <f t="shared" si="0"/>
        <v>0.40281973816718164</v>
      </c>
      <c r="E12" s="3">
        <f t="shared" si="1"/>
        <v>0.38143084927829274</v>
      </c>
      <c r="F12" s="34">
        <v>2761.69</v>
      </c>
      <c r="G12" s="3">
        <f t="shared" si="2"/>
        <v>1.0013495177942477</v>
      </c>
      <c r="H12" s="3">
        <f t="shared" si="3"/>
        <v>0.97996062890535884</v>
      </c>
      <c r="I12" s="3">
        <f t="shared" si="4"/>
        <v>0.14548949278115966</v>
      </c>
      <c r="J12" s="3">
        <f t="shared" si="5"/>
        <v>0.96032283420458642</v>
      </c>
      <c r="K12" s="3">
        <f t="shared" si="6"/>
        <v>0.37378721494266087</v>
      </c>
      <c r="M12" s="8">
        <v>-2.1590909090909105</v>
      </c>
      <c r="N12" s="7">
        <f t="shared" si="7"/>
        <v>-2.1590909090909105E-2</v>
      </c>
      <c r="P12" s="12" t="s">
        <v>21</v>
      </c>
      <c r="Q12" s="28">
        <f>_xlfn.FLOOR.MATH(Q5*Q9)</f>
        <v>12</v>
      </c>
      <c r="R12" s="12"/>
      <c r="S12" s="12"/>
      <c r="V12" s="7">
        <v>-2.1590909090909105E-2</v>
      </c>
      <c r="X12" s="12" t="s">
        <v>21</v>
      </c>
      <c r="Y12" s="28">
        <f>_xlfn.FLOOR.MATH(Y5*Y9)</f>
        <v>5</v>
      </c>
      <c r="Z12" s="12"/>
      <c r="AA12" s="12"/>
      <c r="AD12" s="8">
        <v>-2.1590909090909105</v>
      </c>
      <c r="AE12" s="8">
        <f t="shared" si="8"/>
        <v>-2.1590909090909105</v>
      </c>
      <c r="AF12" s="8">
        <v>-8.4142394822006352</v>
      </c>
      <c r="AG12" s="7">
        <f t="shared" si="9"/>
        <v>-8.4142394822006347E-2</v>
      </c>
      <c r="AI12" s="12" t="s">
        <v>21</v>
      </c>
      <c r="AJ12" s="28">
        <f>_xlfn.FLOOR.MATH(AJ5*AJ9)</f>
        <v>12</v>
      </c>
      <c r="AK12" s="12"/>
      <c r="AL12" s="12"/>
    </row>
    <row r="13" spans="1:39" x14ac:dyDescent="0.35">
      <c r="A13" s="9">
        <v>43635</v>
      </c>
      <c r="B13" s="10">
        <f>Расчеты!G26/360</f>
        <v>2.1277777777777777E-2</v>
      </c>
      <c r="C13" s="11">
        <v>595.20000000000005</v>
      </c>
      <c r="D13" s="3">
        <f t="shared" si="0"/>
        <v>-0.5015045135406182</v>
      </c>
      <c r="E13" s="3">
        <f t="shared" si="1"/>
        <v>-0.52278229131839593</v>
      </c>
      <c r="F13" s="34">
        <v>2759.12</v>
      </c>
      <c r="G13" s="3">
        <f t="shared" si="2"/>
        <v>-9.305896027432814E-2</v>
      </c>
      <c r="H13" s="3">
        <f t="shared" si="3"/>
        <v>-0.11433673805210592</v>
      </c>
      <c r="I13" s="3">
        <f t="shared" si="4"/>
        <v>0.27330132411611219</v>
      </c>
      <c r="J13" s="3">
        <f t="shared" si="5"/>
        <v>1.3072889668395886E-2</v>
      </c>
      <c r="K13" s="3">
        <f t="shared" si="6"/>
        <v>5.9773221900751163E-2</v>
      </c>
      <c r="M13" s="8">
        <v>-2.005387608500464</v>
      </c>
      <c r="N13" s="7">
        <f t="shared" si="7"/>
        <v>-2.005387608500464E-2</v>
      </c>
      <c r="P13" t="s">
        <v>22</v>
      </c>
      <c r="Q13" s="30">
        <f>_xlfn.CEILING.MATH(Q5*Q9)</f>
        <v>13</v>
      </c>
      <c r="V13" s="7">
        <v>-2.005387608500464E-2</v>
      </c>
      <c r="X13" t="s">
        <v>22</v>
      </c>
      <c r="Y13" s="30">
        <f>_xlfn.CEILING.MATH(Y5*Y9)</f>
        <v>6</v>
      </c>
      <c r="AD13" s="8">
        <v>-2.005387608500464</v>
      </c>
      <c r="AE13" s="8">
        <f t="shared" si="8"/>
        <v>-2.005387608500464</v>
      </c>
      <c r="AF13" s="8">
        <v>-8.2582870281663112</v>
      </c>
      <c r="AG13" s="7">
        <f t="shared" si="9"/>
        <v>-8.2582870281663112E-2</v>
      </c>
      <c r="AI13" t="s">
        <v>22</v>
      </c>
      <c r="AJ13" s="30">
        <f>_xlfn.CEILING.MATH(AJ5*AJ9)</f>
        <v>13</v>
      </c>
    </row>
    <row r="14" spans="1:39" x14ac:dyDescent="0.35">
      <c r="A14" s="9">
        <v>43636</v>
      </c>
      <c r="B14" s="10">
        <f>Расчеты!G27/360</f>
        <v>2.1305555555555557E-2</v>
      </c>
      <c r="C14" s="11">
        <v>605</v>
      </c>
      <c r="D14" s="3">
        <f t="shared" si="0"/>
        <v>1.6465053763440762</v>
      </c>
      <c r="E14" s="3">
        <f t="shared" si="1"/>
        <v>1.6251998207885208</v>
      </c>
      <c r="F14" s="34">
        <v>2780.2</v>
      </c>
      <c r="G14" s="3">
        <f t="shared" si="2"/>
        <v>0.76401171387978639</v>
      </c>
      <c r="H14" s="3">
        <f t="shared" si="3"/>
        <v>0.74270615832423081</v>
      </c>
      <c r="I14" s="3">
        <f t="shared" si="4"/>
        <v>2.6412744574910398</v>
      </c>
      <c r="J14" s="3">
        <f t="shared" si="5"/>
        <v>0.55161243761273737</v>
      </c>
      <c r="K14" s="3">
        <f t="shared" si="6"/>
        <v>1.2070459154070707</v>
      </c>
      <c r="M14" s="8">
        <v>-1.8538420204191275</v>
      </c>
      <c r="N14" s="7">
        <f t="shared" si="7"/>
        <v>-1.8538420204191275E-2</v>
      </c>
      <c r="P14" t="s">
        <v>23</v>
      </c>
      <c r="Q14" s="27">
        <f>Q5*Q9</f>
        <v>12.5</v>
      </c>
      <c r="V14" s="7">
        <v>-1.8538420204191275E-2</v>
      </c>
      <c r="X14" t="s">
        <v>23</v>
      </c>
      <c r="Y14" s="27">
        <f>Y5*Y9</f>
        <v>5.75</v>
      </c>
      <c r="AD14" s="8">
        <v>-1.8538420204191275</v>
      </c>
      <c r="AE14" s="8">
        <f t="shared" si="8"/>
        <v>-1.8538420204191275</v>
      </c>
      <c r="AF14" s="8">
        <v>-7.7788448346824079</v>
      </c>
      <c r="AG14" s="7">
        <f t="shared" si="9"/>
        <v>-7.7788448346824079E-2</v>
      </c>
      <c r="AI14" t="s">
        <v>23</v>
      </c>
      <c r="AJ14" s="27">
        <f>AJ5*AJ9</f>
        <v>12.5</v>
      </c>
    </row>
    <row r="15" spans="1:39" x14ac:dyDescent="0.35">
      <c r="A15" s="9">
        <v>43637</v>
      </c>
      <c r="B15" s="10">
        <f>Расчеты!G28/360</f>
        <v>2.1305555555555557E-2</v>
      </c>
      <c r="C15" s="11">
        <v>612.79999999999995</v>
      </c>
      <c r="D15" s="3">
        <f t="shared" si="0"/>
        <v>1.2892561983470996</v>
      </c>
      <c r="E15" s="3">
        <f t="shared" si="1"/>
        <v>1.2679506427915441</v>
      </c>
      <c r="F15" s="34">
        <v>2761.23</v>
      </c>
      <c r="G15" s="3">
        <f t="shared" si="2"/>
        <v>-0.68232501258901346</v>
      </c>
      <c r="H15" s="3">
        <f t="shared" si="3"/>
        <v>-0.70363056814456904</v>
      </c>
      <c r="I15" s="3">
        <f t="shared" si="4"/>
        <v>1.60769883255549</v>
      </c>
      <c r="J15" s="3">
        <f t="shared" si="5"/>
        <v>0.49509597642744901</v>
      </c>
      <c r="K15" s="3">
        <f t="shared" si="6"/>
        <v>-0.89216883116668566</v>
      </c>
      <c r="M15" s="8">
        <v>-1.8464528668610258</v>
      </c>
      <c r="N15" s="7">
        <f t="shared" si="7"/>
        <v>-1.8464528668610258E-2</v>
      </c>
      <c r="P15" t="s">
        <v>24</v>
      </c>
      <c r="Q15" s="32">
        <f>SMALL(N5:N254,Q12)</f>
        <v>-1.8352941176470572E-2</v>
      </c>
      <c r="R15" s="8">
        <f>C254*Q15</f>
        <v>-14.920941176470574</v>
      </c>
      <c r="S15" t="s">
        <v>33</v>
      </c>
      <c r="V15" s="7">
        <v>-1.8464528668610258E-2</v>
      </c>
      <c r="X15" t="s">
        <v>24</v>
      </c>
      <c r="Y15" s="32">
        <f>SMALL(V5:V125,Y12)</f>
        <v>-2.2680880018144722E-2</v>
      </c>
      <c r="Z15" s="8">
        <f>Y15*C254</f>
        <v>-18.439555454751659</v>
      </c>
      <c r="AA15" t="s">
        <v>33</v>
      </c>
      <c r="AD15" s="8">
        <v>-1.8464528668610258</v>
      </c>
      <c r="AE15" s="8">
        <f t="shared" si="8"/>
        <v>-1.8464528668610258</v>
      </c>
      <c r="AF15" s="8">
        <v>-7.5697674418604644</v>
      </c>
      <c r="AG15" s="7">
        <f t="shared" si="9"/>
        <v>-7.5697674418604644E-2</v>
      </c>
      <c r="AI15" t="s">
        <v>24</v>
      </c>
      <c r="AJ15" s="32">
        <f>SMALL(AG5:AG254,AJ12)</f>
        <v>-7.3573729606151828E-2</v>
      </c>
      <c r="AK15" s="8">
        <f>AJ15*C254</f>
        <v>-59.815442169801436</v>
      </c>
      <c r="AL15" t="s">
        <v>33</v>
      </c>
    </row>
    <row r="16" spans="1:39" x14ac:dyDescent="0.35">
      <c r="A16" s="9">
        <v>43640</v>
      </c>
      <c r="B16" s="10">
        <f>Расчеты!G29/360</f>
        <v>2.1277777777777777E-2</v>
      </c>
      <c r="C16" s="11">
        <v>616</v>
      </c>
      <c r="D16" s="3">
        <f t="shared" si="0"/>
        <v>0.52219321148825326</v>
      </c>
      <c r="E16" s="3">
        <f t="shared" si="1"/>
        <v>0.50091543371047553</v>
      </c>
      <c r="F16" s="34">
        <v>2762.65</v>
      </c>
      <c r="G16" s="3">
        <f t="shared" si="2"/>
        <v>5.1426357094475073E-2</v>
      </c>
      <c r="H16" s="3">
        <f t="shared" si="3"/>
        <v>3.0148579316697295E-2</v>
      </c>
      <c r="I16" s="3">
        <f t="shared" si="4"/>
        <v>0.25091627172935382</v>
      </c>
      <c r="J16" s="3">
        <f t="shared" si="5"/>
        <v>9.0893683481518795E-4</v>
      </c>
      <c r="K16" s="3">
        <f t="shared" si="6"/>
        <v>1.5101888684178097E-2</v>
      </c>
      <c r="M16" s="8">
        <v>-1.8352941176470572</v>
      </c>
      <c r="N16" s="25">
        <f t="shared" si="7"/>
        <v>-1.8352941176470572E-2</v>
      </c>
      <c r="P16" t="s">
        <v>25</v>
      </c>
      <c r="Q16" s="31">
        <f>SMALL(N5:N254,Q13)</f>
        <v>-1.8244013683010207E-2</v>
      </c>
      <c r="R16" s="8">
        <f>C254*Q16</f>
        <v>-14.832383124287299</v>
      </c>
      <c r="S16" t="s">
        <v>33</v>
      </c>
      <c r="V16" s="7">
        <v>-1.8352941176470572E-2</v>
      </c>
      <c r="X16" t="s">
        <v>25</v>
      </c>
      <c r="Y16" s="31">
        <f>SMALL(V5:V125,Y13)</f>
        <v>-2.173299463731293E-2</v>
      </c>
      <c r="Z16" s="8">
        <f>C254*Y16</f>
        <v>-17.668924640135412</v>
      </c>
      <c r="AA16" t="s">
        <v>33</v>
      </c>
      <c r="AD16" s="8">
        <v>-1.8352941176470572</v>
      </c>
      <c r="AE16" s="8">
        <f t="shared" si="8"/>
        <v>-1.8352941176470572</v>
      </c>
      <c r="AF16" s="8">
        <v>-7.3573729606151828</v>
      </c>
      <c r="AG16" s="25">
        <f t="shared" si="9"/>
        <v>-7.3573729606151828E-2</v>
      </c>
      <c r="AI16" t="s">
        <v>25</v>
      </c>
      <c r="AJ16" s="31">
        <f>SMALL(AG5:AG254,AJ13)</f>
        <v>-7.1747543911878431E-2</v>
      </c>
      <c r="AK16" s="8">
        <f>C254*AJ16</f>
        <v>-58.330753200357165</v>
      </c>
      <c r="AL16" t="s">
        <v>33</v>
      </c>
    </row>
    <row r="17" spans="1:41" ht="15" thickBot="1" x14ac:dyDescent="0.4">
      <c r="A17" s="9">
        <v>43641</v>
      </c>
      <c r="B17" s="10">
        <f>Расчеты!G30/360</f>
        <v>2.1472222222222222E-2</v>
      </c>
      <c r="C17" s="11">
        <v>621.6</v>
      </c>
      <c r="D17" s="3">
        <f t="shared" si="0"/>
        <v>0.90909090909090384</v>
      </c>
      <c r="E17" s="3">
        <f t="shared" si="1"/>
        <v>0.88761868686868162</v>
      </c>
      <c r="F17" s="34">
        <v>2753.96</v>
      </c>
      <c r="G17" s="3">
        <f t="shared" si="2"/>
        <v>-0.31455305594266791</v>
      </c>
      <c r="H17" s="3">
        <f t="shared" si="3"/>
        <v>-0.33602527816489014</v>
      </c>
      <c r="I17" s="3">
        <f t="shared" si="4"/>
        <v>0.78786693327848267</v>
      </c>
      <c r="J17" s="3">
        <f t="shared" si="5"/>
        <v>0.11291298756579179</v>
      </c>
      <c r="K17" s="3">
        <f t="shared" si="6"/>
        <v>-0.29826231615940324</v>
      </c>
      <c r="M17" s="8">
        <v>-1.8244013683010207</v>
      </c>
      <c r="N17" s="29">
        <f t="shared" si="7"/>
        <v>-1.8244013683010207E-2</v>
      </c>
      <c r="P17" s="14" t="s">
        <v>32</v>
      </c>
      <c r="Q17" s="18">
        <f>(Q16-Q15)*(Q14-Q12)/(Q13-Q12)+Q15</f>
        <v>-1.829847742974039E-2</v>
      </c>
      <c r="R17" s="16">
        <f>C254*Q17</f>
        <v>-14.876662150378937</v>
      </c>
      <c r="S17" s="16" t="s">
        <v>33</v>
      </c>
      <c r="V17" s="7">
        <v>-1.8244013683010207E-2</v>
      </c>
      <c r="X17" s="14" t="s">
        <v>32</v>
      </c>
      <c r="Y17" s="18">
        <f>(Y16-Y15)*(Y14-Y12)/(Y13-Y12)+Y15</f>
        <v>-2.1969965982520878E-2</v>
      </c>
      <c r="Z17" s="16">
        <f>C254*Y17</f>
        <v>-17.861582343789475</v>
      </c>
      <c r="AA17" s="16" t="s">
        <v>33</v>
      </c>
      <c r="AD17" s="8">
        <v>-1.8244013683010207</v>
      </c>
      <c r="AE17" s="8">
        <f t="shared" si="8"/>
        <v>-1.8244013683010207</v>
      </c>
      <c r="AF17" s="8">
        <v>-7.1747543911878431</v>
      </c>
      <c r="AG17" s="36">
        <f t="shared" si="9"/>
        <v>-7.1747543911878431E-2</v>
      </c>
      <c r="AI17" s="14" t="s">
        <v>32</v>
      </c>
      <c r="AJ17" s="18">
        <f>(AJ16-AJ15)*(AJ14-AJ12)/(AJ13-AJ12)+AJ15</f>
        <v>-7.2660636759015129E-2</v>
      </c>
      <c r="AK17" s="16">
        <f>C254*AJ17</f>
        <v>-59.073097685079297</v>
      </c>
      <c r="AL17" s="16" t="s">
        <v>33</v>
      </c>
    </row>
    <row r="18" spans="1:41" x14ac:dyDescent="0.35">
      <c r="A18" s="9">
        <v>43642</v>
      </c>
      <c r="B18" s="10">
        <f>Расчеты!G31/360</f>
        <v>2.1472222222222222E-2</v>
      </c>
      <c r="C18" s="11">
        <v>616</v>
      </c>
      <c r="D18" s="3">
        <f t="shared" si="0"/>
        <v>-0.9009009009009028</v>
      </c>
      <c r="E18" s="3">
        <f t="shared" si="1"/>
        <v>-0.92237312312312503</v>
      </c>
      <c r="F18" s="34">
        <v>2775.14</v>
      </c>
      <c r="G18" s="3">
        <f t="shared" si="2"/>
        <v>0.7690743511161946</v>
      </c>
      <c r="H18" s="3">
        <f t="shared" si="3"/>
        <v>0.74760212889397237</v>
      </c>
      <c r="I18" s="3">
        <f t="shared" si="4"/>
        <v>0.85077217825990759</v>
      </c>
      <c r="J18" s="3">
        <f t="shared" si="5"/>
        <v>0.55890894312679973</v>
      </c>
      <c r="K18" s="3">
        <f t="shared" si="6"/>
        <v>-0.68956811048143041</v>
      </c>
      <c r="M18" s="8">
        <v>-1.7056952876553844</v>
      </c>
      <c r="N18" s="7">
        <f t="shared" si="7"/>
        <v>-1.7056952876553844E-2</v>
      </c>
      <c r="P18" s="23" t="s">
        <v>55</v>
      </c>
      <c r="Q18" s="24"/>
      <c r="R18" s="24"/>
      <c r="V18" s="7">
        <v>-1.7056952876553844E-2</v>
      </c>
      <c r="X18" s="23" t="s">
        <v>58</v>
      </c>
      <c r="Y18" s="24"/>
      <c r="Z18" s="24"/>
      <c r="AD18" s="8">
        <v>-1.7056952876553844</v>
      </c>
      <c r="AE18" s="8">
        <f t="shared" si="8"/>
        <v>-1.7056952876553844</v>
      </c>
      <c r="AF18" s="8">
        <v>-7.0278672143888166</v>
      </c>
      <c r="AG18" s="7">
        <f t="shared" si="9"/>
        <v>-7.0278672143888166E-2</v>
      </c>
      <c r="AI18" s="23" t="s">
        <v>65</v>
      </c>
      <c r="AJ18" s="24"/>
      <c r="AK18" s="24"/>
      <c r="AL18" s="24"/>
      <c r="AM18" s="24"/>
    </row>
    <row r="19" spans="1:41" ht="15" thickBot="1" x14ac:dyDescent="0.4">
      <c r="A19" s="9">
        <v>43643</v>
      </c>
      <c r="B19" s="10">
        <f>Расчеты!G32/360</f>
        <v>2.1416666666666667E-2</v>
      </c>
      <c r="C19" s="11">
        <v>613.20000000000005</v>
      </c>
      <c r="D19" s="3">
        <f t="shared" si="0"/>
        <v>-0.45454545454545192</v>
      </c>
      <c r="E19" s="3">
        <f t="shared" si="1"/>
        <v>-0.47596212121211856</v>
      </c>
      <c r="F19" s="34">
        <v>2779.66</v>
      </c>
      <c r="G19" s="3">
        <f t="shared" si="2"/>
        <v>0.16287466578261967</v>
      </c>
      <c r="H19" s="3">
        <f t="shared" si="3"/>
        <v>0.141457999115953</v>
      </c>
      <c r="I19" s="3">
        <f t="shared" si="4"/>
        <v>0.22653994082873943</v>
      </c>
      <c r="J19" s="3">
        <f t="shared" si="5"/>
        <v>2.0010365513888958E-2</v>
      </c>
      <c r="K19" s="3">
        <f t="shared" si="6"/>
        <v>-6.7328649321650988E-2</v>
      </c>
      <c r="M19" s="8">
        <v>-1.6714697406340129</v>
      </c>
      <c r="N19" s="7">
        <f t="shared" si="7"/>
        <v>-1.6714697406340129E-2</v>
      </c>
      <c r="P19" s="19" t="s">
        <v>26</v>
      </c>
      <c r="Q19" s="20">
        <f>AVERAGE(N5:N16)</f>
        <v>-2.3710412529046532E-2</v>
      </c>
      <c r="R19" s="21">
        <f>Q19*C254</f>
        <v>-19.276565386114832</v>
      </c>
      <c r="S19" s="16" t="s">
        <v>33</v>
      </c>
      <c r="V19" s="7">
        <v>-1.6714697406340129E-2</v>
      </c>
      <c r="X19" s="19" t="s">
        <v>26</v>
      </c>
      <c r="Y19" s="20">
        <f>AVERAGE(V5:V9)</f>
        <v>-2.8829654747432997E-2</v>
      </c>
      <c r="Z19" s="21">
        <f>Y19*C254</f>
        <v>-23.438509309663026</v>
      </c>
      <c r="AA19" s="16" t="s">
        <v>33</v>
      </c>
      <c r="AD19" s="8">
        <v>-1.6714697406340129</v>
      </c>
      <c r="AE19" s="8">
        <f t="shared" si="8"/>
        <v>-1.6714697406340129</v>
      </c>
      <c r="AF19" s="8">
        <v>-6.9575200918484459</v>
      </c>
      <c r="AG19" s="7">
        <f t="shared" si="9"/>
        <v>-6.9575200918484459E-2</v>
      </c>
      <c r="AI19" s="19" t="s">
        <v>26</v>
      </c>
      <c r="AJ19" s="20">
        <f>AVERAGE(AG5:AG16)</f>
        <v>-9.7692441787702852E-2</v>
      </c>
      <c r="AK19" s="21">
        <f>AJ19*C254</f>
        <v>-79.423955173402419</v>
      </c>
      <c r="AL19" s="16" t="s">
        <v>33</v>
      </c>
    </row>
    <row r="20" spans="1:41" x14ac:dyDescent="0.35">
      <c r="A20" s="9">
        <v>43644</v>
      </c>
      <c r="B20" s="10">
        <f>Расчеты!G33/360</f>
        <v>2.1444444444444443E-2</v>
      </c>
      <c r="C20" s="11">
        <v>617.4</v>
      </c>
      <c r="D20" s="3">
        <f t="shared" si="0"/>
        <v>0.6849315068492956</v>
      </c>
      <c r="E20" s="3">
        <f t="shared" si="1"/>
        <v>0.66348706240485111</v>
      </c>
      <c r="F20" s="34">
        <v>2765.85</v>
      </c>
      <c r="G20" s="3">
        <f t="shared" si="2"/>
        <v>-0.49682335249634502</v>
      </c>
      <c r="H20" s="3">
        <f t="shared" si="3"/>
        <v>-0.5182677969407895</v>
      </c>
      <c r="I20" s="3">
        <f t="shared" si="4"/>
        <v>0.44021508197861881</v>
      </c>
      <c r="J20" s="3">
        <f t="shared" si="5"/>
        <v>0.26860150934585941</v>
      </c>
      <c r="K20" s="3">
        <f t="shared" si="6"/>
        <v>-0.34386397813127834</v>
      </c>
      <c r="M20" s="8">
        <v>-1.6301126259632537</v>
      </c>
      <c r="N20" s="7">
        <f t="shared" si="7"/>
        <v>-1.6301126259632537E-2</v>
      </c>
      <c r="P20" s="24" t="s">
        <v>56</v>
      </c>
      <c r="Q20" s="24"/>
      <c r="R20" s="24"/>
      <c r="S20" s="24"/>
      <c r="T20" s="24"/>
      <c r="V20" s="7">
        <v>-1.6301126259632537E-2</v>
      </c>
      <c r="X20" s="24" t="s">
        <v>59</v>
      </c>
      <c r="Y20" s="24"/>
      <c r="Z20" s="24"/>
      <c r="AA20" s="24"/>
      <c r="AB20" s="24"/>
      <c r="AD20" s="8">
        <v>-1.6301126259632537</v>
      </c>
      <c r="AE20" s="8">
        <f t="shared" si="8"/>
        <v>-1.6301126259632537</v>
      </c>
      <c r="AF20" s="8">
        <v>-6.9400630914826511</v>
      </c>
      <c r="AG20" s="7">
        <f t="shared" si="9"/>
        <v>-6.9400630914826511E-2</v>
      </c>
      <c r="AI20" s="24" t="s">
        <v>66</v>
      </c>
      <c r="AJ20" s="24"/>
      <c r="AK20" s="24"/>
      <c r="AL20" s="24"/>
      <c r="AM20" s="24"/>
      <c r="AN20" s="24"/>
      <c r="AO20" s="24"/>
    </row>
    <row r="21" spans="1:41" x14ac:dyDescent="0.35">
      <c r="A21" s="9">
        <v>43647</v>
      </c>
      <c r="B21" s="10">
        <f>Расчеты!G34/360</f>
        <v>2.1333333333333333E-2</v>
      </c>
      <c r="C21" s="11">
        <v>606</v>
      </c>
      <c r="D21" s="3">
        <f t="shared" si="0"/>
        <v>-1.8464528668610258</v>
      </c>
      <c r="E21" s="3">
        <f t="shared" si="1"/>
        <v>-1.8677862001943593</v>
      </c>
      <c r="F21" s="34">
        <v>2801.47</v>
      </c>
      <c r="G21" s="3">
        <f t="shared" si="2"/>
        <v>1.2878500280203209</v>
      </c>
      <c r="H21" s="3">
        <f t="shared" si="3"/>
        <v>1.2665166946869875</v>
      </c>
      <c r="I21" s="3">
        <f t="shared" si="4"/>
        <v>3.4886252896364831</v>
      </c>
      <c r="J21" s="3">
        <f t="shared" si="5"/>
        <v>1.6040645379208518</v>
      </c>
      <c r="K21" s="3">
        <f t="shared" si="6"/>
        <v>-2.3655824046521277</v>
      </c>
      <c r="M21" s="8">
        <v>-1.5079834417504379</v>
      </c>
      <c r="N21" s="7">
        <f t="shared" si="7"/>
        <v>-1.5079834417504379E-2</v>
      </c>
      <c r="V21" s="7">
        <v>-1.5079834417504379E-2</v>
      </c>
      <c r="AD21" s="8">
        <v>-1.5079834417504379</v>
      </c>
      <c r="AE21" s="8">
        <f t="shared" si="8"/>
        <v>-1.5079834417504379</v>
      </c>
      <c r="AF21" s="8">
        <v>-6.4625850340136015</v>
      </c>
      <c r="AG21" s="7">
        <f t="shared" si="9"/>
        <v>-6.4625850340136015E-2</v>
      </c>
    </row>
    <row r="22" spans="1:41" x14ac:dyDescent="0.35">
      <c r="A22" s="9">
        <v>43648</v>
      </c>
      <c r="B22" s="10">
        <f>Расчеты!G35/360</f>
        <v>2.1222222222222222E-2</v>
      </c>
      <c r="C22" s="11">
        <v>614.79999999999995</v>
      </c>
      <c r="D22" s="3">
        <f t="shared" si="0"/>
        <v>1.4521452145214386</v>
      </c>
      <c r="E22" s="3">
        <f t="shared" si="1"/>
        <v>1.4309229922992164</v>
      </c>
      <c r="F22" s="34">
        <v>2809.81</v>
      </c>
      <c r="G22" s="3">
        <f t="shared" si="2"/>
        <v>0.29770084991094237</v>
      </c>
      <c r="H22" s="3">
        <f t="shared" si="3"/>
        <v>0.27647862768872017</v>
      </c>
      <c r="I22" s="3">
        <f t="shared" si="4"/>
        <v>2.0475406098905431</v>
      </c>
      <c r="J22" s="3">
        <f t="shared" si="5"/>
        <v>7.6440431568637945E-2</v>
      </c>
      <c r="K22" s="3">
        <f t="shared" si="6"/>
        <v>0.39561962523912442</v>
      </c>
      <c r="M22" s="8">
        <v>-1.5010507355148639</v>
      </c>
      <c r="N22" s="7">
        <f t="shared" si="7"/>
        <v>-1.5010507355148639E-2</v>
      </c>
      <c r="V22" s="7">
        <v>-1.5010507355148639E-2</v>
      </c>
      <c r="AD22" s="8">
        <v>-1.5010507355148639</v>
      </c>
      <c r="AE22" s="8">
        <f t="shared" si="8"/>
        <v>-1.5010507355148639</v>
      </c>
      <c r="AF22" s="8">
        <v>-6.3189269746646959</v>
      </c>
      <c r="AG22" s="7">
        <f t="shared" si="9"/>
        <v>-6.3189269746646959E-2</v>
      </c>
    </row>
    <row r="23" spans="1:41" x14ac:dyDescent="0.35">
      <c r="A23" s="9">
        <v>43649</v>
      </c>
      <c r="B23" s="10">
        <f>Расчеты!G36/360</f>
        <v>2.1111111111111112E-2</v>
      </c>
      <c r="C23" s="11">
        <v>621.6</v>
      </c>
      <c r="D23" s="3">
        <f t="shared" si="0"/>
        <v>1.1060507482108184</v>
      </c>
      <c r="E23" s="3">
        <f t="shared" si="1"/>
        <v>1.0849396370997073</v>
      </c>
      <c r="F23" s="34">
        <v>2823.95</v>
      </c>
      <c r="G23" s="3">
        <f t="shared" si="2"/>
        <v>0.50323687366760073</v>
      </c>
      <c r="H23" s="3">
        <f t="shared" si="3"/>
        <v>0.48212576255648959</v>
      </c>
      <c r="I23" s="3">
        <f t="shared" si="4"/>
        <v>1.1770940161500445</v>
      </c>
      <c r="J23" s="3">
        <f t="shared" si="5"/>
        <v>0.23244525092067658</v>
      </c>
      <c r="K23" s="3">
        <f t="shared" si="6"/>
        <v>0.52307734986445742</v>
      </c>
      <c r="M23" s="8">
        <v>-1.4895729890764597</v>
      </c>
      <c r="N23" s="7">
        <f t="shared" si="7"/>
        <v>-1.4895729890764597E-2</v>
      </c>
      <c r="V23" s="7">
        <v>-1.4895729890764597E-2</v>
      </c>
      <c r="AD23" s="8">
        <v>-1.4895729890764597</v>
      </c>
      <c r="AE23" s="8">
        <f t="shared" si="8"/>
        <v>-1.4895729890764597</v>
      </c>
      <c r="AF23" s="8">
        <v>-5.9049447911665887</v>
      </c>
      <c r="AG23" s="7">
        <f t="shared" si="9"/>
        <v>-5.9049447911665887E-2</v>
      </c>
    </row>
    <row r="24" spans="1:41" x14ac:dyDescent="0.35">
      <c r="A24" s="9">
        <v>43650</v>
      </c>
      <c r="B24" s="10">
        <f>Расчеты!G37/360</f>
        <v>2.0999999999999998E-2</v>
      </c>
      <c r="C24" s="11">
        <v>622.79999999999995</v>
      </c>
      <c r="D24" s="3">
        <f t="shared" si="0"/>
        <v>0.19305019305018156</v>
      </c>
      <c r="E24" s="3">
        <f t="shared" si="1"/>
        <v>0.17205019305018157</v>
      </c>
      <c r="F24" s="34">
        <v>2842.78</v>
      </c>
      <c r="G24" s="3">
        <f t="shared" si="2"/>
        <v>0.66679650843677329</v>
      </c>
      <c r="H24" s="3">
        <f t="shared" si="3"/>
        <v>0.64579650843677328</v>
      </c>
      <c r="I24" s="3">
        <f t="shared" si="4"/>
        <v>2.9601268928604749E-2</v>
      </c>
      <c r="J24" s="3">
        <f t="shared" si="5"/>
        <v>0.41705313030912738</v>
      </c>
      <c r="K24" s="3">
        <f t="shared" si="6"/>
        <v>0.11110941394768005</v>
      </c>
      <c r="M24" s="8">
        <v>-1.4869888475836479</v>
      </c>
      <c r="N24" s="7">
        <f t="shared" si="7"/>
        <v>-1.4869888475836479E-2</v>
      </c>
      <c r="V24" s="7">
        <v>-1.4869888475836479E-2</v>
      </c>
      <c r="AD24" s="8">
        <v>-1.4869888475836479</v>
      </c>
      <c r="AE24" s="8">
        <f t="shared" si="8"/>
        <v>-1.4869888475836479</v>
      </c>
      <c r="AF24" s="8">
        <v>-5.677933915685518</v>
      </c>
      <c r="AG24" s="7">
        <f t="shared" si="9"/>
        <v>-5.677933915685518E-2</v>
      </c>
    </row>
    <row r="25" spans="1:41" x14ac:dyDescent="0.35">
      <c r="A25" s="9">
        <v>43651</v>
      </c>
      <c r="B25" s="10">
        <f>Расчеты!G38/360</f>
        <v>2.0999999999999998E-2</v>
      </c>
      <c r="C25" s="11">
        <v>619.4</v>
      </c>
      <c r="D25" s="3">
        <f t="shared" si="0"/>
        <v>-0.54592164418754141</v>
      </c>
      <c r="E25" s="3">
        <f t="shared" si="1"/>
        <v>-0.56692164418754143</v>
      </c>
      <c r="F25" s="34">
        <v>2835.35</v>
      </c>
      <c r="G25" s="3">
        <f t="shared" si="2"/>
        <v>-0.26136387620570023</v>
      </c>
      <c r="H25" s="3">
        <f t="shared" si="3"/>
        <v>-0.28236387620570025</v>
      </c>
      <c r="I25" s="3">
        <f t="shared" si="4"/>
        <v>0.32140015064830535</v>
      </c>
      <c r="J25" s="3">
        <f t="shared" si="5"/>
        <v>7.9729358585908017E-2</v>
      </c>
      <c r="K25" s="3">
        <f t="shared" si="6"/>
        <v>0.16007819295770298</v>
      </c>
      <c r="M25" s="8">
        <v>-1.4262709914883764</v>
      </c>
      <c r="N25" s="7">
        <f t="shared" si="7"/>
        <v>-1.4262709914883764E-2</v>
      </c>
      <c r="V25" s="7">
        <v>-1.4262709914883764E-2</v>
      </c>
      <c r="AD25" s="8">
        <v>-1.4262709914883764</v>
      </c>
      <c r="AE25" s="8">
        <f t="shared" si="8"/>
        <v>-1.4262709914883764</v>
      </c>
      <c r="AF25" s="8">
        <v>-5.5084745762711833</v>
      </c>
      <c r="AG25" s="7">
        <f t="shared" si="9"/>
        <v>-5.5084745762711836E-2</v>
      </c>
    </row>
    <row r="26" spans="1:41" x14ac:dyDescent="0.35">
      <c r="A26" s="9">
        <v>43654</v>
      </c>
      <c r="B26" s="10">
        <f>Расчеты!G39/360</f>
        <v>2.1055555555555557E-2</v>
      </c>
      <c r="C26" s="11">
        <v>616</v>
      </c>
      <c r="D26" s="3">
        <f t="shared" si="0"/>
        <v>-0.54891830804003616</v>
      </c>
      <c r="E26" s="3">
        <f t="shared" si="1"/>
        <v>-0.56997386359559177</v>
      </c>
      <c r="F26" s="34">
        <v>2822.55</v>
      </c>
      <c r="G26" s="3">
        <f t="shared" si="2"/>
        <v>-0.45144338441461818</v>
      </c>
      <c r="H26" s="3">
        <f t="shared" si="3"/>
        <v>-0.47249893997017373</v>
      </c>
      <c r="I26" s="3">
        <f t="shared" si="4"/>
        <v>0.32487020518208626</v>
      </c>
      <c r="J26" s="3">
        <f t="shared" si="5"/>
        <v>0.22325524827293783</v>
      </c>
      <c r="K26" s="3">
        <f t="shared" si="6"/>
        <v>0.26931204635962153</v>
      </c>
      <c r="M26" s="8">
        <v>-1.4063873425139262</v>
      </c>
      <c r="N26" s="7">
        <f t="shared" si="7"/>
        <v>-1.4063873425139262E-2</v>
      </c>
      <c r="V26" s="7">
        <v>-1.4063873425139262E-2</v>
      </c>
      <c r="AD26" s="8">
        <v>-1.4063873425139262</v>
      </c>
      <c r="AE26" s="8">
        <f t="shared" si="8"/>
        <v>-1.4063873425139262</v>
      </c>
      <c r="AF26" s="8">
        <v>-5.3295932678821822</v>
      </c>
      <c r="AG26" s="7">
        <f t="shared" si="9"/>
        <v>-5.3295932678821822E-2</v>
      </c>
    </row>
    <row r="27" spans="1:41" x14ac:dyDescent="0.35">
      <c r="A27" s="9">
        <v>43655</v>
      </c>
      <c r="B27" s="10">
        <f>Расчеты!G40/360</f>
        <v>2.1138888888888891E-2</v>
      </c>
      <c r="C27" s="11">
        <v>618.20000000000005</v>
      </c>
      <c r="D27" s="3">
        <f t="shared" si="0"/>
        <v>0.35714285714285587</v>
      </c>
      <c r="E27" s="3">
        <f t="shared" si="1"/>
        <v>0.336003968253967</v>
      </c>
      <c r="F27" s="34">
        <v>2822.66</v>
      </c>
      <c r="G27" s="3">
        <f t="shared" si="2"/>
        <v>3.897185169421391E-3</v>
      </c>
      <c r="H27" s="3">
        <f t="shared" si="3"/>
        <v>-1.72417037194675E-2</v>
      </c>
      <c r="I27" s="3">
        <f t="shared" si="4"/>
        <v>0.11289866668241286</v>
      </c>
      <c r="J27" s="3">
        <f t="shared" si="5"/>
        <v>2.9727634714989945E-4</v>
      </c>
      <c r="K27" s="3">
        <f t="shared" si="6"/>
        <v>-5.7932808692002626E-3</v>
      </c>
      <c r="M27" s="8">
        <v>-1.3820904117477717</v>
      </c>
      <c r="N27" s="7">
        <f t="shared" si="7"/>
        <v>-1.3820904117477717E-2</v>
      </c>
      <c r="V27" s="7">
        <v>-1.3820904117477717E-2</v>
      </c>
      <c r="AD27" s="8">
        <v>-1.3820904117477717</v>
      </c>
      <c r="AE27" s="8">
        <f t="shared" si="8"/>
        <v>-1.3820904117477717</v>
      </c>
      <c r="AF27" s="8">
        <v>-5.2909090909090795</v>
      </c>
      <c r="AG27" s="7">
        <f t="shared" si="9"/>
        <v>-5.2909090909090795E-2</v>
      </c>
    </row>
    <row r="28" spans="1:41" x14ac:dyDescent="0.35">
      <c r="A28" s="9">
        <v>43656</v>
      </c>
      <c r="B28" s="10">
        <f>Расчеты!G41/360</f>
        <v>2.1166666666666667E-2</v>
      </c>
      <c r="C28" s="11">
        <v>616.4</v>
      </c>
      <c r="D28" s="3">
        <f t="shared" si="0"/>
        <v>-0.29116790682628402</v>
      </c>
      <c r="E28" s="3">
        <f t="shared" si="1"/>
        <v>-0.31233457349295068</v>
      </c>
      <c r="F28" s="34">
        <v>2822.75</v>
      </c>
      <c r="G28" s="3">
        <f t="shared" si="2"/>
        <v>3.1884817866867365E-3</v>
      </c>
      <c r="H28" s="3">
        <f t="shared" si="3"/>
        <v>-1.797818487997993E-2</v>
      </c>
      <c r="I28" s="3">
        <f t="shared" si="4"/>
        <v>9.7552885799023409E-2</v>
      </c>
      <c r="J28" s="3">
        <f t="shared" si="5"/>
        <v>3.2321513157873897E-4</v>
      </c>
      <c r="K28" s="3">
        <f t="shared" si="6"/>
        <v>5.6152087066659463E-3</v>
      </c>
      <c r="M28" s="8">
        <v>-1.3722627737226212</v>
      </c>
      <c r="N28" s="7">
        <f t="shared" si="7"/>
        <v>-1.3722627737226212E-2</v>
      </c>
      <c r="V28" s="7">
        <v>-1.3722627737226212E-2</v>
      </c>
      <c r="AD28" s="8">
        <v>-1.3722627737226212</v>
      </c>
      <c r="AE28" s="8">
        <f t="shared" si="8"/>
        <v>-1.3722627737226212</v>
      </c>
      <c r="AF28" s="8">
        <v>-5.1428571428571379</v>
      </c>
      <c r="AG28" s="7">
        <f t="shared" si="9"/>
        <v>-5.1428571428571379E-2</v>
      </c>
    </row>
    <row r="29" spans="1:41" x14ac:dyDescent="0.35">
      <c r="A29" s="9">
        <v>43657</v>
      </c>
      <c r="B29" s="10">
        <f>Расчеты!G42/360</f>
        <v>2.1027777777777777E-2</v>
      </c>
      <c r="C29" s="11">
        <v>614.20000000000005</v>
      </c>
      <c r="D29" s="3">
        <f t="shared" si="0"/>
        <v>-0.35691109669044874</v>
      </c>
      <c r="E29" s="3">
        <f t="shared" si="1"/>
        <v>-0.37793887446822649</v>
      </c>
      <c r="F29" s="34">
        <v>2789.66</v>
      </c>
      <c r="G29" s="3">
        <f t="shared" si="2"/>
        <v>-1.1722610929058574</v>
      </c>
      <c r="H29" s="3">
        <f t="shared" si="3"/>
        <v>-1.1932888706836353</v>
      </c>
      <c r="I29" s="3">
        <f t="shared" si="4"/>
        <v>0.14283779283430986</v>
      </c>
      <c r="J29" s="3">
        <f t="shared" si="5"/>
        <v>1.4239383288974257</v>
      </c>
      <c r="K29" s="3">
        <f t="shared" si="6"/>
        <v>0.45099025270163423</v>
      </c>
      <c r="M29" s="8">
        <v>-1.3091922005570966</v>
      </c>
      <c r="N29" s="7">
        <f t="shared" si="7"/>
        <v>-1.3091922005570966E-2</v>
      </c>
      <c r="V29" s="7">
        <v>-1.3091922005570966E-2</v>
      </c>
      <c r="AD29" s="8">
        <v>-1.3091922005570966</v>
      </c>
      <c r="AE29" s="8">
        <f t="shared" si="8"/>
        <v>-1.3091922005570966</v>
      </c>
      <c r="AF29" s="8">
        <v>-5.087939698492483</v>
      </c>
      <c r="AG29" s="7">
        <f t="shared" si="9"/>
        <v>-5.087939698492483E-2</v>
      </c>
    </row>
    <row r="30" spans="1:41" x14ac:dyDescent="0.35">
      <c r="A30" s="9">
        <v>43658</v>
      </c>
      <c r="B30" s="10">
        <f>Расчеты!G43/360</f>
        <v>2.0999999999999998E-2</v>
      </c>
      <c r="C30" s="11">
        <v>615</v>
      </c>
      <c r="D30" s="3">
        <f t="shared" si="0"/>
        <v>0.13025073266035303</v>
      </c>
      <c r="E30" s="3">
        <f t="shared" si="1"/>
        <v>0.10925073266035304</v>
      </c>
      <c r="F30" s="34">
        <v>2777.58</v>
      </c>
      <c r="G30" s="3">
        <f t="shared" si="2"/>
        <v>-0.43302768079264142</v>
      </c>
      <c r="H30" s="3">
        <f t="shared" si="3"/>
        <v>-0.45402768079264144</v>
      </c>
      <c r="I30" s="3">
        <f t="shared" si="4"/>
        <v>1.1935722586823931E-2</v>
      </c>
      <c r="J30" s="3">
        <f t="shared" si="5"/>
        <v>0.20614113492594471</v>
      </c>
      <c r="K30" s="3">
        <f t="shared" si="6"/>
        <v>-4.9602856774676976E-2</v>
      </c>
      <c r="M30" s="8">
        <v>-1.2975256487628095</v>
      </c>
      <c r="N30" s="7">
        <f t="shared" si="7"/>
        <v>-1.2975256487628095E-2</v>
      </c>
      <c r="V30" s="7">
        <v>-1.2975256487628095E-2</v>
      </c>
      <c r="AD30" s="8">
        <v>-1.2975256487628095</v>
      </c>
      <c r="AE30" s="8">
        <f t="shared" si="8"/>
        <v>-1.2975256487628095</v>
      </c>
      <c r="AF30" s="8">
        <v>-5.0612979417388404</v>
      </c>
      <c r="AG30" s="7">
        <f t="shared" si="9"/>
        <v>-5.0612979417388404E-2</v>
      </c>
    </row>
    <row r="31" spans="1:41" x14ac:dyDescent="0.35">
      <c r="A31" s="9">
        <v>43661</v>
      </c>
      <c r="B31" s="10">
        <f>Расчеты!G44/360</f>
        <v>2.0999999999999998E-2</v>
      </c>
      <c r="C31" s="11">
        <v>614</v>
      </c>
      <c r="D31" s="3">
        <f t="shared" si="0"/>
        <v>-0.16260162601625661</v>
      </c>
      <c r="E31" s="3">
        <f t="shared" si="1"/>
        <v>-0.1836016260162566</v>
      </c>
      <c r="F31" s="34">
        <v>2756.44</v>
      </c>
      <c r="G31" s="3">
        <f t="shared" si="2"/>
        <v>-0.7610941899063195</v>
      </c>
      <c r="H31" s="3">
        <f t="shared" si="3"/>
        <v>-0.78209418990631951</v>
      </c>
      <c r="I31" s="3">
        <f t="shared" si="4"/>
        <v>3.370955707581335E-2</v>
      </c>
      <c r="J31" s="3">
        <f t="shared" si="5"/>
        <v>0.61167132188522222</v>
      </c>
      <c r="K31" s="3">
        <f t="shared" si="6"/>
        <v>0.14359376496466725</v>
      </c>
      <c r="M31" s="8">
        <v>-1.2812872467222958</v>
      </c>
      <c r="N31" s="7">
        <f t="shared" si="7"/>
        <v>-1.2812872467222958E-2</v>
      </c>
      <c r="V31" s="7">
        <v>-1.2812872467222958E-2</v>
      </c>
      <c r="AD31" s="8">
        <v>-1.2812872467222958</v>
      </c>
      <c r="AE31" s="8">
        <f t="shared" si="8"/>
        <v>-1.2812872467222958</v>
      </c>
      <c r="AF31" s="8">
        <v>-5.0088495575221215</v>
      </c>
      <c r="AG31" s="7">
        <f t="shared" si="9"/>
        <v>-5.0088495575221215E-2</v>
      </c>
    </row>
    <row r="32" spans="1:41" x14ac:dyDescent="0.35">
      <c r="A32" s="9">
        <v>43662</v>
      </c>
      <c r="B32" s="10">
        <f>Расчеты!G45/360</f>
        <v>2.0999999999999998E-2</v>
      </c>
      <c r="C32" s="11">
        <v>615</v>
      </c>
      <c r="D32" s="3">
        <f t="shared" si="0"/>
        <v>0.16286644951140072</v>
      </c>
      <c r="E32" s="3">
        <f t="shared" si="1"/>
        <v>0.14186644951140073</v>
      </c>
      <c r="F32" s="34">
        <v>2755.88</v>
      </c>
      <c r="G32" s="3">
        <f t="shared" si="2"/>
        <v>-2.031605984530449E-2</v>
      </c>
      <c r="H32" s="3">
        <f t="shared" si="3"/>
        <v>-4.1316059845304488E-2</v>
      </c>
      <c r="I32" s="3">
        <f t="shared" si="4"/>
        <v>2.0126089496970815E-2</v>
      </c>
      <c r="J32" s="3">
        <f t="shared" si="5"/>
        <v>1.707016801140782E-3</v>
      </c>
      <c r="K32" s="3">
        <f t="shared" si="6"/>
        <v>-5.8613627180539004E-3</v>
      </c>
      <c r="M32" s="8">
        <v>-1.2492736780941316</v>
      </c>
      <c r="N32" s="7">
        <f t="shared" si="7"/>
        <v>-1.2492736780941316E-2</v>
      </c>
      <c r="V32" s="7">
        <v>-1.2492736780941316E-2</v>
      </c>
      <c r="AD32" s="8">
        <v>-1.2492736780941316</v>
      </c>
      <c r="AE32" s="8">
        <f t="shared" si="8"/>
        <v>-1.2492736780941316</v>
      </c>
      <c r="AF32" s="8">
        <v>-4.9300748693318353</v>
      </c>
      <c r="AG32" s="7">
        <f t="shared" si="9"/>
        <v>-4.9300748693318353E-2</v>
      </c>
    </row>
    <row r="33" spans="1:33" x14ac:dyDescent="0.35">
      <c r="A33" s="9">
        <v>43663</v>
      </c>
      <c r="B33" s="10">
        <f>Расчеты!G46/360</f>
        <v>2.0972222222222222E-2</v>
      </c>
      <c r="C33" s="11">
        <v>620.79999999999995</v>
      </c>
      <c r="D33" s="3">
        <f t="shared" si="0"/>
        <v>0.94308943089429498</v>
      </c>
      <c r="E33" s="3">
        <f t="shared" si="1"/>
        <v>0.92211720867207281</v>
      </c>
      <c r="F33" s="34">
        <v>2713.17</v>
      </c>
      <c r="G33" s="3">
        <f t="shared" si="2"/>
        <v>-1.5497772036518254</v>
      </c>
      <c r="H33" s="3">
        <f t="shared" si="3"/>
        <v>-1.5707494258740475</v>
      </c>
      <c r="I33" s="3">
        <f t="shared" si="4"/>
        <v>0.85030014652917507</v>
      </c>
      <c r="J33" s="3">
        <f t="shared" si="5"/>
        <v>2.4672537588836501</v>
      </c>
      <c r="K33" s="3">
        <f t="shared" si="6"/>
        <v>-1.4484150761102377</v>
      </c>
      <c r="M33" s="8">
        <v>-1.2380952380952381</v>
      </c>
      <c r="N33" s="7">
        <f t="shared" si="7"/>
        <v>-1.2380952380952381E-2</v>
      </c>
      <c r="V33" s="7">
        <v>-1.2380952380952381E-2</v>
      </c>
      <c r="AD33" s="8">
        <v>-1.2380952380952381</v>
      </c>
      <c r="AE33" s="8">
        <f t="shared" si="8"/>
        <v>-1.2380952380952381</v>
      </c>
      <c r="AF33" s="8">
        <v>-4.880860876249038</v>
      </c>
      <c r="AG33" s="7">
        <f t="shared" si="9"/>
        <v>-4.880860876249038E-2</v>
      </c>
    </row>
    <row r="34" spans="1:33" x14ac:dyDescent="0.35">
      <c r="A34" s="9">
        <v>43664</v>
      </c>
      <c r="B34" s="10">
        <f>Расчеты!G47/360</f>
        <v>2.0972222222222222E-2</v>
      </c>
      <c r="C34" s="11">
        <v>624.20000000000005</v>
      </c>
      <c r="D34" s="3">
        <f t="shared" si="0"/>
        <v>0.54768041237114318</v>
      </c>
      <c r="E34" s="3">
        <f t="shared" si="1"/>
        <v>0.52670819014892101</v>
      </c>
      <c r="F34" s="34">
        <v>2702.59</v>
      </c>
      <c r="G34" s="3">
        <f t="shared" si="2"/>
        <v>-0.3899497635607041</v>
      </c>
      <c r="H34" s="3">
        <f t="shared" si="3"/>
        <v>-0.41092198578292632</v>
      </c>
      <c r="I34" s="3">
        <f t="shared" si="4"/>
        <v>0.27742151756995193</v>
      </c>
      <c r="J34" s="3">
        <f t="shared" si="5"/>
        <v>0.1688568783997835</v>
      </c>
      <c r="K34" s="3">
        <f t="shared" si="6"/>
        <v>-0.21643597542412576</v>
      </c>
      <c r="M34" s="8">
        <v>-1.194029850746281</v>
      </c>
      <c r="N34" s="7">
        <f t="shared" si="7"/>
        <v>-1.194029850746281E-2</v>
      </c>
      <c r="V34" s="7">
        <v>-1.194029850746281E-2</v>
      </c>
      <c r="AD34" s="8">
        <v>-1.194029850746281</v>
      </c>
      <c r="AE34" s="8">
        <f t="shared" si="8"/>
        <v>-1.194029850746281</v>
      </c>
      <c r="AF34" s="8">
        <v>-4.4000490256158926</v>
      </c>
      <c r="AG34" s="7">
        <f t="shared" si="9"/>
        <v>-4.4000490256158924E-2</v>
      </c>
    </row>
    <row r="35" spans="1:33" x14ac:dyDescent="0.35">
      <c r="A35" s="9">
        <v>43665</v>
      </c>
      <c r="B35" s="10">
        <f>Расчеты!G48/360</f>
        <v>2.0999999999999998E-2</v>
      </c>
      <c r="C35" s="11">
        <v>622.4</v>
      </c>
      <c r="D35" s="3">
        <f t="shared" si="0"/>
        <v>-0.2883691124639598</v>
      </c>
      <c r="E35" s="3">
        <f t="shared" si="1"/>
        <v>-0.30936911246395982</v>
      </c>
      <c r="F35" s="34">
        <v>2700.57</v>
      </c>
      <c r="G35" s="3">
        <f t="shared" si="2"/>
        <v>-7.4743116787967523E-2</v>
      </c>
      <c r="H35" s="3">
        <f t="shared" si="3"/>
        <v>-9.5743116787967514E-2</v>
      </c>
      <c r="I35" s="3">
        <f t="shared" si="4"/>
        <v>9.5709247746738224E-2</v>
      </c>
      <c r="J35" s="3">
        <f t="shared" si="5"/>
        <v>9.1667444122743875E-3</v>
      </c>
      <c r="K35" s="3">
        <f t="shared" si="6"/>
        <v>2.9619963065226761E-2</v>
      </c>
      <c r="M35" s="8">
        <v>-1.1377245508982115</v>
      </c>
      <c r="N35" s="7">
        <f t="shared" si="7"/>
        <v>-1.1377245508982115E-2</v>
      </c>
      <c r="V35" s="7">
        <v>-1.1377245508982115E-2</v>
      </c>
      <c r="AD35" s="8">
        <v>-1.1377245508982115</v>
      </c>
      <c r="AE35" s="8">
        <f t="shared" si="8"/>
        <v>-1.1377245508982115</v>
      </c>
      <c r="AF35" s="8">
        <v>-4.250751395448682</v>
      </c>
      <c r="AG35" s="7">
        <f t="shared" si="9"/>
        <v>-4.250751395448682E-2</v>
      </c>
    </row>
    <row r="36" spans="1:33" x14ac:dyDescent="0.35">
      <c r="A36" s="9">
        <v>43668</v>
      </c>
      <c r="B36" s="10">
        <f>Расчеты!G49/360</f>
        <v>2.0916666666666667E-2</v>
      </c>
      <c r="C36" s="11">
        <v>624.20000000000005</v>
      </c>
      <c r="D36" s="3">
        <f t="shared" si="0"/>
        <v>0.28920308483291191</v>
      </c>
      <c r="E36" s="3">
        <f t="shared" si="1"/>
        <v>0.26828641816624521</v>
      </c>
      <c r="F36" s="34">
        <v>2684.25</v>
      </c>
      <c r="G36" s="3">
        <f t="shared" si="2"/>
        <v>-0.60431686643931393</v>
      </c>
      <c r="H36" s="3">
        <f t="shared" si="3"/>
        <v>-0.62523353310598062</v>
      </c>
      <c r="I36" s="3">
        <f t="shared" si="4"/>
        <v>7.1977602172473384E-2</v>
      </c>
      <c r="J36" s="3">
        <f t="shared" si="5"/>
        <v>0.39091697092018735</v>
      </c>
      <c r="K36" s="3">
        <f t="shared" si="6"/>
        <v>-0.16774166511443003</v>
      </c>
      <c r="M36" s="8">
        <v>-1.1349306431273631</v>
      </c>
      <c r="N36" s="7">
        <f t="shared" si="7"/>
        <v>-1.1349306431273631E-2</v>
      </c>
      <c r="V36" s="7">
        <v>-1.1349306431273631E-2</v>
      </c>
      <c r="AD36" s="8">
        <v>-1.1349306431273631</v>
      </c>
      <c r="AE36" s="8">
        <f t="shared" si="8"/>
        <v>-1.1349306431273631</v>
      </c>
      <c r="AF36" s="8">
        <v>-4.1706769329483588</v>
      </c>
      <c r="AG36" s="7">
        <f t="shared" si="9"/>
        <v>-4.1706769329483591E-2</v>
      </c>
    </row>
    <row r="37" spans="1:33" x14ac:dyDescent="0.35">
      <c r="A37" s="9">
        <v>43669</v>
      </c>
      <c r="B37" s="10">
        <f>Расчеты!G50/360</f>
        <v>2.0916666666666667E-2</v>
      </c>
      <c r="C37" s="11">
        <v>622.6</v>
      </c>
      <c r="D37" s="3">
        <f t="shared" si="0"/>
        <v>-0.2563280999679618</v>
      </c>
      <c r="E37" s="3">
        <f t="shared" si="1"/>
        <v>-0.27724476663462849</v>
      </c>
      <c r="F37" s="34">
        <v>2701.06</v>
      </c>
      <c r="G37" s="3">
        <f t="shared" si="2"/>
        <v>0.62624569246529926</v>
      </c>
      <c r="H37" s="3">
        <f t="shared" si="3"/>
        <v>0.60532902579863257</v>
      </c>
      <c r="I37" s="3">
        <f t="shared" si="4"/>
        <v>7.6864660626289619E-2</v>
      </c>
      <c r="J37" s="3">
        <f t="shared" si="5"/>
        <v>0.3664232294743216</v>
      </c>
      <c r="K37" s="3">
        <f t="shared" si="6"/>
        <v>-0.16782430449470889</v>
      </c>
      <c r="M37" s="8">
        <v>-1.0907003444316721</v>
      </c>
      <c r="N37" s="7">
        <f t="shared" si="7"/>
        <v>-1.0907003444316721E-2</v>
      </c>
      <c r="V37" s="7">
        <v>-1.0907003444316721E-2</v>
      </c>
      <c r="AD37" s="8">
        <v>-1.0907003444316721</v>
      </c>
      <c r="AE37" s="8">
        <f t="shared" si="8"/>
        <v>-1.0907003444316721</v>
      </c>
      <c r="AF37" s="8">
        <v>-4.1085271317829459</v>
      </c>
      <c r="AG37" s="7">
        <f t="shared" si="9"/>
        <v>-4.1085271317829457E-2</v>
      </c>
    </row>
    <row r="38" spans="1:33" x14ac:dyDescent="0.35">
      <c r="A38" s="9">
        <v>43670</v>
      </c>
      <c r="B38" s="10">
        <f>Расчеты!G51/360</f>
        <v>2.0749999999999998E-2</v>
      </c>
      <c r="C38" s="11">
        <v>621.4</v>
      </c>
      <c r="D38" s="3">
        <f t="shared" si="0"/>
        <v>-0.19274012206874636</v>
      </c>
      <c r="E38" s="3">
        <f t="shared" si="1"/>
        <v>-0.21349012206874635</v>
      </c>
      <c r="F38" s="34">
        <v>2682.91</v>
      </c>
      <c r="G38" s="3">
        <f t="shared" si="2"/>
        <v>-0.67195841632544662</v>
      </c>
      <c r="H38" s="3">
        <f t="shared" si="3"/>
        <v>-0.69270841632544666</v>
      </c>
      <c r="I38" s="3">
        <f t="shared" si="4"/>
        <v>4.5578032220928218E-2</v>
      </c>
      <c r="J38" s="3">
        <f t="shared" si="5"/>
        <v>0.47984495004810834</v>
      </c>
      <c r="K38" s="3">
        <f t="shared" si="6"/>
        <v>0.14788640435936756</v>
      </c>
      <c r="M38" s="8">
        <v>-1.0648007301490736</v>
      </c>
      <c r="N38" s="7">
        <f t="shared" si="7"/>
        <v>-1.0648007301490736E-2</v>
      </c>
      <c r="V38" s="7">
        <v>-1.0648007301490736E-2</v>
      </c>
      <c r="AD38" s="8">
        <v>-1.0648007301490736</v>
      </c>
      <c r="AE38" s="8">
        <f t="shared" si="8"/>
        <v>-1.0648007301490736</v>
      </c>
      <c r="AF38" s="8">
        <v>-4.0510127531882878</v>
      </c>
      <c r="AG38" s="7">
        <f t="shared" si="9"/>
        <v>-4.0510127531882878E-2</v>
      </c>
    </row>
    <row r="39" spans="1:33" x14ac:dyDescent="0.35">
      <c r="A39" s="9">
        <v>43671</v>
      </c>
      <c r="B39" s="10">
        <f>Расчеты!G52/360</f>
        <v>2.0694444444444446E-2</v>
      </c>
      <c r="C39" s="11">
        <v>622.6</v>
      </c>
      <c r="D39" s="3">
        <f t="shared" si="0"/>
        <v>0.19311232700354175</v>
      </c>
      <c r="E39" s="3">
        <f t="shared" si="1"/>
        <v>0.17241788255909729</v>
      </c>
      <c r="F39" s="34">
        <v>2701.02</v>
      </c>
      <c r="G39" s="3">
        <f t="shared" si="2"/>
        <v>0.67501332508359546</v>
      </c>
      <c r="H39" s="3">
        <f t="shared" si="3"/>
        <v>0.654318880639151</v>
      </c>
      <c r="I39" s="3">
        <f t="shared" si="4"/>
        <v>2.9727926226162667E-2</v>
      </c>
      <c r="J39" s="3">
        <f t="shared" si="5"/>
        <v>0.42813319756087154</v>
      </c>
      <c r="K39" s="3">
        <f t="shared" si="6"/>
        <v>0.11281627591824113</v>
      </c>
      <c r="M39" s="8">
        <v>-1.0366441658630654</v>
      </c>
      <c r="N39" s="7">
        <f t="shared" si="7"/>
        <v>-1.0366441658630654E-2</v>
      </c>
      <c r="V39" s="7">
        <v>-1.0366441658630654E-2</v>
      </c>
      <c r="AD39" s="8">
        <v>-1.0366441658630654</v>
      </c>
      <c r="AE39" s="8">
        <f t="shared" si="8"/>
        <v>-1.0366441658630654</v>
      </c>
      <c r="AF39" s="8">
        <v>-3.9691516709511543</v>
      </c>
      <c r="AG39" s="7">
        <f t="shared" si="9"/>
        <v>-3.9691516709511543E-2</v>
      </c>
    </row>
    <row r="40" spans="1:33" x14ac:dyDescent="0.35">
      <c r="A40" s="9">
        <v>43672</v>
      </c>
      <c r="B40" s="10">
        <f>Расчеты!G53/360</f>
        <v>2.0722222222222222E-2</v>
      </c>
      <c r="C40" s="11">
        <v>624.6</v>
      </c>
      <c r="D40" s="3">
        <f t="shared" si="0"/>
        <v>0.32123353678124023</v>
      </c>
      <c r="E40" s="3">
        <f t="shared" si="1"/>
        <v>0.30051131455901803</v>
      </c>
      <c r="F40" s="34">
        <v>2715.68</v>
      </c>
      <c r="G40" s="3">
        <f t="shared" si="2"/>
        <v>0.54275792108164911</v>
      </c>
      <c r="H40" s="3">
        <f t="shared" si="3"/>
        <v>0.52203569885942691</v>
      </c>
      <c r="I40" s="3">
        <f t="shared" si="4"/>
        <v>9.0307050177989082E-2</v>
      </c>
      <c r="J40" s="3">
        <f t="shared" si="5"/>
        <v>0.27252127088365025</v>
      </c>
      <c r="K40" s="3">
        <f t="shared" si="6"/>
        <v>0.15687763411098204</v>
      </c>
      <c r="M40" s="8">
        <v>-1.0245901639344246</v>
      </c>
      <c r="N40" s="7">
        <f t="shared" si="7"/>
        <v>-1.0245901639344246E-2</v>
      </c>
      <c r="V40" s="7">
        <v>-1.0245901639344246E-2</v>
      </c>
      <c r="AD40" s="8">
        <v>-1.0245901639344246</v>
      </c>
      <c r="AE40" s="8">
        <f t="shared" si="8"/>
        <v>-1.0245901639344246</v>
      </c>
      <c r="AF40" s="8">
        <v>-3.9320657190326846</v>
      </c>
      <c r="AG40" s="7">
        <f t="shared" si="9"/>
        <v>-3.9320657190326846E-2</v>
      </c>
    </row>
    <row r="41" spans="1:33" x14ac:dyDescent="0.35">
      <c r="A41" s="9">
        <v>43675</v>
      </c>
      <c r="B41" s="10">
        <f>Расчеты!G54/360</f>
        <v>2.0527777777777777E-2</v>
      </c>
      <c r="C41" s="11">
        <v>624.6</v>
      </c>
      <c r="D41" s="3">
        <f t="shared" si="0"/>
        <v>0</v>
      </c>
      <c r="E41" s="3">
        <f t="shared" si="1"/>
        <v>-2.0527777777777777E-2</v>
      </c>
      <c r="F41" s="34">
        <v>2728.27</v>
      </c>
      <c r="G41" s="3">
        <f t="shared" si="2"/>
        <v>0.46360395922937503</v>
      </c>
      <c r="H41" s="3">
        <f t="shared" si="3"/>
        <v>0.44307618145159727</v>
      </c>
      <c r="I41" s="3">
        <f t="shared" si="4"/>
        <v>4.213896604938271E-4</v>
      </c>
      <c r="J41" s="3">
        <f t="shared" si="5"/>
        <v>0.19631650256972874</v>
      </c>
      <c r="K41" s="3">
        <f t="shared" si="6"/>
        <v>-9.0953693914647329E-3</v>
      </c>
      <c r="M41" s="8">
        <v>-0.974421437271622</v>
      </c>
      <c r="N41" s="7">
        <f t="shared" si="7"/>
        <v>-9.74421437271622E-3</v>
      </c>
      <c r="V41" s="7">
        <v>-9.74421437271622E-3</v>
      </c>
      <c r="AD41" s="8">
        <v>-0.974421437271622</v>
      </c>
      <c r="AE41" s="8">
        <f t="shared" si="8"/>
        <v>-0.974421437271622</v>
      </c>
      <c r="AF41" s="8">
        <v>-3.8726513569937282</v>
      </c>
      <c r="AG41" s="7">
        <f t="shared" si="9"/>
        <v>-3.8726513569937282E-2</v>
      </c>
    </row>
    <row r="42" spans="1:33" x14ac:dyDescent="0.35">
      <c r="A42" s="9">
        <v>43676</v>
      </c>
      <c r="B42" s="10">
        <f>Расчеты!G55/360</f>
        <v>2.0638888888888887E-2</v>
      </c>
      <c r="C42" s="11">
        <v>630</v>
      </c>
      <c r="D42" s="3">
        <f t="shared" si="0"/>
        <v>0.86455331412103043</v>
      </c>
      <c r="E42" s="3">
        <f t="shared" si="1"/>
        <v>0.84391442523214155</v>
      </c>
      <c r="F42" s="34">
        <v>2734.68</v>
      </c>
      <c r="G42" s="3">
        <f t="shared" si="2"/>
        <v>0.23494742089309462</v>
      </c>
      <c r="H42" s="3">
        <f t="shared" si="3"/>
        <v>0.21430853200420574</v>
      </c>
      <c r="I42" s="3">
        <f t="shared" si="4"/>
        <v>0.71219155711489579</v>
      </c>
      <c r="J42" s="3">
        <f t="shared" si="5"/>
        <v>4.5928146889797676E-2</v>
      </c>
      <c r="K42" s="3">
        <f t="shared" si="6"/>
        <v>0.18085806160867329</v>
      </c>
      <c r="M42" s="8">
        <v>-0.95763203714451794</v>
      </c>
      <c r="N42" s="7">
        <f t="shared" si="7"/>
        <v>-9.5763203714451794E-3</v>
      </c>
      <c r="V42" s="7">
        <v>-9.5763203714451794E-3</v>
      </c>
      <c r="AD42" s="8">
        <v>-0.95763203714451794</v>
      </c>
      <c r="AE42" s="8">
        <f t="shared" si="8"/>
        <v>-0.95763203714451794</v>
      </c>
      <c r="AF42" s="8">
        <v>-3.7911961281401174</v>
      </c>
      <c r="AG42" s="7">
        <f t="shared" si="9"/>
        <v>-3.7911961281401174E-2</v>
      </c>
    </row>
    <row r="43" spans="1:33" x14ac:dyDescent="0.35">
      <c r="A43" s="9">
        <v>43677</v>
      </c>
      <c r="B43" s="10">
        <f>Расчеты!G56/360</f>
        <v>2.0861111111111112E-2</v>
      </c>
      <c r="C43" s="11">
        <v>628.79999999999995</v>
      </c>
      <c r="D43" s="3">
        <f t="shared" si="0"/>
        <v>-0.19047619047619646</v>
      </c>
      <c r="E43" s="3">
        <f t="shared" si="1"/>
        <v>-0.21133730158730757</v>
      </c>
      <c r="F43" s="34">
        <v>2739.5</v>
      </c>
      <c r="G43" s="3">
        <f t="shared" si="2"/>
        <v>0.17625462576975615</v>
      </c>
      <c r="H43" s="3">
        <f t="shared" si="3"/>
        <v>0.15539351465864504</v>
      </c>
      <c r="I43" s="3">
        <f t="shared" si="4"/>
        <v>4.4663455042204592E-2</v>
      </c>
      <c r="J43" s="3">
        <f t="shared" si="5"/>
        <v>2.414714439796653E-2</v>
      </c>
      <c r="K43" s="3">
        <f t="shared" si="6"/>
        <v>-3.2840446072125766E-2</v>
      </c>
      <c r="M43" s="8">
        <v>-0.94089973537195837</v>
      </c>
      <c r="N43" s="7">
        <f t="shared" si="7"/>
        <v>-9.4089973537195837E-3</v>
      </c>
      <c r="V43" s="7">
        <v>-9.4089973537195837E-3</v>
      </c>
      <c r="AD43" s="8">
        <v>-0.94089973537195837</v>
      </c>
      <c r="AE43" s="8">
        <f t="shared" si="8"/>
        <v>-0.94089973537195837</v>
      </c>
      <c r="AF43" s="8">
        <v>-3.4531436638071566</v>
      </c>
      <c r="AG43" s="7">
        <f t="shared" si="9"/>
        <v>-3.4531436638071566E-2</v>
      </c>
    </row>
    <row r="44" spans="1:33" x14ac:dyDescent="0.35">
      <c r="A44" s="9">
        <v>43678</v>
      </c>
      <c r="B44" s="10">
        <f>Расчеты!G57/360</f>
        <v>2.0722222222222222E-2</v>
      </c>
      <c r="C44" s="11">
        <v>626.6</v>
      </c>
      <c r="D44" s="3">
        <f t="shared" si="0"/>
        <v>-0.34987277353688562</v>
      </c>
      <c r="E44" s="3">
        <f t="shared" si="1"/>
        <v>-0.37059499575910781</v>
      </c>
      <c r="F44" s="34">
        <v>2729.42</v>
      </c>
      <c r="G44" s="3">
        <f t="shared" si="2"/>
        <v>-0.36795035590435621</v>
      </c>
      <c r="H44" s="3">
        <f t="shared" si="3"/>
        <v>-0.38867257812657841</v>
      </c>
      <c r="I44" s="3">
        <f t="shared" si="4"/>
        <v>0.13734065088169314</v>
      </c>
      <c r="J44" s="3">
        <f t="shared" si="5"/>
        <v>0.1510663729875612</v>
      </c>
      <c r="K44" s="3">
        <f t="shared" si="6"/>
        <v>0.14404011244250081</v>
      </c>
      <c r="M44" s="8">
        <v>-0.9362200117027486</v>
      </c>
      <c r="N44" s="7">
        <f t="shared" si="7"/>
        <v>-9.362200117027486E-3</v>
      </c>
      <c r="V44" s="7">
        <v>-9.362200117027486E-3</v>
      </c>
      <c r="AD44" s="8">
        <v>-0.9362200117027486</v>
      </c>
      <c r="AE44" s="8">
        <f t="shared" si="8"/>
        <v>-0.9362200117027486</v>
      </c>
      <c r="AF44" s="8">
        <v>-3.4343434343434454</v>
      </c>
      <c r="AG44" s="7">
        <f t="shared" si="9"/>
        <v>-3.4343434343434454E-2</v>
      </c>
    </row>
    <row r="45" spans="1:33" x14ac:dyDescent="0.35">
      <c r="A45" s="9">
        <v>43679</v>
      </c>
      <c r="B45" s="10">
        <f>Расчеты!G58/360</f>
        <v>2.0722222222222222E-2</v>
      </c>
      <c r="C45" s="11">
        <v>653.79999999999995</v>
      </c>
      <c r="D45" s="3">
        <f t="shared" si="0"/>
        <v>4.3408873284391802</v>
      </c>
      <c r="E45" s="3">
        <f t="shared" si="1"/>
        <v>4.3201651062169582</v>
      </c>
      <c r="F45" s="34">
        <v>2674.9</v>
      </c>
      <c r="G45" s="3">
        <f t="shared" si="2"/>
        <v>-1.9974939730785235</v>
      </c>
      <c r="H45" s="3">
        <f t="shared" si="3"/>
        <v>-2.0182161953007456</v>
      </c>
      <c r="I45" s="3">
        <f t="shared" si="4"/>
        <v>18.663826544974583</v>
      </c>
      <c r="J45" s="3">
        <f t="shared" si="5"/>
        <v>4.0731966109742173</v>
      </c>
      <c r="K45" s="3">
        <f t="shared" si="6"/>
        <v>-8.7190271837402307</v>
      </c>
      <c r="M45" s="8">
        <v>-0.92081031307550409</v>
      </c>
      <c r="N45" s="7">
        <f t="shared" si="7"/>
        <v>-9.2081031307550409E-3</v>
      </c>
      <c r="V45" s="7">
        <v>-9.2081031307550409E-3</v>
      </c>
      <c r="AD45" s="8">
        <v>-0.92081031307550409</v>
      </c>
      <c r="AE45" s="8">
        <f t="shared" si="8"/>
        <v>-0.92081031307550409</v>
      </c>
      <c r="AF45" s="8">
        <v>-3.4287867370007552</v>
      </c>
      <c r="AG45" s="7">
        <f t="shared" si="9"/>
        <v>-3.4287867370007552E-2</v>
      </c>
    </row>
    <row r="46" spans="1:33" x14ac:dyDescent="0.35">
      <c r="A46" s="9">
        <v>43682</v>
      </c>
      <c r="B46" s="10">
        <f>Расчеты!G59/360</f>
        <v>2.0638888888888887E-2</v>
      </c>
      <c r="C46" s="11">
        <v>661</v>
      </c>
      <c r="D46" s="3">
        <f t="shared" si="0"/>
        <v>1.1012542061792585</v>
      </c>
      <c r="E46" s="3">
        <f t="shared" si="1"/>
        <v>1.0806153172903696</v>
      </c>
      <c r="F46" s="34">
        <v>2649.16</v>
      </c>
      <c r="G46" s="3">
        <f t="shared" si="2"/>
        <v>-0.96227896369958099</v>
      </c>
      <c r="H46" s="3">
        <f t="shared" si="3"/>
        <v>-0.98291785258846986</v>
      </c>
      <c r="I46" s="3">
        <f t="shared" si="4"/>
        <v>1.1677294639625662</v>
      </c>
      <c r="J46" s="3">
        <f t="shared" si="5"/>
        <v>0.96612750493712896</v>
      </c>
      <c r="K46" s="3">
        <f t="shared" si="6"/>
        <v>-1.0621560871452582</v>
      </c>
      <c r="M46" s="8">
        <v>-0.9009009009009028</v>
      </c>
      <c r="N46" s="7">
        <f t="shared" si="7"/>
        <v>-9.009009009009028E-3</v>
      </c>
      <c r="V46" s="7">
        <v>-9.009009009009028E-3</v>
      </c>
      <c r="AD46" s="8">
        <v>-0.9009009009009028</v>
      </c>
      <c r="AE46" s="8">
        <f t="shared" si="8"/>
        <v>-0.9009009009009028</v>
      </c>
      <c r="AF46" s="8">
        <v>-3.3023872679045163</v>
      </c>
      <c r="AG46" s="7">
        <f t="shared" si="9"/>
        <v>-3.3023872679045163E-2</v>
      </c>
    </row>
    <row r="47" spans="1:33" x14ac:dyDescent="0.35">
      <c r="A47" s="9">
        <v>43683</v>
      </c>
      <c r="B47" s="10">
        <f>Расчеты!G60/360</f>
        <v>2.0472222222222222E-2</v>
      </c>
      <c r="C47" s="11">
        <v>668.2</v>
      </c>
      <c r="D47" s="3">
        <f t="shared" si="0"/>
        <v>1.0892586989410091</v>
      </c>
      <c r="E47" s="3">
        <f t="shared" si="1"/>
        <v>1.0687864767187869</v>
      </c>
      <c r="F47" s="34">
        <v>2683.35</v>
      </c>
      <c r="G47" s="3">
        <f t="shared" si="2"/>
        <v>1.2905977743888686</v>
      </c>
      <c r="H47" s="3">
        <f t="shared" si="3"/>
        <v>1.2701255521666464</v>
      </c>
      <c r="I47" s="3">
        <f t="shared" si="4"/>
        <v>1.1423045328169581</v>
      </c>
      <c r="J47" s="3">
        <f t="shared" si="5"/>
        <v>1.6132189182666283</v>
      </c>
      <c r="K47" s="3">
        <f t="shared" si="6"/>
        <v>1.3574930138906938</v>
      </c>
      <c r="M47" s="8">
        <v>-0.89944649446495051</v>
      </c>
      <c r="N47" s="7">
        <f t="shared" si="7"/>
        <v>-8.9944649446495051E-3</v>
      </c>
      <c r="V47" s="7">
        <v>-8.9944649446495051E-3</v>
      </c>
      <c r="AD47" s="8">
        <v>-0.89944649446495051</v>
      </c>
      <c r="AE47" s="8">
        <f t="shared" si="8"/>
        <v>-0.89944649446495051</v>
      </c>
      <c r="AF47" s="8">
        <v>-3.28618968386023</v>
      </c>
      <c r="AG47" s="7">
        <f t="shared" si="9"/>
        <v>-3.28618968386023E-2</v>
      </c>
    </row>
    <row r="48" spans="1:33" x14ac:dyDescent="0.35">
      <c r="A48" s="9">
        <v>43684</v>
      </c>
      <c r="B48" s="10">
        <f>Расчеты!G61/360</f>
        <v>2.0583333333333335E-2</v>
      </c>
      <c r="C48" s="11">
        <v>685</v>
      </c>
      <c r="D48" s="3">
        <f t="shared" si="0"/>
        <v>2.5142173002095092</v>
      </c>
      <c r="E48" s="3">
        <f t="shared" si="1"/>
        <v>2.493633966876176</v>
      </c>
      <c r="F48" s="34">
        <v>2674.98</v>
      </c>
      <c r="G48" s="3">
        <f t="shared" si="2"/>
        <v>-0.31192352842528415</v>
      </c>
      <c r="H48" s="3">
        <f t="shared" si="3"/>
        <v>-0.33250686175861749</v>
      </c>
      <c r="I48" s="3">
        <f t="shared" si="4"/>
        <v>6.2182103607586132</v>
      </c>
      <c r="J48" s="3">
        <f t="shared" si="5"/>
        <v>0.11056081311656436</v>
      </c>
      <c r="K48" s="3">
        <f t="shared" si="6"/>
        <v>-0.82915040470068957</v>
      </c>
      <c r="M48" s="8">
        <v>-0.86313193588162251</v>
      </c>
      <c r="N48" s="7">
        <f t="shared" si="7"/>
        <v>-8.6313193588162251E-3</v>
      </c>
      <c r="V48" s="7">
        <v>-8.6313193588162251E-3</v>
      </c>
      <c r="AD48" s="8">
        <v>-0.86313193588162251</v>
      </c>
      <c r="AE48" s="8">
        <f t="shared" si="8"/>
        <v>-0.86313193588162251</v>
      </c>
      <c r="AF48" s="8">
        <v>-3.256166161834706</v>
      </c>
      <c r="AG48" s="7">
        <f t="shared" si="9"/>
        <v>-3.256166161834706E-2</v>
      </c>
    </row>
    <row r="49" spans="1:33" x14ac:dyDescent="0.35">
      <c r="A49" s="9">
        <v>43685</v>
      </c>
      <c r="B49" s="10">
        <f>Расчеты!G62/360</f>
        <v>2.0555555555555556E-2</v>
      </c>
      <c r="C49" s="11">
        <v>675.6</v>
      </c>
      <c r="D49" s="3">
        <f t="shared" si="0"/>
        <v>-1.3722627737226212</v>
      </c>
      <c r="E49" s="3">
        <f t="shared" si="1"/>
        <v>-1.3928183292781768</v>
      </c>
      <c r="F49" s="34">
        <v>2696.69</v>
      </c>
      <c r="G49" s="3">
        <f t="shared" si="2"/>
        <v>0.8115948530456274</v>
      </c>
      <c r="H49" s="3">
        <f t="shared" si="3"/>
        <v>0.79103929749007185</v>
      </c>
      <c r="I49" s="3">
        <f t="shared" si="4"/>
        <v>1.9399428983732518</v>
      </c>
      <c r="J49" s="3">
        <f t="shared" si="5"/>
        <v>0.62574317017358638</v>
      </c>
      <c r="K49" s="3">
        <f t="shared" si="6"/>
        <v>-1.1017740327235046</v>
      </c>
      <c r="M49" s="8">
        <v>-0.85470085470086277</v>
      </c>
      <c r="N49" s="7">
        <f t="shared" si="7"/>
        <v>-8.5470085470086277E-3</v>
      </c>
      <c r="V49" s="7">
        <v>-8.5470085470086277E-3</v>
      </c>
      <c r="AD49" s="8">
        <v>-0.85470085470086277</v>
      </c>
      <c r="AE49" s="8">
        <f t="shared" si="8"/>
        <v>-0.85470085470086277</v>
      </c>
      <c r="AF49" s="8">
        <v>-3.2448377581121068</v>
      </c>
      <c r="AG49" s="7">
        <f t="shared" si="9"/>
        <v>-3.2448377581121068E-2</v>
      </c>
    </row>
    <row r="50" spans="1:33" x14ac:dyDescent="0.35">
      <c r="A50" s="9">
        <v>43686</v>
      </c>
      <c r="B50" s="10">
        <f>Расчеты!G63/360</f>
        <v>2.0583333333333335E-2</v>
      </c>
      <c r="C50" s="11">
        <v>682.4</v>
      </c>
      <c r="D50" s="3">
        <f t="shared" si="0"/>
        <v>1.0065127294256904</v>
      </c>
      <c r="E50" s="3">
        <f t="shared" si="1"/>
        <v>0.98592939609235708</v>
      </c>
      <c r="F50" s="34">
        <v>2679.71</v>
      </c>
      <c r="G50" s="3">
        <f t="shared" si="2"/>
        <v>-0.62966080639599298</v>
      </c>
      <c r="H50" s="3">
        <f t="shared" si="3"/>
        <v>-0.65024413972932626</v>
      </c>
      <c r="I50" s="3">
        <f t="shared" si="4"/>
        <v>0.9720567740790399</v>
      </c>
      <c r="J50" s="3">
        <f t="shared" si="5"/>
        <v>0.42281744125233156</v>
      </c>
      <c r="K50" s="3">
        <f t="shared" si="6"/>
        <v>-0.64109481199592888</v>
      </c>
      <c r="M50" s="8">
        <v>-0.83578043822001291</v>
      </c>
      <c r="N50" s="7">
        <f t="shared" si="7"/>
        <v>-8.3578043822001291E-3</v>
      </c>
      <c r="V50" s="7">
        <v>-8.3578043822001291E-3</v>
      </c>
      <c r="AD50" s="8">
        <v>-0.83578043822001291</v>
      </c>
      <c r="AE50" s="8">
        <f t="shared" si="8"/>
        <v>-0.83578043822001291</v>
      </c>
      <c r="AF50" s="8">
        <v>-3.1634615384615428</v>
      </c>
      <c r="AG50" s="7">
        <f t="shared" si="9"/>
        <v>-3.1634615384615428E-2</v>
      </c>
    </row>
    <row r="51" spans="1:33" x14ac:dyDescent="0.35">
      <c r="A51" s="9">
        <v>43689</v>
      </c>
      <c r="B51" s="10">
        <f>Расчеты!G64/360</f>
        <v>2.0583333333333335E-2</v>
      </c>
      <c r="C51" s="11">
        <v>683.6</v>
      </c>
      <c r="D51" s="3">
        <f t="shared" si="0"/>
        <v>0.17584994138335475</v>
      </c>
      <c r="E51" s="3">
        <f t="shared" si="1"/>
        <v>0.1552666080500214</v>
      </c>
      <c r="F51" s="34">
        <v>2689.93</v>
      </c>
      <c r="G51" s="3">
        <f t="shared" si="2"/>
        <v>0.38138455280607442</v>
      </c>
      <c r="H51" s="3">
        <f t="shared" si="3"/>
        <v>0.36080121947274107</v>
      </c>
      <c r="I51" s="3">
        <f t="shared" si="4"/>
        <v>2.4107719575358972E-2</v>
      </c>
      <c r="J51" s="3">
        <f t="shared" si="5"/>
        <v>0.13017751997301708</v>
      </c>
      <c r="K51" s="3">
        <f t="shared" si="6"/>
        <v>5.6020381527843839E-2</v>
      </c>
      <c r="M51" s="8">
        <v>-0.80814127506735334</v>
      </c>
      <c r="N51" s="7">
        <f t="shared" si="7"/>
        <v>-8.0814127506735334E-3</v>
      </c>
      <c r="V51" s="7">
        <v>-8.0814127506735334E-3</v>
      </c>
      <c r="AD51" s="8">
        <v>-0.80814127506735334</v>
      </c>
      <c r="AE51" s="8">
        <f t="shared" si="8"/>
        <v>-0.80814127506735334</v>
      </c>
      <c r="AF51" s="8">
        <v>-3.0533315239516856</v>
      </c>
      <c r="AG51" s="7">
        <f t="shared" si="9"/>
        <v>-3.0533315239516856E-2</v>
      </c>
    </row>
    <row r="52" spans="1:33" x14ac:dyDescent="0.35">
      <c r="A52" s="9">
        <v>43690</v>
      </c>
      <c r="B52" s="10">
        <f>Расчеты!G65/360</f>
        <v>2.0500000000000001E-2</v>
      </c>
      <c r="C52" s="11">
        <v>677.2</v>
      </c>
      <c r="D52" s="3">
        <f t="shared" si="0"/>
        <v>-0.9362200117027486</v>
      </c>
      <c r="E52" s="3">
        <f t="shared" si="1"/>
        <v>-0.95672001170274856</v>
      </c>
      <c r="F52" s="34">
        <v>2680.12</v>
      </c>
      <c r="G52" s="3">
        <f t="shared" si="2"/>
        <v>-0.36469350503544051</v>
      </c>
      <c r="H52" s="3">
        <f t="shared" si="3"/>
        <v>-0.38519350503544053</v>
      </c>
      <c r="I52" s="3">
        <f t="shared" si="4"/>
        <v>0.91531318079250734</v>
      </c>
      <c r="J52" s="3">
        <f t="shared" si="5"/>
        <v>0.14837403632148796</v>
      </c>
      <c r="K52" s="3">
        <f t="shared" si="6"/>
        <v>0.36852233464532941</v>
      </c>
      <c r="M52" s="8">
        <v>-0.75711689884918609</v>
      </c>
      <c r="N52" s="7">
        <f t="shared" si="7"/>
        <v>-7.5711689884918609E-3</v>
      </c>
      <c r="V52" s="7">
        <v>-7.5711689884918609E-3</v>
      </c>
      <c r="AD52" s="8">
        <v>-0.75711689884918609</v>
      </c>
      <c r="AE52" s="8">
        <f t="shared" si="8"/>
        <v>-0.75711689884918609</v>
      </c>
      <c r="AF52" s="8">
        <v>-2.9419191919191845</v>
      </c>
      <c r="AG52" s="7">
        <f t="shared" si="9"/>
        <v>-2.9419191919191845E-2</v>
      </c>
    </row>
    <row r="53" spans="1:33" x14ac:dyDescent="0.35">
      <c r="A53" s="9">
        <v>43691</v>
      </c>
      <c r="B53" s="10">
        <f>Расчеты!G66/360</f>
        <v>2.0472222222222222E-2</v>
      </c>
      <c r="C53" s="11">
        <v>693.6</v>
      </c>
      <c r="D53" s="3">
        <f t="shared" si="0"/>
        <v>2.421736562315413</v>
      </c>
      <c r="E53" s="3">
        <f t="shared" si="1"/>
        <v>2.4012643400931908</v>
      </c>
      <c r="F53" s="34">
        <v>2637.04</v>
      </c>
      <c r="G53" s="3">
        <f t="shared" si="2"/>
        <v>-1.6073907138486332</v>
      </c>
      <c r="H53" s="3">
        <f t="shared" si="3"/>
        <v>-1.6278629360708554</v>
      </c>
      <c r="I53" s="3">
        <f t="shared" si="4"/>
        <v>5.7660704310031869</v>
      </c>
      <c r="J53" s="3">
        <f t="shared" si="5"/>
        <v>2.6499377386332261</v>
      </c>
      <c r="K53" s="3">
        <f t="shared" si="6"/>
        <v>-3.9089292189463465</v>
      </c>
      <c r="M53" s="8">
        <v>-0.74211502782930427</v>
      </c>
      <c r="N53" s="7">
        <f t="shared" si="7"/>
        <v>-7.4211502782930427E-3</v>
      </c>
      <c r="V53" s="7">
        <v>-7.4211502782930427E-3</v>
      </c>
      <c r="AD53" s="8">
        <v>-0.74211502782930427</v>
      </c>
      <c r="AE53" s="8">
        <f t="shared" si="8"/>
        <v>-0.74211502782930427</v>
      </c>
      <c r="AF53" s="8">
        <v>-2.8856526429342</v>
      </c>
      <c r="AG53" s="7">
        <f t="shared" si="9"/>
        <v>-2.8856526429342E-2</v>
      </c>
    </row>
    <row r="54" spans="1:33" x14ac:dyDescent="0.35">
      <c r="A54" s="9">
        <v>43692</v>
      </c>
      <c r="B54" s="10">
        <f>Расчеты!G67/360</f>
        <v>2.0444444444444446E-2</v>
      </c>
      <c r="C54" s="11">
        <v>696.6</v>
      </c>
      <c r="D54" s="3">
        <f t="shared" si="0"/>
        <v>0.4325259515570945</v>
      </c>
      <c r="E54" s="3">
        <f t="shared" si="1"/>
        <v>0.41208150711265007</v>
      </c>
      <c r="F54" s="34">
        <v>2625.58</v>
      </c>
      <c r="G54" s="3">
        <f t="shared" si="2"/>
        <v>-0.43457816339532718</v>
      </c>
      <c r="H54" s="3">
        <f t="shared" si="3"/>
        <v>-0.45502260783977161</v>
      </c>
      <c r="I54" s="3">
        <f t="shared" si="4"/>
        <v>0.16981116850423306</v>
      </c>
      <c r="J54" s="3">
        <f t="shared" si="5"/>
        <v>0.2070455736453066</v>
      </c>
      <c r="K54" s="3">
        <f t="shared" si="6"/>
        <v>-0.18750640200894142</v>
      </c>
      <c r="M54" s="8">
        <v>-0.73991031390134854</v>
      </c>
      <c r="N54" s="7">
        <f t="shared" si="7"/>
        <v>-7.3991031390134854E-3</v>
      </c>
      <c r="V54" s="7">
        <v>-7.3991031390134854E-3</v>
      </c>
      <c r="AD54" s="8">
        <v>-0.73991031390134854</v>
      </c>
      <c r="AE54" s="8">
        <f t="shared" si="8"/>
        <v>-0.73991031390134854</v>
      </c>
      <c r="AF54" s="8">
        <v>-2.8481012658227889</v>
      </c>
      <c r="AG54" s="7">
        <f t="shared" si="9"/>
        <v>-2.8481012658227889E-2</v>
      </c>
    </row>
    <row r="55" spans="1:33" x14ac:dyDescent="0.35">
      <c r="A55" s="9">
        <v>43693</v>
      </c>
      <c r="B55" s="10">
        <f>Расчеты!G68/360</f>
        <v>2.0472222222222222E-2</v>
      </c>
      <c r="C55" s="11">
        <v>695.8</v>
      </c>
      <c r="D55" s="3">
        <f t="shared" si="0"/>
        <v>-0.114843525696251</v>
      </c>
      <c r="E55" s="3">
        <f t="shared" si="1"/>
        <v>-0.13531574791847323</v>
      </c>
      <c r="F55" s="34">
        <v>2615.1999999999998</v>
      </c>
      <c r="G55" s="3">
        <f t="shared" si="2"/>
        <v>-0.39534121984475812</v>
      </c>
      <c r="H55" s="3">
        <f t="shared" si="3"/>
        <v>-0.41581344206698034</v>
      </c>
      <c r="I55" s="3">
        <f t="shared" si="4"/>
        <v>1.8310351634735791E-2</v>
      </c>
      <c r="J55" s="3">
        <f t="shared" si="5"/>
        <v>0.17290081860359002</v>
      </c>
      <c r="K55" s="3">
        <f t="shared" si="6"/>
        <v>5.6266106907848182E-2</v>
      </c>
      <c r="M55" s="8">
        <v>-0.72529465095194645</v>
      </c>
      <c r="N55" s="7">
        <f t="shared" si="7"/>
        <v>-7.2529465095194645E-3</v>
      </c>
      <c r="V55" s="7">
        <v>-7.2529465095194645E-3</v>
      </c>
      <c r="AD55" s="8">
        <v>-0.72529465095194645</v>
      </c>
      <c r="AE55" s="8">
        <f t="shared" si="8"/>
        <v>-0.72529465095194645</v>
      </c>
      <c r="AF55" s="8">
        <v>-2.7268453220498534</v>
      </c>
      <c r="AG55" s="7">
        <f t="shared" si="9"/>
        <v>-2.7268453220498534E-2</v>
      </c>
    </row>
    <row r="56" spans="1:33" x14ac:dyDescent="0.35">
      <c r="A56" s="9">
        <v>43696</v>
      </c>
      <c r="B56" s="10">
        <f>Расчеты!G69/360</f>
        <v>2.0472222222222222E-2</v>
      </c>
      <c r="C56" s="11">
        <v>693.8</v>
      </c>
      <c r="D56" s="3">
        <f t="shared" si="0"/>
        <v>-0.28743891922966558</v>
      </c>
      <c r="E56" s="3">
        <f t="shared" si="1"/>
        <v>-0.3079111414518878</v>
      </c>
      <c r="F56" s="34">
        <v>2648.09</v>
      </c>
      <c r="G56" s="3">
        <f t="shared" si="2"/>
        <v>1.2576475986540325</v>
      </c>
      <c r="H56" s="3">
        <f t="shared" si="3"/>
        <v>1.2371753764318103</v>
      </c>
      <c r="I56" s="3">
        <f t="shared" si="4"/>
        <v>9.4809271030204464E-2</v>
      </c>
      <c r="J56" s="3">
        <f t="shared" si="5"/>
        <v>1.5306029120491915</v>
      </c>
      <c r="K56" s="3">
        <f t="shared" si="6"/>
        <v>-0.38094008233328769</v>
      </c>
      <c r="M56" s="8">
        <v>-0.70126227208976433</v>
      </c>
      <c r="N56" s="7">
        <f t="shared" si="7"/>
        <v>-7.0126227208976433E-3</v>
      </c>
      <c r="V56" s="7">
        <v>-7.0126227208976433E-3</v>
      </c>
      <c r="AD56" s="8">
        <v>-0.70126227208976433</v>
      </c>
      <c r="AE56" s="8">
        <f t="shared" si="8"/>
        <v>-0.70126227208976433</v>
      </c>
      <c r="AF56" s="8">
        <v>-2.7064157164445657</v>
      </c>
      <c r="AG56" s="7">
        <f t="shared" si="9"/>
        <v>-2.7064157164445657E-2</v>
      </c>
    </row>
    <row r="57" spans="1:33" x14ac:dyDescent="0.35">
      <c r="A57" s="9">
        <v>43697</v>
      </c>
      <c r="B57" s="10">
        <f>Расчеты!G70/360</f>
        <v>2.0500000000000001E-2</v>
      </c>
      <c r="C57" s="11">
        <v>694.6</v>
      </c>
      <c r="D57" s="3">
        <f t="shared" si="0"/>
        <v>0.11530700490056667</v>
      </c>
      <c r="E57" s="3">
        <f t="shared" si="1"/>
        <v>9.4807004900566663E-2</v>
      </c>
      <c r="F57" s="34">
        <v>2672.84</v>
      </c>
      <c r="G57" s="3">
        <f t="shared" si="2"/>
        <v>0.93463590738984692</v>
      </c>
      <c r="H57" s="3">
        <f t="shared" si="3"/>
        <v>0.91413590738984696</v>
      </c>
      <c r="I57" s="3">
        <f t="shared" si="4"/>
        <v>8.9883681782160704E-3</v>
      </c>
      <c r="J57" s="3">
        <f t="shared" si="5"/>
        <v>0.8356444571794589</v>
      </c>
      <c r="K57" s="3">
        <f t="shared" si="6"/>
        <v>8.6666487451693169E-2</v>
      </c>
      <c r="M57" s="8">
        <v>-0.63348416289593645</v>
      </c>
      <c r="N57" s="7">
        <f t="shared" si="7"/>
        <v>-6.3348416289593645E-3</v>
      </c>
      <c r="V57" s="7">
        <v>-6.3348416289593645E-3</v>
      </c>
      <c r="AD57" s="8">
        <v>-0.63348416289593645</v>
      </c>
      <c r="AE57" s="8">
        <f t="shared" si="8"/>
        <v>-0.63348416289593645</v>
      </c>
      <c r="AF57" s="8">
        <v>-2.6715557883708607</v>
      </c>
      <c r="AG57" s="7">
        <f t="shared" si="9"/>
        <v>-2.6715557883708607E-2</v>
      </c>
    </row>
    <row r="58" spans="1:33" x14ac:dyDescent="0.35">
      <c r="A58" s="9">
        <v>43698</v>
      </c>
      <c r="B58" s="10">
        <f>Расчеты!G71/360</f>
        <v>2.0500000000000001E-2</v>
      </c>
      <c r="C58" s="11">
        <v>685</v>
      </c>
      <c r="D58" s="3">
        <f t="shared" si="0"/>
        <v>-1.3820904117477717</v>
      </c>
      <c r="E58" s="3">
        <f t="shared" si="1"/>
        <v>-1.4025904117477717</v>
      </c>
      <c r="F58" s="34">
        <v>2673.95</v>
      </c>
      <c r="G58" s="3">
        <f t="shared" si="2"/>
        <v>4.1528860687489733E-2</v>
      </c>
      <c r="H58" s="3">
        <f t="shared" si="3"/>
        <v>2.1028860687489732E-2</v>
      </c>
      <c r="I58" s="3">
        <f t="shared" si="4"/>
        <v>1.9672598631267837</v>
      </c>
      <c r="J58" s="3">
        <f t="shared" si="5"/>
        <v>4.4221298181385113E-4</v>
      </c>
      <c r="K58" s="3">
        <f t="shared" si="6"/>
        <v>-2.9494878370252751E-2</v>
      </c>
      <c r="M58" s="8">
        <v>-0.55504162812209934</v>
      </c>
      <c r="N58" s="7">
        <f t="shared" si="7"/>
        <v>-5.5504162812209934E-3</v>
      </c>
      <c r="V58" s="7">
        <v>-5.5504162812209934E-3</v>
      </c>
      <c r="AD58" s="8">
        <v>-0.55504162812209934</v>
      </c>
      <c r="AE58" s="8">
        <f t="shared" si="8"/>
        <v>-0.55504162812209934</v>
      </c>
      <c r="AF58" s="8">
        <v>-2.6253646339769454</v>
      </c>
      <c r="AG58" s="7">
        <f t="shared" si="9"/>
        <v>-2.6253646339769454E-2</v>
      </c>
    </row>
    <row r="59" spans="1:33" x14ac:dyDescent="0.35">
      <c r="A59" s="9">
        <v>43699</v>
      </c>
      <c r="B59" s="10">
        <f>Расчеты!G72/360</f>
        <v>2.0472222222222222E-2</v>
      </c>
      <c r="C59" s="11">
        <v>681.8</v>
      </c>
      <c r="D59" s="3">
        <f t="shared" si="0"/>
        <v>-0.46715328467153983</v>
      </c>
      <c r="E59" s="3">
        <f t="shared" si="1"/>
        <v>-0.48762550689376205</v>
      </c>
      <c r="F59" s="34">
        <v>2675.13</v>
      </c>
      <c r="G59" s="3">
        <f t="shared" si="2"/>
        <v>4.4129471381304519E-2</v>
      </c>
      <c r="H59" s="3">
        <f t="shared" si="3"/>
        <v>2.3657249159082298E-2</v>
      </c>
      <c r="I59" s="3">
        <f t="shared" si="4"/>
        <v>0.23777863497339838</v>
      </c>
      <c r="J59" s="3">
        <f t="shared" si="5"/>
        <v>5.5966543777490009E-4</v>
      </c>
      <c r="K59" s="3">
        <f t="shared" si="6"/>
        <v>-1.1535878112909532E-2</v>
      </c>
      <c r="M59" s="8">
        <v>-0.55350553505535416</v>
      </c>
      <c r="N59" s="7">
        <f t="shared" si="7"/>
        <v>-5.5350553505535416E-3</v>
      </c>
      <c r="V59" s="7">
        <v>-5.5350553505535416E-3</v>
      </c>
      <c r="AD59" s="8">
        <v>-0.55350553505535416</v>
      </c>
      <c r="AE59" s="8">
        <f t="shared" si="8"/>
        <v>-0.55350553505535416</v>
      </c>
      <c r="AF59" s="8">
        <v>-2.6059525442326037</v>
      </c>
      <c r="AG59" s="7">
        <f t="shared" si="9"/>
        <v>-2.6059525442326037E-2</v>
      </c>
    </row>
    <row r="60" spans="1:33" x14ac:dyDescent="0.35">
      <c r="A60" s="9">
        <v>43700</v>
      </c>
      <c r="B60" s="10">
        <f>Расчеты!G73/360</f>
        <v>2.0388888888888887E-2</v>
      </c>
      <c r="C60" s="11">
        <v>697.8</v>
      </c>
      <c r="D60" s="3">
        <f t="shared" si="0"/>
        <v>2.3467292461132327</v>
      </c>
      <c r="E60" s="3">
        <f t="shared" si="1"/>
        <v>2.326340357224344</v>
      </c>
      <c r="F60" s="34">
        <v>2660.74</v>
      </c>
      <c r="G60" s="3">
        <f t="shared" si="2"/>
        <v>-0.53791778343483809</v>
      </c>
      <c r="H60" s="3">
        <f t="shared" si="3"/>
        <v>-0.55830667232372699</v>
      </c>
      <c r="I60" s="3">
        <f t="shared" si="4"/>
        <v>5.4118594576506887</v>
      </c>
      <c r="J60" s="3">
        <f t="shared" si="5"/>
        <v>0.31170634036119349</v>
      </c>
      <c r="K60" s="3">
        <f t="shared" si="6"/>
        <v>-1.2988113435343138</v>
      </c>
      <c r="M60" s="8">
        <v>-0.54891830804003616</v>
      </c>
      <c r="N60" s="7">
        <f t="shared" si="7"/>
        <v>-5.4891830804003616E-3</v>
      </c>
      <c r="V60" s="7">
        <v>-5.4891830804003616E-3</v>
      </c>
      <c r="AD60" s="8">
        <v>-0.54891830804003616</v>
      </c>
      <c r="AE60" s="8">
        <f t="shared" si="8"/>
        <v>-0.54891830804003616</v>
      </c>
      <c r="AF60" s="8">
        <v>-2.5813692480359141</v>
      </c>
      <c r="AG60" s="7">
        <f t="shared" si="9"/>
        <v>-2.5813692480359141E-2</v>
      </c>
    </row>
    <row r="61" spans="1:33" x14ac:dyDescent="0.35">
      <c r="A61" s="9">
        <v>43703</v>
      </c>
      <c r="B61" s="10">
        <f>Расчеты!G74/360</f>
        <v>2.0527777777777777E-2</v>
      </c>
      <c r="C61" s="11">
        <v>699.8</v>
      </c>
      <c r="D61" s="3">
        <f t="shared" si="0"/>
        <v>0.28661507595300062</v>
      </c>
      <c r="E61" s="3">
        <f t="shared" si="1"/>
        <v>0.26608729817522286</v>
      </c>
      <c r="F61" s="34">
        <v>2658.24</v>
      </c>
      <c r="G61" s="3">
        <f t="shared" si="2"/>
        <v>-9.3958823485196241E-2</v>
      </c>
      <c r="H61" s="3">
        <f t="shared" si="3"/>
        <v>-0.11448660126297402</v>
      </c>
      <c r="I61" s="3">
        <f t="shared" si="4"/>
        <v>7.0802450250189955E-2</v>
      </c>
      <c r="J61" s="3">
        <f t="shared" si="5"/>
        <v>1.3107181868747205E-2</v>
      </c>
      <c r="K61" s="3">
        <f t="shared" si="6"/>
        <v>-3.0463430407328816E-2</v>
      </c>
      <c r="M61" s="8">
        <v>-0.54592164418754141</v>
      </c>
      <c r="N61" s="7">
        <f t="shared" si="7"/>
        <v>-5.4592164418754141E-3</v>
      </c>
      <c r="V61" s="7">
        <v>-5.4592164418754141E-3</v>
      </c>
      <c r="AD61" s="8">
        <v>-0.54592164418754141</v>
      </c>
      <c r="AE61" s="8">
        <f t="shared" si="8"/>
        <v>-0.54592164418754141</v>
      </c>
      <c r="AF61" s="8">
        <v>-2.5657681065280991</v>
      </c>
      <c r="AG61" s="7">
        <f t="shared" si="9"/>
        <v>-2.5657681065280991E-2</v>
      </c>
    </row>
    <row r="62" spans="1:33" x14ac:dyDescent="0.35">
      <c r="A62" s="9">
        <v>43704</v>
      </c>
      <c r="B62" s="10">
        <f>Расчеты!G75/360</f>
        <v>2.0583333333333335E-2</v>
      </c>
      <c r="C62" s="11">
        <v>710.6</v>
      </c>
      <c r="D62" s="3">
        <f t="shared" si="0"/>
        <v>1.5432980851671996</v>
      </c>
      <c r="E62" s="3">
        <f t="shared" si="1"/>
        <v>1.5227147518338662</v>
      </c>
      <c r="F62" s="34">
        <v>2659.35</v>
      </c>
      <c r="G62" s="3">
        <f t="shared" si="2"/>
        <v>4.1756951968219269E-2</v>
      </c>
      <c r="H62" s="3">
        <f t="shared" si="3"/>
        <v>2.1173618634885934E-2</v>
      </c>
      <c r="I62" s="3">
        <f t="shared" si="4"/>
        <v>2.3186602154524727</v>
      </c>
      <c r="J62" s="3">
        <f t="shared" si="5"/>
        <v>4.4832212609558885E-4</v>
      </c>
      <c r="K62" s="3">
        <f t="shared" si="6"/>
        <v>3.2241381445045257E-2</v>
      </c>
      <c r="M62" s="8">
        <v>-0.50403225806451291</v>
      </c>
      <c r="N62" s="7">
        <f t="shared" si="7"/>
        <v>-5.0403225806451291E-3</v>
      </c>
      <c r="V62" s="7">
        <v>-5.0403225806451291E-3</v>
      </c>
      <c r="AD62" s="8">
        <v>-0.50403225806451291</v>
      </c>
      <c r="AE62" s="8">
        <f t="shared" si="8"/>
        <v>-0.50403225806451291</v>
      </c>
      <c r="AF62" s="8">
        <v>-2.5060630557801167</v>
      </c>
      <c r="AG62" s="7">
        <f t="shared" si="9"/>
        <v>-2.5060630557801167E-2</v>
      </c>
    </row>
    <row r="63" spans="1:33" x14ac:dyDescent="0.35">
      <c r="A63" s="9">
        <v>43705</v>
      </c>
      <c r="B63" s="10">
        <f>Расчеты!G76/360</f>
        <v>2.0638888888888887E-2</v>
      </c>
      <c r="C63" s="11">
        <v>708.2</v>
      </c>
      <c r="D63" s="3">
        <f t="shared" si="0"/>
        <v>-0.33774275260343156</v>
      </c>
      <c r="E63" s="3">
        <f t="shared" si="1"/>
        <v>-0.35838164149232044</v>
      </c>
      <c r="F63" s="34">
        <v>2677.31</v>
      </c>
      <c r="G63" s="3">
        <f t="shared" si="2"/>
        <v>0.67535299979317731</v>
      </c>
      <c r="H63" s="3">
        <f t="shared" si="3"/>
        <v>0.65471411090428844</v>
      </c>
      <c r="I63" s="3">
        <f t="shared" si="4"/>
        <v>0.1284374009587301</v>
      </c>
      <c r="J63" s="3">
        <f t="shared" si="5"/>
        <v>0.4286505670171929</v>
      </c>
      <c r="K63" s="3">
        <f t="shared" si="6"/>
        <v>-0.23463751777406402</v>
      </c>
      <c r="M63" s="8">
        <v>-0.5015045135406182</v>
      </c>
      <c r="N63" s="7">
        <f t="shared" si="7"/>
        <v>-5.015045135406182E-3</v>
      </c>
      <c r="V63" s="7">
        <v>-5.015045135406182E-3</v>
      </c>
      <c r="AD63" s="8">
        <v>-0.5015045135406182</v>
      </c>
      <c r="AE63" s="8">
        <f t="shared" si="8"/>
        <v>-0.5015045135406182</v>
      </c>
      <c r="AF63" s="8">
        <v>-2.4427774572032934</v>
      </c>
      <c r="AG63" s="7">
        <f t="shared" si="9"/>
        <v>-2.4427774572032934E-2</v>
      </c>
    </row>
    <row r="64" spans="1:33" x14ac:dyDescent="0.35">
      <c r="A64" s="9">
        <v>43706</v>
      </c>
      <c r="B64" s="10">
        <f>Расчеты!G77/360</f>
        <v>2.0555555555555556E-2</v>
      </c>
      <c r="C64" s="11">
        <v>708.4</v>
      </c>
      <c r="D64" s="3">
        <f t="shared" si="0"/>
        <v>2.8240609997176591E-2</v>
      </c>
      <c r="E64" s="3">
        <f t="shared" si="1"/>
        <v>7.6850544416210351E-3</v>
      </c>
      <c r="F64" s="34">
        <v>2714.25</v>
      </c>
      <c r="G64" s="3">
        <f t="shared" si="2"/>
        <v>1.3797431003507166</v>
      </c>
      <c r="H64" s="3">
        <f t="shared" si="3"/>
        <v>1.3591875447951609</v>
      </c>
      <c r="I64" s="3">
        <f t="shared" si="4"/>
        <v>5.9060061770679202E-5</v>
      </c>
      <c r="J64" s="3">
        <f t="shared" si="5"/>
        <v>1.8473907819262976</v>
      </c>
      <c r="K64" s="3">
        <f t="shared" si="6"/>
        <v>1.0445430278124041E-2</v>
      </c>
      <c r="M64" s="8">
        <v>-0.50000000000000044</v>
      </c>
      <c r="N64" s="7">
        <f t="shared" si="7"/>
        <v>-5.0000000000000044E-3</v>
      </c>
      <c r="V64" s="7">
        <v>-5.0000000000000044E-3</v>
      </c>
      <c r="AD64" s="8">
        <v>-0.50000000000000044</v>
      </c>
      <c r="AE64" s="8">
        <f t="shared" si="8"/>
        <v>-0.50000000000000044</v>
      </c>
      <c r="AF64" s="8">
        <v>-2.4340527577937698</v>
      </c>
      <c r="AG64" s="7">
        <f t="shared" si="9"/>
        <v>-2.4340527577937698E-2</v>
      </c>
    </row>
    <row r="65" spans="1:33" x14ac:dyDescent="0.35">
      <c r="A65" s="9">
        <v>43707</v>
      </c>
      <c r="B65" s="10">
        <f>Расчеты!G78/360</f>
        <v>2.0500000000000001E-2</v>
      </c>
      <c r="C65" s="11">
        <v>705.2</v>
      </c>
      <c r="D65" s="3">
        <f t="shared" si="0"/>
        <v>-0.45172219085262144</v>
      </c>
      <c r="E65" s="3">
        <f t="shared" si="1"/>
        <v>-0.47222219085262146</v>
      </c>
      <c r="F65" s="34">
        <v>2740.04</v>
      </c>
      <c r="G65" s="3">
        <f t="shared" si="2"/>
        <v>0.95017039697891104</v>
      </c>
      <c r="H65" s="3">
        <f t="shared" si="3"/>
        <v>0.92967039697891107</v>
      </c>
      <c r="I65" s="3">
        <f t="shared" si="4"/>
        <v>0.22299379753364965</v>
      </c>
      <c r="J65" s="3">
        <f t="shared" si="5"/>
        <v>0.86428704701892611</v>
      </c>
      <c r="K65" s="3">
        <f t="shared" si="6"/>
        <v>-0.43901099163220769</v>
      </c>
      <c r="M65" s="8">
        <v>-0.495662949194553</v>
      </c>
      <c r="N65" s="7">
        <f t="shared" si="7"/>
        <v>-4.95662949194553E-3</v>
      </c>
      <c r="V65" s="7">
        <v>-4.95662949194553E-3</v>
      </c>
      <c r="AD65" s="8">
        <v>-0.495662949194553</v>
      </c>
      <c r="AE65" s="8">
        <f t="shared" si="8"/>
        <v>-0.495662949194553</v>
      </c>
      <c r="AF65" s="8">
        <v>-2.3773533049333606</v>
      </c>
      <c r="AG65" s="7">
        <f t="shared" si="9"/>
        <v>-2.3773533049333606E-2</v>
      </c>
    </row>
    <row r="66" spans="1:33" x14ac:dyDescent="0.35">
      <c r="A66" s="9">
        <v>43710</v>
      </c>
      <c r="B66" s="10">
        <f>Расчеты!G79/360</f>
        <v>2.0500000000000001E-2</v>
      </c>
      <c r="C66" s="11">
        <v>704.6</v>
      </c>
      <c r="D66" s="3">
        <f t="shared" si="0"/>
        <v>-8.5082246171297449E-2</v>
      </c>
      <c r="E66" s="3">
        <f t="shared" si="1"/>
        <v>-0.10558224617129745</v>
      </c>
      <c r="F66" s="34">
        <v>2773.01</v>
      </c>
      <c r="G66" s="3">
        <f t="shared" si="2"/>
        <v>1.2032671055897115</v>
      </c>
      <c r="H66" s="3">
        <f t="shared" si="3"/>
        <v>1.1827671055897115</v>
      </c>
      <c r="I66" s="3">
        <f t="shared" si="4"/>
        <v>1.1147610706576456E-2</v>
      </c>
      <c r="J66" s="3">
        <f t="shared" si="5"/>
        <v>1.3989380260650639</v>
      </c>
      <c r="K66" s="3">
        <f t="shared" si="6"/>
        <v>-0.12487920770568589</v>
      </c>
      <c r="M66" s="8">
        <v>-0.47675804529202503</v>
      </c>
      <c r="N66" s="7">
        <f t="shared" si="7"/>
        <v>-4.7675804529202503E-3</v>
      </c>
      <c r="V66" s="7">
        <v>-4.7675804529202503E-3</v>
      </c>
      <c r="AD66" s="8">
        <v>-0.47675804529202503</v>
      </c>
      <c r="AE66" s="8">
        <f t="shared" si="8"/>
        <v>-0.47675804529202503</v>
      </c>
      <c r="AF66" s="8">
        <v>-2.3750239417736019</v>
      </c>
      <c r="AG66" s="7">
        <f t="shared" si="9"/>
        <v>-2.3750239417736019E-2</v>
      </c>
    </row>
    <row r="67" spans="1:33" x14ac:dyDescent="0.35">
      <c r="A67" s="9">
        <v>43711</v>
      </c>
      <c r="B67" s="10">
        <f>Расчеты!G80/360</f>
        <v>2.0472222222222222E-2</v>
      </c>
      <c r="C67" s="11">
        <v>718</v>
      </c>
      <c r="D67" s="3">
        <f t="shared" si="0"/>
        <v>1.9017882486517035</v>
      </c>
      <c r="E67" s="3">
        <f t="shared" si="1"/>
        <v>1.8813160264294813</v>
      </c>
      <c r="F67" s="34">
        <v>2774.2</v>
      </c>
      <c r="G67" s="3">
        <f t="shared" si="2"/>
        <v>4.2913657000864802E-2</v>
      </c>
      <c r="H67" s="3">
        <f t="shared" si="3"/>
        <v>2.2441434778642581E-2</v>
      </c>
      <c r="I67" s="3">
        <f t="shared" si="4"/>
        <v>3.5393499913004125</v>
      </c>
      <c r="J67" s="3">
        <f t="shared" si="5"/>
        <v>5.0361799492406874E-4</v>
      </c>
      <c r="K67" s="3">
        <f t="shared" si="6"/>
        <v>4.2219430905132228E-2</v>
      </c>
      <c r="M67" s="8">
        <v>-0.46715328467153983</v>
      </c>
      <c r="N67" s="7">
        <f t="shared" si="7"/>
        <v>-4.6715328467153983E-3</v>
      </c>
      <c r="V67" s="7">
        <v>-4.6715328467153983E-3</v>
      </c>
      <c r="AD67" s="8">
        <v>-0.46715328467153983</v>
      </c>
      <c r="AE67" s="8">
        <f t="shared" si="8"/>
        <v>-0.46715328467153983</v>
      </c>
      <c r="AF67" s="8">
        <v>-2.3150151449588874</v>
      </c>
      <c r="AG67" s="7">
        <f t="shared" si="9"/>
        <v>-2.3150151449588874E-2</v>
      </c>
    </row>
    <row r="68" spans="1:33" x14ac:dyDescent="0.35">
      <c r="A68" s="9">
        <v>43712</v>
      </c>
      <c r="B68" s="10">
        <f>Расчеты!G81/360</f>
        <v>2.0250000000000001E-2</v>
      </c>
      <c r="C68" s="11">
        <v>708.6</v>
      </c>
      <c r="D68" s="3">
        <f t="shared" si="0"/>
        <v>-1.3091922005570966</v>
      </c>
      <c r="E68" s="3">
        <f t="shared" si="1"/>
        <v>-1.3294422005570967</v>
      </c>
      <c r="F68" s="34">
        <v>2793.36</v>
      </c>
      <c r="G68" s="3">
        <f t="shared" si="2"/>
        <v>0.69064955662894167</v>
      </c>
      <c r="H68" s="3">
        <f t="shared" si="3"/>
        <v>0.67039955662894168</v>
      </c>
      <c r="I68" s="3">
        <f t="shared" si="4"/>
        <v>1.7674165646220958</v>
      </c>
      <c r="J68" s="3">
        <f t="shared" si="5"/>
        <v>0.44943556552828157</v>
      </c>
      <c r="K68" s="3">
        <f t="shared" si="6"/>
        <v>-0.89125746181728216</v>
      </c>
      <c r="M68" s="8">
        <v>-0.46533271288972111</v>
      </c>
      <c r="N68" s="7">
        <f t="shared" si="7"/>
        <v>-4.6533271288972111E-3</v>
      </c>
      <c r="V68" s="7">
        <v>-4.6533271288972111E-3</v>
      </c>
      <c r="AD68" s="8">
        <v>-0.46533271288972111</v>
      </c>
      <c r="AE68" s="8">
        <f t="shared" si="8"/>
        <v>-0.46533271288972111</v>
      </c>
      <c r="AF68" s="8">
        <v>-2.2956326987682019</v>
      </c>
      <c r="AG68" s="7">
        <f t="shared" si="9"/>
        <v>-2.2956326987682019E-2</v>
      </c>
    </row>
    <row r="69" spans="1:33" x14ac:dyDescent="0.35">
      <c r="A69" s="9">
        <v>43713</v>
      </c>
      <c r="B69" s="10">
        <f>Расчеты!G82/360</f>
        <v>2.0083333333333335E-2</v>
      </c>
      <c r="C69" s="11">
        <v>693.2</v>
      </c>
      <c r="D69" s="3">
        <f t="shared" si="0"/>
        <v>-2.173299463731293</v>
      </c>
      <c r="E69" s="3">
        <f t="shared" si="1"/>
        <v>-2.1933827970646265</v>
      </c>
      <c r="F69" s="34">
        <v>2807.06</v>
      </c>
      <c r="G69" s="3">
        <f t="shared" si="2"/>
        <v>0.4904487785319489</v>
      </c>
      <c r="H69" s="3">
        <f t="shared" si="3"/>
        <v>0.47036544519861556</v>
      </c>
      <c r="I69" s="3">
        <f t="shared" si="4"/>
        <v>4.8109280944590447</v>
      </c>
      <c r="J69" s="3">
        <f t="shared" si="5"/>
        <v>0.22124365203689181</v>
      </c>
      <c r="K69" s="3">
        <f t="shared" si="6"/>
        <v>-1.0316914758322877</v>
      </c>
      <c r="M69" s="8">
        <v>-0.45454545454545192</v>
      </c>
      <c r="N69" s="7">
        <f t="shared" si="7"/>
        <v>-4.5454545454545192E-3</v>
      </c>
      <c r="V69" s="7">
        <v>-4.5454545454545192E-3</v>
      </c>
      <c r="AD69" s="8">
        <v>-0.45454545454545192</v>
      </c>
      <c r="AE69" s="8">
        <f t="shared" si="8"/>
        <v>-0.45454545454545192</v>
      </c>
      <c r="AF69" s="8">
        <v>-2.2731726435430089</v>
      </c>
      <c r="AG69" s="7">
        <f t="shared" si="9"/>
        <v>-2.2731726435430089E-2</v>
      </c>
    </row>
    <row r="70" spans="1:33" x14ac:dyDescent="0.35">
      <c r="A70" s="9">
        <v>43714</v>
      </c>
      <c r="B70" s="10">
        <f>Расчеты!G83/360</f>
        <v>1.963888888888889E-2</v>
      </c>
      <c r="C70" s="11">
        <v>691.8</v>
      </c>
      <c r="D70" s="3">
        <f t="shared" ref="D70:D133" si="10">(C70/C69-1)*100</f>
        <v>-0.20196191575304612</v>
      </c>
      <c r="E70" s="3">
        <f t="shared" ref="E70:E133" si="11">D70-B70</f>
        <v>-0.22160080464193502</v>
      </c>
      <c r="F70" s="34">
        <v>2797.55</v>
      </c>
      <c r="G70" s="3">
        <f t="shared" ref="G70:G133" si="12">(F70/F69-1)*100</f>
        <v>-0.33878862582202851</v>
      </c>
      <c r="H70" s="3">
        <f t="shared" ref="H70:H133" si="13">G70-B70</f>
        <v>-0.35842751471091738</v>
      </c>
      <c r="I70" s="3">
        <f t="shared" ref="I70:I133" si="14">E70^2</f>
        <v>4.910691661795305E-2</v>
      </c>
      <c r="J70" s="3">
        <f t="shared" ref="J70:J133" si="15">H70^2</f>
        <v>0.1284702833018449</v>
      </c>
      <c r="K70" s="3">
        <f t="shared" ref="K70:K133" si="16">E70*H70</f>
        <v>7.9427825665748297E-2</v>
      </c>
      <c r="M70" s="8">
        <v>-0.45172219085262144</v>
      </c>
      <c r="N70" s="7">
        <f t="shared" ref="N70:N133" si="17">M70*$N$4</f>
        <v>-4.5172219085262144E-3</v>
      </c>
      <c r="V70" s="7">
        <v>-4.5172219085262144E-3</v>
      </c>
      <c r="AD70" s="8">
        <v>-0.45172219085262144</v>
      </c>
      <c r="AE70" s="8">
        <f t="shared" ref="AE70:AE133" si="18">IF(AD70&lt;0,AD70,AD70*(-1))</f>
        <v>-0.45172219085262144</v>
      </c>
      <c r="AF70" s="8">
        <v>-2.2021384928716969</v>
      </c>
      <c r="AG70" s="7">
        <f t="shared" ref="AG70:AG133" si="19">AF70*$AG$4</f>
        <v>-2.2021384928716969E-2</v>
      </c>
    </row>
    <row r="71" spans="1:33" x14ac:dyDescent="0.35">
      <c r="A71" s="9">
        <v>43717</v>
      </c>
      <c r="B71" s="10">
        <f>Расчеты!G84/360</f>
        <v>1.9416666666666669E-2</v>
      </c>
      <c r="C71" s="11">
        <v>680</v>
      </c>
      <c r="D71" s="3">
        <f t="shared" si="10"/>
        <v>-1.7056952876553844</v>
      </c>
      <c r="E71" s="3">
        <f t="shared" si="11"/>
        <v>-1.725111954322051</v>
      </c>
      <c r="F71" s="34">
        <v>2786.63</v>
      </c>
      <c r="G71" s="3">
        <f t="shared" si="12"/>
        <v>-0.39034154885525529</v>
      </c>
      <c r="H71" s="3">
        <f t="shared" si="13"/>
        <v>-0.40975821552192199</v>
      </c>
      <c r="I71" s="3">
        <f t="shared" si="14"/>
        <v>2.9760112549448463</v>
      </c>
      <c r="J71" s="3">
        <f t="shared" si="15"/>
        <v>0.16790179518770987</v>
      </c>
      <c r="K71" s="3">
        <f t="shared" si="16"/>
        <v>0.70687879597853898</v>
      </c>
      <c r="M71" s="8">
        <v>-0.44156608772446537</v>
      </c>
      <c r="N71" s="7">
        <f t="shared" si="17"/>
        <v>-4.4156608772446537E-3</v>
      </c>
      <c r="V71" s="7">
        <v>-4.4156608772446537E-3</v>
      </c>
      <c r="AD71" s="8">
        <v>-0.44156608772446537</v>
      </c>
      <c r="AE71" s="8">
        <f t="shared" si="18"/>
        <v>-0.44156608772446537</v>
      </c>
      <c r="AF71" s="8">
        <v>-2.200141944641576</v>
      </c>
      <c r="AG71" s="7">
        <f t="shared" si="19"/>
        <v>-2.200141944641576E-2</v>
      </c>
    </row>
    <row r="72" spans="1:33" x14ac:dyDescent="0.35">
      <c r="A72" s="9">
        <v>43718</v>
      </c>
      <c r="B72" s="10">
        <f>Расчеты!G85/360</f>
        <v>1.938888888888889E-2</v>
      </c>
      <c r="C72" s="11">
        <v>676.6</v>
      </c>
      <c r="D72" s="3">
        <f t="shared" si="10"/>
        <v>-0.50000000000000044</v>
      </c>
      <c r="E72" s="3">
        <f t="shared" si="11"/>
        <v>-0.51938888888888934</v>
      </c>
      <c r="F72" s="34">
        <v>2787.52</v>
      </c>
      <c r="G72" s="3">
        <f t="shared" si="12"/>
        <v>3.1938219282778846E-2</v>
      </c>
      <c r="H72" s="3">
        <f t="shared" si="13"/>
        <v>1.2549330393889956E-2</v>
      </c>
      <c r="I72" s="3">
        <f t="shared" si="14"/>
        <v>0.26976481790123502</v>
      </c>
      <c r="J72" s="3">
        <f t="shared" si="15"/>
        <v>1.5748569333501024E-4</v>
      </c>
      <c r="K72" s="3">
        <f t="shared" si="16"/>
        <v>-6.5179827695820728E-3</v>
      </c>
      <c r="M72" s="8">
        <v>-0.40742417383431428</v>
      </c>
      <c r="N72" s="7">
        <f t="shared" si="17"/>
        <v>-4.0742417383431428E-3</v>
      </c>
      <c r="V72" s="7">
        <v>-4.0742417383431428E-3</v>
      </c>
      <c r="AD72" s="8">
        <v>-0.40742417383431428</v>
      </c>
      <c r="AE72" s="8">
        <f t="shared" si="18"/>
        <v>-0.40742417383431428</v>
      </c>
      <c r="AF72" s="8">
        <v>-2.1975308641975277</v>
      </c>
      <c r="AG72" s="7">
        <f t="shared" si="19"/>
        <v>-2.1975308641975277E-2</v>
      </c>
    </row>
    <row r="73" spans="1:33" x14ac:dyDescent="0.35">
      <c r="A73" s="9">
        <v>43719</v>
      </c>
      <c r="B73" s="10">
        <f>Расчеты!G86/360</f>
        <v>1.9472222222222221E-2</v>
      </c>
      <c r="C73" s="11">
        <v>676</v>
      </c>
      <c r="D73" s="3">
        <f t="shared" si="10"/>
        <v>-8.8678687555432401E-2</v>
      </c>
      <c r="E73" s="3">
        <f t="shared" si="11"/>
        <v>-0.10815090977765462</v>
      </c>
      <c r="F73" s="34">
        <v>2817.05</v>
      </c>
      <c r="G73" s="3">
        <f t="shared" si="12"/>
        <v>1.0593645964872112</v>
      </c>
      <c r="H73" s="3">
        <f t="shared" si="13"/>
        <v>1.039892374264989</v>
      </c>
      <c r="I73" s="3">
        <f t="shared" si="14"/>
        <v>1.1696619285734391E-2</v>
      </c>
      <c r="J73" s="3">
        <f t="shared" si="15"/>
        <v>1.0813761500544761</v>
      </c>
      <c r="K73" s="3">
        <f t="shared" si="16"/>
        <v>-0.11246530634760389</v>
      </c>
      <c r="M73" s="8">
        <v>-0.39658328248932673</v>
      </c>
      <c r="N73" s="7">
        <f t="shared" si="17"/>
        <v>-3.9658328248932673E-3</v>
      </c>
      <c r="V73" s="7">
        <v>-3.9658328248932673E-3</v>
      </c>
      <c r="AD73" s="8">
        <v>-0.39658328248932673</v>
      </c>
      <c r="AE73" s="8">
        <f t="shared" si="18"/>
        <v>-0.39658328248932673</v>
      </c>
      <c r="AF73" s="8">
        <v>-2.1273637374860987</v>
      </c>
      <c r="AG73" s="7">
        <f t="shared" si="19"/>
        <v>-2.1273637374860987E-2</v>
      </c>
    </row>
    <row r="74" spans="1:33" x14ac:dyDescent="0.35">
      <c r="A74" s="9">
        <v>43720</v>
      </c>
      <c r="B74" s="10">
        <f>Расчеты!G87/360</f>
        <v>1.9527777777777779E-2</v>
      </c>
      <c r="C74" s="11">
        <v>674.8</v>
      </c>
      <c r="D74" s="3">
        <f t="shared" si="10"/>
        <v>-0.17751479289941363</v>
      </c>
      <c r="E74" s="3">
        <f t="shared" si="11"/>
        <v>-0.19704257067719141</v>
      </c>
      <c r="F74" s="34">
        <v>2799.99</v>
      </c>
      <c r="G74" s="3">
        <f t="shared" si="12"/>
        <v>-0.6055980547026274</v>
      </c>
      <c r="H74" s="3">
        <f t="shared" si="13"/>
        <v>-0.62512583248040521</v>
      </c>
      <c r="I74" s="3">
        <f t="shared" si="14"/>
        <v>3.8825774659075975E-2</v>
      </c>
      <c r="J74" s="3">
        <f t="shared" si="15"/>
        <v>0.39078230643431966</v>
      </c>
      <c r="K74" s="3">
        <f t="shared" si="16"/>
        <v>0.12317640102865836</v>
      </c>
      <c r="M74" s="8">
        <v>-0.39133052378085287</v>
      </c>
      <c r="N74" s="7">
        <f t="shared" si="17"/>
        <v>-3.9133052378085287E-3</v>
      </c>
      <c r="V74" s="7">
        <v>-3.9133052378085287E-3</v>
      </c>
      <c r="AD74" s="8">
        <v>-0.39133052378085287</v>
      </c>
      <c r="AE74" s="8">
        <f t="shared" si="18"/>
        <v>-0.39133052378085287</v>
      </c>
      <c r="AF74" s="8">
        <v>-2.1178765500905583</v>
      </c>
      <c r="AG74" s="7">
        <f t="shared" si="19"/>
        <v>-2.1178765500905583E-2</v>
      </c>
    </row>
    <row r="75" spans="1:33" x14ac:dyDescent="0.35">
      <c r="A75" s="9">
        <v>43721</v>
      </c>
      <c r="B75" s="10">
        <f>Расчеты!G88/360</f>
        <v>1.95E-2</v>
      </c>
      <c r="C75" s="11">
        <v>663.8</v>
      </c>
      <c r="D75" s="3">
        <f t="shared" si="10"/>
        <v>-1.6301126259632537</v>
      </c>
      <c r="E75" s="3">
        <f t="shared" si="11"/>
        <v>-1.6496126259632538</v>
      </c>
      <c r="F75" s="34">
        <v>2791.74</v>
      </c>
      <c r="G75" s="3">
        <f t="shared" si="12"/>
        <v>-0.29464390944253793</v>
      </c>
      <c r="H75" s="3">
        <f t="shared" si="13"/>
        <v>-0.31414390944253795</v>
      </c>
      <c r="I75" s="3">
        <f t="shared" si="14"/>
        <v>2.7212218157373815</v>
      </c>
      <c r="J75" s="3">
        <f t="shared" si="15"/>
        <v>9.8686395839841484E-2</v>
      </c>
      <c r="K75" s="3">
        <f t="shared" si="16"/>
        <v>0.51821575938586761</v>
      </c>
      <c r="M75" s="8">
        <v>-0.37088548910523267</v>
      </c>
      <c r="N75" s="7">
        <f t="shared" si="17"/>
        <v>-3.7088548910523267E-3</v>
      </c>
      <c r="V75" s="7">
        <v>-3.7088548910523267E-3</v>
      </c>
      <c r="AD75" s="8">
        <v>-0.37088548910523267</v>
      </c>
      <c r="AE75" s="8">
        <f t="shared" si="18"/>
        <v>-0.37088548910523267</v>
      </c>
      <c r="AF75" s="8">
        <v>-2.0857929948839171</v>
      </c>
      <c r="AG75" s="7">
        <f t="shared" si="19"/>
        <v>-2.0857929948839171E-2</v>
      </c>
    </row>
    <row r="76" spans="1:33" x14ac:dyDescent="0.35">
      <c r="A76" s="9">
        <v>43724</v>
      </c>
      <c r="B76" s="10">
        <f>Расчеты!G89/360</f>
        <v>1.95E-2</v>
      </c>
      <c r="C76" s="11">
        <v>665.6</v>
      </c>
      <c r="D76" s="3">
        <f t="shared" si="10"/>
        <v>0.27116601385961392</v>
      </c>
      <c r="E76" s="3">
        <f t="shared" si="11"/>
        <v>0.2516660138596139</v>
      </c>
      <c r="F76" s="34">
        <v>2834.32</v>
      </c>
      <c r="G76" s="3">
        <f t="shared" si="12"/>
        <v>1.5252136660290905</v>
      </c>
      <c r="H76" s="3">
        <f t="shared" si="13"/>
        <v>1.5057136660290904</v>
      </c>
      <c r="I76" s="3">
        <f t="shared" si="14"/>
        <v>6.3335782531987378E-2</v>
      </c>
      <c r="J76" s="3">
        <f t="shared" si="15"/>
        <v>2.2671736440667631</v>
      </c>
      <c r="K76" s="3">
        <f t="shared" si="16"/>
        <v>0.37893695634348712</v>
      </c>
      <c r="M76" s="8">
        <v>-0.36210018105008457</v>
      </c>
      <c r="N76" s="7">
        <f t="shared" si="17"/>
        <v>-3.6210018105008457E-3</v>
      </c>
      <c r="V76" s="7">
        <v>-3.6210018105008457E-3</v>
      </c>
      <c r="AD76" s="8">
        <v>-0.36210018105008457</v>
      </c>
      <c r="AE76" s="8">
        <f t="shared" si="18"/>
        <v>-0.36210018105008457</v>
      </c>
      <c r="AF76" s="8">
        <v>-2.051282051282044</v>
      </c>
      <c r="AG76" s="7">
        <f t="shared" si="19"/>
        <v>-2.051282051282044E-2</v>
      </c>
    </row>
    <row r="77" spans="1:33" x14ac:dyDescent="0.35">
      <c r="A77" s="9">
        <v>43725</v>
      </c>
      <c r="B77" s="10">
        <f>Расчеты!G90/360</f>
        <v>1.95E-2</v>
      </c>
      <c r="C77" s="11">
        <v>670.4</v>
      </c>
      <c r="D77" s="3">
        <f t="shared" si="10"/>
        <v>0.72115384615383249</v>
      </c>
      <c r="E77" s="3">
        <f t="shared" si="11"/>
        <v>0.70165384615383253</v>
      </c>
      <c r="F77" s="34">
        <v>2820.86</v>
      </c>
      <c r="G77" s="3">
        <f t="shared" si="12"/>
        <v>-0.4748934488695733</v>
      </c>
      <c r="H77" s="3">
        <f t="shared" si="13"/>
        <v>-0.49439344886957332</v>
      </c>
      <c r="I77" s="3">
        <f t="shared" si="14"/>
        <v>0.49231811982246609</v>
      </c>
      <c r="J77" s="3">
        <f t="shared" si="15"/>
        <v>0.24442488228515141</v>
      </c>
      <c r="K77" s="3">
        <f t="shared" si="16"/>
        <v>-0.34689306491259425</v>
      </c>
      <c r="M77" s="8">
        <v>-0.35691109669044874</v>
      </c>
      <c r="N77" s="7">
        <f t="shared" si="17"/>
        <v>-3.5691109669044874E-3</v>
      </c>
      <c r="V77" s="7">
        <v>-3.5691109669044874E-3</v>
      </c>
      <c r="AD77" s="8">
        <v>-0.35691109669044874</v>
      </c>
      <c r="AE77" s="8">
        <f t="shared" si="18"/>
        <v>-0.35691109669044874</v>
      </c>
      <c r="AF77" s="8">
        <v>-2.0044855620969804</v>
      </c>
      <c r="AG77" s="7">
        <f t="shared" si="19"/>
        <v>-2.0044855620969804E-2</v>
      </c>
    </row>
    <row r="78" spans="1:33" x14ac:dyDescent="0.35">
      <c r="A78" s="9">
        <v>43726</v>
      </c>
      <c r="B78" s="10">
        <f>Расчеты!G91/360</f>
        <v>1.95E-2</v>
      </c>
      <c r="C78" s="11">
        <v>671.2</v>
      </c>
      <c r="D78" s="3">
        <f t="shared" si="10"/>
        <v>0.11933174224345588</v>
      </c>
      <c r="E78" s="3">
        <f t="shared" si="11"/>
        <v>9.9831742243455882E-2</v>
      </c>
      <c r="F78" s="34">
        <v>2818.6</v>
      </c>
      <c r="G78" s="3">
        <f t="shared" si="12"/>
        <v>-8.0117411002322836E-2</v>
      </c>
      <c r="H78" s="3">
        <f t="shared" si="13"/>
        <v>-9.9617411002322839E-2</v>
      </c>
      <c r="I78" s="3">
        <f t="shared" si="14"/>
        <v>9.9663767593638139E-3</v>
      </c>
      <c r="J78" s="3">
        <f t="shared" si="15"/>
        <v>9.923628574805712E-3</v>
      </c>
      <c r="K78" s="3">
        <f t="shared" si="16"/>
        <v>-9.9449796981442989E-3</v>
      </c>
      <c r="M78" s="8">
        <v>-0.34987277353688562</v>
      </c>
      <c r="N78" s="7">
        <f t="shared" si="17"/>
        <v>-3.4987277353688562E-3</v>
      </c>
      <c r="V78" s="7">
        <v>-3.4987277353688562E-3</v>
      </c>
      <c r="AD78" s="8">
        <v>-0.34987277353688562</v>
      </c>
      <c r="AE78" s="8">
        <f t="shared" si="18"/>
        <v>-0.34987277353688562</v>
      </c>
      <c r="AF78" s="8">
        <v>-1.9433835093237373</v>
      </c>
      <c r="AG78" s="7">
        <f t="shared" si="19"/>
        <v>-1.9433835093237373E-2</v>
      </c>
    </row>
    <row r="79" spans="1:33" x14ac:dyDescent="0.35">
      <c r="A79" s="9">
        <v>43727</v>
      </c>
      <c r="B79" s="10">
        <f>Расчеты!G92/360</f>
        <v>1.9527777777777779E-2</v>
      </c>
      <c r="C79" s="11">
        <v>662.6</v>
      </c>
      <c r="D79" s="3">
        <f t="shared" si="10"/>
        <v>-1.2812872467222958</v>
      </c>
      <c r="E79" s="3">
        <f t="shared" si="11"/>
        <v>-1.3008150245000736</v>
      </c>
      <c r="F79" s="34">
        <v>2794.77</v>
      </c>
      <c r="G79" s="3">
        <f t="shared" si="12"/>
        <v>-0.84545519052011686</v>
      </c>
      <c r="H79" s="3">
        <f t="shared" si="13"/>
        <v>-0.86498296829789467</v>
      </c>
      <c r="I79" s="3">
        <f t="shared" si="14"/>
        <v>1.692119727965127</v>
      </c>
      <c r="J79" s="3">
        <f t="shared" si="15"/>
        <v>0.74819553544543671</v>
      </c>
      <c r="K79" s="3">
        <f t="shared" si="16"/>
        <v>1.1251828410985723</v>
      </c>
      <c r="M79" s="8">
        <v>-0.3451521807342206</v>
      </c>
      <c r="N79" s="7">
        <f t="shared" si="17"/>
        <v>-3.451521807342206E-3</v>
      </c>
      <c r="V79" s="7">
        <v>-3.451521807342206E-3</v>
      </c>
      <c r="AD79" s="8">
        <v>-0.3451521807342206</v>
      </c>
      <c r="AE79" s="8">
        <f t="shared" si="18"/>
        <v>-0.3451521807342206</v>
      </c>
      <c r="AF79" s="8">
        <v>-1.9247311827957025</v>
      </c>
      <c r="AG79" s="7">
        <f t="shared" si="19"/>
        <v>-1.9247311827957025E-2</v>
      </c>
    </row>
    <row r="80" spans="1:33" x14ac:dyDescent="0.35">
      <c r="A80" s="9">
        <v>43728</v>
      </c>
      <c r="B80" s="10">
        <f>Расчеты!G93/360</f>
        <v>1.9527777777777779E-2</v>
      </c>
      <c r="C80" s="11">
        <v>664</v>
      </c>
      <c r="D80" s="3">
        <f t="shared" si="10"/>
        <v>0.21128886205854513</v>
      </c>
      <c r="E80" s="3">
        <f t="shared" si="11"/>
        <v>0.19176108428076735</v>
      </c>
      <c r="F80" s="34">
        <v>2796.41</v>
      </c>
      <c r="G80" s="3">
        <f t="shared" si="12"/>
        <v>5.8681036364349737E-2</v>
      </c>
      <c r="H80" s="3">
        <f t="shared" si="13"/>
        <v>3.9153258586571954E-2</v>
      </c>
      <c r="I80" s="3">
        <f t="shared" si="14"/>
        <v>3.6772313444535562E-2</v>
      </c>
      <c r="J80" s="3">
        <f t="shared" si="15"/>
        <v>1.5329776579469704E-3</v>
      </c>
      <c r="K80" s="3">
        <f t="shared" si="16"/>
        <v>7.5080713196863024E-3</v>
      </c>
      <c r="M80" s="8">
        <v>-0.33898305084746339</v>
      </c>
      <c r="N80" s="7">
        <f t="shared" si="17"/>
        <v>-3.3898305084746339E-3</v>
      </c>
      <c r="V80" s="7">
        <v>-3.3898305084746339E-3</v>
      </c>
      <c r="AD80" s="8">
        <v>-0.33898305084746339</v>
      </c>
      <c r="AE80" s="8">
        <f t="shared" si="18"/>
        <v>-0.33898305084746339</v>
      </c>
      <c r="AF80" s="8">
        <v>-1.9241119483315305</v>
      </c>
      <c r="AG80" s="7">
        <f t="shared" si="19"/>
        <v>-1.9241119483315305E-2</v>
      </c>
    </row>
    <row r="81" spans="1:33" x14ac:dyDescent="0.35">
      <c r="A81" s="9">
        <v>43731</v>
      </c>
      <c r="B81" s="10">
        <f>Расчеты!G94/360</f>
        <v>1.95E-2</v>
      </c>
      <c r="C81" s="11">
        <v>674.2</v>
      </c>
      <c r="D81" s="3">
        <f t="shared" si="10"/>
        <v>1.5361445783132588</v>
      </c>
      <c r="E81" s="3">
        <f t="shared" si="11"/>
        <v>1.5166445783132587</v>
      </c>
      <c r="F81" s="34">
        <v>2785.46</v>
      </c>
      <c r="G81" s="3">
        <f t="shared" si="12"/>
        <v>-0.39157348171404704</v>
      </c>
      <c r="H81" s="3">
        <f t="shared" si="13"/>
        <v>-0.41107348171404706</v>
      </c>
      <c r="I81" s="3">
        <f t="shared" si="14"/>
        <v>2.3002107769270022</v>
      </c>
      <c r="J81" s="3">
        <f t="shared" si="15"/>
        <v>0.16898140736850897</v>
      </c>
      <c r="K81" s="3">
        <f t="shared" si="16"/>
        <v>-0.62345236732996401</v>
      </c>
      <c r="M81" s="8">
        <v>-0.33774275260343156</v>
      </c>
      <c r="N81" s="7">
        <f t="shared" si="17"/>
        <v>-3.3774275260343156E-3</v>
      </c>
      <c r="V81" s="7">
        <v>-3.3774275260343156E-3</v>
      </c>
      <c r="AD81" s="8">
        <v>-0.33774275260343156</v>
      </c>
      <c r="AE81" s="8">
        <f t="shared" si="18"/>
        <v>-0.33774275260343156</v>
      </c>
      <c r="AF81" s="8">
        <v>-1.9142857142857128</v>
      </c>
      <c r="AG81" s="7">
        <f t="shared" si="19"/>
        <v>-1.9142857142857128E-2</v>
      </c>
    </row>
    <row r="82" spans="1:33" x14ac:dyDescent="0.35">
      <c r="A82" s="9">
        <v>43732</v>
      </c>
      <c r="B82" s="10">
        <f>Расчеты!G95/360</f>
        <v>1.95E-2</v>
      </c>
      <c r="C82" s="11">
        <v>674.4</v>
      </c>
      <c r="D82" s="3">
        <f t="shared" si="10"/>
        <v>2.9664787896765965E-2</v>
      </c>
      <c r="E82" s="3">
        <f t="shared" si="11"/>
        <v>1.0164787896765965E-2</v>
      </c>
      <c r="F82" s="34">
        <v>2754.53</v>
      </c>
      <c r="G82" s="3">
        <f t="shared" si="12"/>
        <v>-1.110409052723782</v>
      </c>
      <c r="H82" s="3">
        <f t="shared" si="13"/>
        <v>-1.1299090527237821</v>
      </c>
      <c r="I82" s="3">
        <f t="shared" si="14"/>
        <v>1.0332291298623986E-4</v>
      </c>
      <c r="J82" s="3">
        <f t="shared" si="15"/>
        <v>1.2766944674271545</v>
      </c>
      <c r="K82" s="3">
        <f t="shared" si="16"/>
        <v>-1.1485285863572997E-2</v>
      </c>
      <c r="M82" s="8">
        <v>-0.31338138514571678</v>
      </c>
      <c r="N82" s="7">
        <f t="shared" si="17"/>
        <v>-3.1338138514571678E-3</v>
      </c>
      <c r="V82" s="7">
        <v>-3.1338138514571678E-3</v>
      </c>
      <c r="AD82" s="8">
        <v>-0.31338138514571678</v>
      </c>
      <c r="AE82" s="8">
        <f t="shared" si="18"/>
        <v>-0.31338138514571678</v>
      </c>
      <c r="AF82" s="8">
        <v>-1.9061302681992465</v>
      </c>
      <c r="AG82" s="7">
        <f t="shared" si="19"/>
        <v>-1.9061302681992465E-2</v>
      </c>
    </row>
    <row r="83" spans="1:33" x14ac:dyDescent="0.35">
      <c r="A83" s="9">
        <v>43733</v>
      </c>
      <c r="B83" s="10">
        <f>Расчеты!G96/360</f>
        <v>1.9472222222222221E-2</v>
      </c>
      <c r="C83" s="11">
        <v>672.6</v>
      </c>
      <c r="D83" s="3">
        <f t="shared" si="10"/>
        <v>-0.2669039145907437</v>
      </c>
      <c r="E83" s="3">
        <f t="shared" si="11"/>
        <v>-0.28637613681296592</v>
      </c>
      <c r="F83" s="34">
        <v>2760.29</v>
      </c>
      <c r="G83" s="3">
        <f t="shared" si="12"/>
        <v>0.20911008411597098</v>
      </c>
      <c r="H83" s="3">
        <f t="shared" si="13"/>
        <v>0.18963786189374876</v>
      </c>
      <c r="I83" s="3">
        <f t="shared" si="14"/>
        <v>8.2011291735918576E-2</v>
      </c>
      <c r="J83" s="3">
        <f t="shared" si="15"/>
        <v>3.596251866363253E-2</v>
      </c>
      <c r="K83" s="3">
        <f t="shared" si="16"/>
        <v>-5.4307758282602529E-2</v>
      </c>
      <c r="M83" s="8">
        <v>-0.30854674483183908</v>
      </c>
      <c r="N83" s="7">
        <f t="shared" si="17"/>
        <v>-3.0854674483183908E-3</v>
      </c>
      <c r="V83" s="7">
        <v>-3.0854674483183908E-3</v>
      </c>
      <c r="AD83" s="8">
        <v>-0.30854674483183908</v>
      </c>
      <c r="AE83" s="8">
        <f t="shared" si="18"/>
        <v>-0.30854674483183908</v>
      </c>
      <c r="AF83" s="8">
        <v>-1.9006659267480686</v>
      </c>
      <c r="AG83" s="7">
        <f t="shared" si="19"/>
        <v>-1.9006659267480686E-2</v>
      </c>
    </row>
    <row r="84" spans="1:33" x14ac:dyDescent="0.35">
      <c r="A84" s="9">
        <v>43734</v>
      </c>
      <c r="B84" s="10">
        <f>Расчеты!G97/360</f>
        <v>1.9444444444444445E-2</v>
      </c>
      <c r="C84" s="11">
        <v>671.2</v>
      </c>
      <c r="D84" s="3">
        <f t="shared" si="10"/>
        <v>-0.20814748736247557</v>
      </c>
      <c r="E84" s="3">
        <f t="shared" si="11"/>
        <v>-0.22759193180692</v>
      </c>
      <c r="F84" s="34">
        <v>2772.7</v>
      </c>
      <c r="G84" s="3">
        <f t="shared" si="12"/>
        <v>0.44959044158403572</v>
      </c>
      <c r="H84" s="3">
        <f t="shared" si="13"/>
        <v>0.43014599713959129</v>
      </c>
      <c r="I84" s="3">
        <f t="shared" si="14"/>
        <v>5.1798087423605726E-2</v>
      </c>
      <c r="J84" s="3">
        <f t="shared" si="15"/>
        <v>0.18502557885521329</v>
      </c>
      <c r="K84" s="3">
        <f t="shared" si="16"/>
        <v>-9.7897758448013461E-2</v>
      </c>
      <c r="M84" s="8">
        <v>-0.30515715593530945</v>
      </c>
      <c r="N84" s="7">
        <f t="shared" si="17"/>
        <v>-3.0515715593530945E-3</v>
      </c>
      <c r="V84" s="7">
        <v>-3.0515715593530945E-3</v>
      </c>
      <c r="AD84" s="8">
        <v>-0.30515715593530945</v>
      </c>
      <c r="AE84" s="8">
        <f t="shared" si="18"/>
        <v>-0.30515715593530945</v>
      </c>
      <c r="AF84" s="8">
        <v>-1.8995015492388689</v>
      </c>
      <c r="AG84" s="7">
        <f t="shared" si="19"/>
        <v>-1.8995015492388689E-2</v>
      </c>
    </row>
    <row r="85" spans="1:33" x14ac:dyDescent="0.35">
      <c r="A85" s="9">
        <v>43735</v>
      </c>
      <c r="B85" s="10">
        <f>Расчеты!G98/360</f>
        <v>1.9527777777777779E-2</v>
      </c>
      <c r="C85" s="11">
        <v>668</v>
      </c>
      <c r="D85" s="3">
        <f t="shared" si="10"/>
        <v>-0.47675804529202503</v>
      </c>
      <c r="E85" s="3">
        <f t="shared" si="11"/>
        <v>-0.49628582306980279</v>
      </c>
      <c r="F85" s="34">
        <v>2757.98</v>
      </c>
      <c r="G85" s="3">
        <f t="shared" si="12"/>
        <v>-0.53089046777508031</v>
      </c>
      <c r="H85" s="3">
        <f t="shared" si="13"/>
        <v>-0.55041824555285812</v>
      </c>
      <c r="I85" s="3">
        <f t="shared" si="14"/>
        <v>0.24629961818007159</v>
      </c>
      <c r="J85" s="3">
        <f t="shared" si="15"/>
        <v>0.30296024503748642</v>
      </c>
      <c r="K85" s="3">
        <f t="shared" si="16"/>
        <v>0.27316477202683703</v>
      </c>
      <c r="M85" s="8">
        <v>-0.29116790682628402</v>
      </c>
      <c r="N85" s="7">
        <f t="shared" si="17"/>
        <v>-2.9116790682628402E-3</v>
      </c>
      <c r="V85" s="7">
        <v>-2.9116790682628402E-3</v>
      </c>
      <c r="AD85" s="8">
        <v>-0.29116790682628402</v>
      </c>
      <c r="AE85" s="8">
        <f t="shared" si="18"/>
        <v>-0.29116790682628402</v>
      </c>
      <c r="AF85" s="8">
        <v>-1.885614385614387</v>
      </c>
      <c r="AG85" s="7">
        <f t="shared" si="19"/>
        <v>-1.885614385614387E-2</v>
      </c>
    </row>
    <row r="86" spans="1:33" x14ac:dyDescent="0.35">
      <c r="A86" s="9">
        <v>43738</v>
      </c>
      <c r="B86" s="10">
        <f>Расчеты!G99/360</f>
        <v>1.9555555555555555E-2</v>
      </c>
      <c r="C86" s="11">
        <v>660.4</v>
      </c>
      <c r="D86" s="3">
        <f t="shared" si="10"/>
        <v>-1.1377245508982115</v>
      </c>
      <c r="E86" s="3">
        <f t="shared" si="11"/>
        <v>-1.157280106453767</v>
      </c>
      <c r="F86" s="34">
        <v>2747.18</v>
      </c>
      <c r="G86" s="3">
        <f t="shared" si="12"/>
        <v>-0.39159094699744434</v>
      </c>
      <c r="H86" s="3">
        <f t="shared" si="13"/>
        <v>-0.41114650255299989</v>
      </c>
      <c r="I86" s="3">
        <f t="shared" si="14"/>
        <v>1.3392972447936422</v>
      </c>
      <c r="J86" s="3">
        <f t="shared" si="15"/>
        <v>0.16904144656156395</v>
      </c>
      <c r="K86" s="3">
        <f t="shared" si="16"/>
        <v>0.47581166824262972</v>
      </c>
      <c r="M86" s="8">
        <v>-0.2883691124639598</v>
      </c>
      <c r="N86" s="7">
        <f t="shared" si="17"/>
        <v>-2.883691124639598E-3</v>
      </c>
      <c r="V86" s="7">
        <v>-2.883691124639598E-3</v>
      </c>
      <c r="AD86" s="8">
        <v>-0.2883691124639598</v>
      </c>
      <c r="AE86" s="8">
        <f t="shared" si="18"/>
        <v>-0.2883691124639598</v>
      </c>
      <c r="AF86" s="8">
        <v>-1.8820861678004452</v>
      </c>
      <c r="AG86" s="7">
        <f t="shared" si="19"/>
        <v>-1.8820861678004452E-2</v>
      </c>
    </row>
    <row r="87" spans="1:33" x14ac:dyDescent="0.35">
      <c r="A87" s="9">
        <v>43739</v>
      </c>
      <c r="B87" s="10">
        <f>Расчеты!G100/360</f>
        <v>1.961111111111111E-2</v>
      </c>
      <c r="C87" s="11">
        <v>670.6</v>
      </c>
      <c r="D87" s="3">
        <f t="shared" si="10"/>
        <v>1.5445184736523343</v>
      </c>
      <c r="E87" s="3">
        <f t="shared" si="11"/>
        <v>1.5249073625412233</v>
      </c>
      <c r="F87" s="34">
        <v>2758.83</v>
      </c>
      <c r="G87" s="3">
        <f t="shared" si="12"/>
        <v>0.42407122940615327</v>
      </c>
      <c r="H87" s="3">
        <f t="shared" si="13"/>
        <v>0.40446011829504214</v>
      </c>
      <c r="I87" s="3">
        <f t="shared" si="14"/>
        <v>2.3253424643324299</v>
      </c>
      <c r="J87" s="3">
        <f t="shared" si="15"/>
        <v>0.16358798729123947</v>
      </c>
      <c r="K87" s="3">
        <f t="shared" si="16"/>
        <v>0.61676421224240385</v>
      </c>
      <c r="M87" s="8">
        <v>-0.28743891922966558</v>
      </c>
      <c r="N87" s="7">
        <f t="shared" si="17"/>
        <v>-2.8743891922966558E-3</v>
      </c>
      <c r="V87" s="7">
        <v>-2.8743891922966558E-3</v>
      </c>
      <c r="AD87" s="8">
        <v>-0.28743891922966558</v>
      </c>
      <c r="AE87" s="8">
        <f t="shared" si="18"/>
        <v>-0.28743891922966558</v>
      </c>
      <c r="AF87" s="8">
        <v>-1.8637602179836454</v>
      </c>
      <c r="AG87" s="7">
        <f t="shared" si="19"/>
        <v>-1.8637602179836454E-2</v>
      </c>
    </row>
    <row r="88" spans="1:33" x14ac:dyDescent="0.35">
      <c r="A88" s="9">
        <v>43740</v>
      </c>
      <c r="B88" s="10">
        <f>Расчеты!G101/360</f>
        <v>1.9722222222222221E-2</v>
      </c>
      <c r="C88" s="11">
        <v>677.6</v>
      </c>
      <c r="D88" s="3">
        <f t="shared" si="10"/>
        <v>1.0438413361169019</v>
      </c>
      <c r="E88" s="3">
        <f t="shared" si="11"/>
        <v>1.0241191138946797</v>
      </c>
      <c r="F88" s="34">
        <v>2719.39</v>
      </c>
      <c r="G88" s="3">
        <f t="shared" si="12"/>
        <v>-1.4295915297426798</v>
      </c>
      <c r="H88" s="3">
        <f t="shared" si="13"/>
        <v>-1.449313751964902</v>
      </c>
      <c r="I88" s="3">
        <f t="shared" si="14"/>
        <v>1.0488199594444239</v>
      </c>
      <c r="J88" s="3">
        <f t="shared" si="15"/>
        <v>2.1005103516345813</v>
      </c>
      <c r="K88" s="3">
        <f t="shared" si="16"/>
        <v>-1.4842699154176691</v>
      </c>
      <c r="M88" s="8">
        <v>-0.27855153203343308</v>
      </c>
      <c r="N88" s="7">
        <f t="shared" si="17"/>
        <v>-2.7855153203343308E-3</v>
      </c>
      <c r="V88" s="7">
        <v>-2.7855153203343308E-3</v>
      </c>
      <c r="AD88" s="8">
        <v>-0.27855153203343308</v>
      </c>
      <c r="AE88" s="8">
        <f t="shared" si="18"/>
        <v>-0.27855153203343308</v>
      </c>
      <c r="AF88" s="8">
        <v>-1.8612521150592087</v>
      </c>
      <c r="AG88" s="7">
        <f t="shared" si="19"/>
        <v>-1.8612521150592087E-2</v>
      </c>
    </row>
    <row r="89" spans="1:33" x14ac:dyDescent="0.35">
      <c r="A89" s="9">
        <v>43741</v>
      </c>
      <c r="B89" s="10">
        <f>Расчеты!G102/360</f>
        <v>1.9722222222222221E-2</v>
      </c>
      <c r="C89" s="11">
        <v>680.2</v>
      </c>
      <c r="D89" s="3">
        <f t="shared" si="10"/>
        <v>0.38370720188902752</v>
      </c>
      <c r="E89" s="3">
        <f t="shared" si="11"/>
        <v>0.36398497966680532</v>
      </c>
      <c r="F89" s="34">
        <v>2707.47</v>
      </c>
      <c r="G89" s="3">
        <f t="shared" si="12"/>
        <v>-0.4383335968728308</v>
      </c>
      <c r="H89" s="3">
        <f t="shared" si="13"/>
        <v>-0.458055819095053</v>
      </c>
      <c r="I89" s="3">
        <f t="shared" si="14"/>
        <v>0.1324850654230447</v>
      </c>
      <c r="J89" s="3">
        <f t="shared" si="15"/>
        <v>0.20981513340683991</v>
      </c>
      <c r="K89" s="3">
        <f t="shared" si="16"/>
        <v>-0.16672543799957473</v>
      </c>
      <c r="M89" s="8">
        <v>-0.27842227378189754</v>
      </c>
      <c r="N89" s="7">
        <f t="shared" si="17"/>
        <v>-2.7842227378189754E-3</v>
      </c>
      <c r="V89" s="7">
        <v>-2.7842227378189754E-3</v>
      </c>
      <c r="AD89" s="8">
        <v>-0.27842227378189754</v>
      </c>
      <c r="AE89" s="8">
        <f t="shared" si="18"/>
        <v>-0.27842227378189754</v>
      </c>
      <c r="AF89" s="8">
        <v>-1.8609022556390964</v>
      </c>
      <c r="AG89" s="7">
        <f t="shared" si="19"/>
        <v>-1.8609022556390964E-2</v>
      </c>
    </row>
    <row r="90" spans="1:33" x14ac:dyDescent="0.35">
      <c r="A90" s="9">
        <v>43742</v>
      </c>
      <c r="B90" s="10">
        <f>Расчеты!G103/360</f>
        <v>1.9666666666666666E-2</v>
      </c>
      <c r="C90" s="11">
        <v>673.8</v>
      </c>
      <c r="D90" s="3">
        <f t="shared" si="10"/>
        <v>-0.94089973537195837</v>
      </c>
      <c r="E90" s="3">
        <f t="shared" si="11"/>
        <v>-0.96056640203862509</v>
      </c>
      <c r="F90" s="34">
        <v>2692.55</v>
      </c>
      <c r="G90" s="3">
        <f t="shared" si="12"/>
        <v>-0.5510679712055766</v>
      </c>
      <c r="H90" s="3">
        <f t="shared" si="13"/>
        <v>-0.57073463787224332</v>
      </c>
      <c r="I90" s="3">
        <f t="shared" si="14"/>
        <v>0.92268781272542955</v>
      </c>
      <c r="J90" s="3">
        <f t="shared" si="15"/>
        <v>0.32573802686716075</v>
      </c>
      <c r="K90" s="3">
        <f t="shared" si="16"/>
        <v>0.54822851761975833</v>
      </c>
      <c r="M90" s="8">
        <v>-0.27649769585252892</v>
      </c>
      <c r="N90" s="7">
        <f t="shared" si="17"/>
        <v>-2.7649769585252892E-3</v>
      </c>
      <c r="V90" s="7">
        <v>-2.7649769585252892E-3</v>
      </c>
      <c r="AD90" s="8">
        <v>-0.27649769585252892</v>
      </c>
      <c r="AE90" s="8">
        <f t="shared" si="18"/>
        <v>-0.27649769585252892</v>
      </c>
      <c r="AF90" s="8">
        <v>-1.8258426966292096</v>
      </c>
      <c r="AG90" s="7">
        <f t="shared" si="19"/>
        <v>-1.8258426966292096E-2</v>
      </c>
    </row>
    <row r="91" spans="1:33" x14ac:dyDescent="0.35">
      <c r="A91" s="9">
        <v>43745</v>
      </c>
      <c r="B91" s="10">
        <f>Расчеты!G104/360</f>
        <v>1.9833333333333331E-2</v>
      </c>
      <c r="C91" s="11">
        <v>672.2</v>
      </c>
      <c r="D91" s="3">
        <f t="shared" si="10"/>
        <v>-0.23745918670227129</v>
      </c>
      <c r="E91" s="3">
        <f t="shared" si="11"/>
        <v>-0.2572925200356046</v>
      </c>
      <c r="F91" s="34">
        <v>2719.22</v>
      </c>
      <c r="G91" s="3">
        <f t="shared" si="12"/>
        <v>0.99051085402312999</v>
      </c>
      <c r="H91" s="3">
        <f t="shared" si="13"/>
        <v>0.97067752068979662</v>
      </c>
      <c r="I91" s="3">
        <f t="shared" si="14"/>
        <v>6.6199440866271997E-2</v>
      </c>
      <c r="J91" s="3">
        <f t="shared" si="15"/>
        <v>0.94221484917249054</v>
      </c>
      <c r="K91" s="3">
        <f t="shared" si="16"/>
        <v>-0.24974806544019049</v>
      </c>
      <c r="M91" s="8">
        <v>-0.2669039145907437</v>
      </c>
      <c r="N91" s="7">
        <f t="shared" si="17"/>
        <v>-2.669039145907437E-3</v>
      </c>
      <c r="V91" s="7">
        <v>-2.669039145907437E-3</v>
      </c>
      <c r="AD91" s="8">
        <v>-0.2669039145907437</v>
      </c>
      <c r="AE91" s="8">
        <f t="shared" si="18"/>
        <v>-0.2669039145907437</v>
      </c>
      <c r="AF91" s="8">
        <v>-1.807307242231182</v>
      </c>
      <c r="AG91" s="7">
        <f t="shared" si="19"/>
        <v>-1.807307242231182E-2</v>
      </c>
    </row>
    <row r="92" spans="1:33" x14ac:dyDescent="0.35">
      <c r="A92" s="9">
        <v>43746</v>
      </c>
      <c r="B92" s="10">
        <f>Расчеты!G105/360</f>
        <v>1.9944444444444445E-2</v>
      </c>
      <c r="C92" s="11">
        <v>679.4</v>
      </c>
      <c r="D92" s="3">
        <f t="shared" si="10"/>
        <v>1.0711097887533327</v>
      </c>
      <c r="E92" s="3">
        <f t="shared" si="11"/>
        <v>1.0511653443088882</v>
      </c>
      <c r="F92" s="34">
        <v>2707.89</v>
      </c>
      <c r="G92" s="3">
        <f t="shared" si="12"/>
        <v>-0.41666360206235042</v>
      </c>
      <c r="H92" s="3">
        <f t="shared" si="13"/>
        <v>-0.43660804650679486</v>
      </c>
      <c r="I92" s="3">
        <f t="shared" si="14"/>
        <v>1.1049485810760236</v>
      </c>
      <c r="J92" s="3">
        <f t="shared" si="15"/>
        <v>0.19062658627447954</v>
      </c>
      <c r="K92" s="3">
        <f t="shared" si="16"/>
        <v>-0.45894724753434607</v>
      </c>
      <c r="M92" s="8">
        <v>-0.26478375992938785</v>
      </c>
      <c r="N92" s="7">
        <f t="shared" si="17"/>
        <v>-2.6478375992938785E-3</v>
      </c>
      <c r="V92" s="7">
        <v>-2.6478375992938785E-3</v>
      </c>
      <c r="AD92" s="8">
        <v>-0.26478375992938785</v>
      </c>
      <c r="AE92" s="8">
        <f t="shared" si="18"/>
        <v>-0.26478375992938785</v>
      </c>
      <c r="AF92" s="8">
        <v>-1.8062397372742289</v>
      </c>
      <c r="AG92" s="7">
        <f t="shared" si="19"/>
        <v>-1.8062397372742289E-2</v>
      </c>
    </row>
    <row r="93" spans="1:33" x14ac:dyDescent="0.35">
      <c r="A93" s="9">
        <v>43747</v>
      </c>
      <c r="B93" s="10">
        <f>Расчеты!G106/360</f>
        <v>1.988888888888889E-2</v>
      </c>
      <c r="C93" s="11">
        <v>676.4</v>
      </c>
      <c r="D93" s="3">
        <f t="shared" si="10"/>
        <v>-0.44156608772446537</v>
      </c>
      <c r="E93" s="3">
        <f t="shared" si="11"/>
        <v>-0.46145497661335427</v>
      </c>
      <c r="F93" s="34">
        <v>2713.02</v>
      </c>
      <c r="G93" s="3">
        <f t="shared" si="12"/>
        <v>0.18944639553306608</v>
      </c>
      <c r="H93" s="3">
        <f t="shared" si="13"/>
        <v>0.16955750664417718</v>
      </c>
      <c r="I93" s="3">
        <f t="shared" si="14"/>
        <v>0.21294069544123134</v>
      </c>
      <c r="J93" s="3">
        <f t="shared" si="15"/>
        <v>2.8749748059390189E-2</v>
      </c>
      <c r="K93" s="3">
        <f t="shared" si="16"/>
        <v>-7.8243155263107447E-2</v>
      </c>
      <c r="M93" s="8">
        <v>-0.26377491207502102</v>
      </c>
      <c r="N93" s="7">
        <f t="shared" si="17"/>
        <v>-2.6377491207502102E-3</v>
      </c>
      <c r="V93" s="7">
        <v>-2.6377491207502102E-3</v>
      </c>
      <c r="AD93" s="8">
        <v>-0.26377491207502102</v>
      </c>
      <c r="AE93" s="8">
        <f t="shared" si="18"/>
        <v>-0.26377491207502102</v>
      </c>
      <c r="AF93" s="8">
        <v>-1.7970401691331794</v>
      </c>
      <c r="AG93" s="7">
        <f t="shared" si="19"/>
        <v>-1.7970401691331794E-2</v>
      </c>
    </row>
    <row r="94" spans="1:33" x14ac:dyDescent="0.35">
      <c r="A94" s="9">
        <v>43748</v>
      </c>
      <c r="B94" s="10">
        <f>Расчеты!G107/360</f>
        <v>1.9805555555555555E-2</v>
      </c>
      <c r="C94" s="11">
        <v>666.2</v>
      </c>
      <c r="D94" s="3">
        <f t="shared" si="10"/>
        <v>-1.5079834417504379</v>
      </c>
      <c r="E94" s="3">
        <f t="shared" si="11"/>
        <v>-1.5277889973059935</v>
      </c>
      <c r="F94" s="34">
        <v>2721.51</v>
      </c>
      <c r="G94" s="3">
        <f t="shared" si="12"/>
        <v>0.31293540040251422</v>
      </c>
      <c r="H94" s="3">
        <f t="shared" si="13"/>
        <v>0.29312984484695864</v>
      </c>
      <c r="I94" s="3">
        <f t="shared" si="14"/>
        <v>2.334139220289253</v>
      </c>
      <c r="J94" s="3">
        <f t="shared" si="15"/>
        <v>8.592510594000205E-2</v>
      </c>
      <c r="K94" s="3">
        <f t="shared" si="16"/>
        <v>-0.4478405517391964</v>
      </c>
      <c r="M94" s="8">
        <v>-0.25815536259095051</v>
      </c>
      <c r="N94" s="7">
        <f t="shared" si="17"/>
        <v>-2.5815536259095051E-3</v>
      </c>
      <c r="V94" s="7">
        <v>-2.5815536259095051E-3</v>
      </c>
      <c r="AD94" s="8">
        <v>-0.25815536259095051</v>
      </c>
      <c r="AE94" s="8">
        <f t="shared" si="18"/>
        <v>-0.25815536259095051</v>
      </c>
      <c r="AF94" s="8">
        <v>-1.7966744782948352</v>
      </c>
      <c r="AG94" s="7">
        <f t="shared" si="19"/>
        <v>-1.7966744782948352E-2</v>
      </c>
    </row>
    <row r="95" spans="1:33" x14ac:dyDescent="0.35">
      <c r="A95" s="9">
        <v>43749</v>
      </c>
      <c r="B95" s="10">
        <f>Расчеты!G108/360</f>
        <v>1.977777777777778E-2</v>
      </c>
      <c r="C95" s="11">
        <v>656.2</v>
      </c>
      <c r="D95" s="3">
        <f t="shared" si="10"/>
        <v>-1.5010507355148639</v>
      </c>
      <c r="E95" s="3">
        <f t="shared" si="11"/>
        <v>-1.5208285132926416</v>
      </c>
      <c r="F95" s="34">
        <v>2708.07</v>
      </c>
      <c r="G95" s="3">
        <f t="shared" si="12"/>
        <v>-0.49384349129710792</v>
      </c>
      <c r="H95" s="3">
        <f t="shared" si="13"/>
        <v>-0.5136212690748857</v>
      </c>
      <c r="I95" s="3">
        <f t="shared" si="14"/>
        <v>2.3129193668439063</v>
      </c>
      <c r="J95" s="3">
        <f t="shared" si="15"/>
        <v>0.26380680804609613</v>
      </c>
      <c r="K95" s="3">
        <f t="shared" si="16"/>
        <v>0.7811298710426382</v>
      </c>
      <c r="M95" s="8">
        <v>-0.2563280999679618</v>
      </c>
      <c r="N95" s="7">
        <f t="shared" si="17"/>
        <v>-2.563280999679618E-3</v>
      </c>
      <c r="V95" s="7">
        <v>-2.563280999679618E-3</v>
      </c>
      <c r="AD95" s="8">
        <v>-0.2563280999679618</v>
      </c>
      <c r="AE95" s="8">
        <f t="shared" si="18"/>
        <v>-0.2563280999679618</v>
      </c>
      <c r="AF95" s="8">
        <v>-1.7931444422429221</v>
      </c>
      <c r="AG95" s="7">
        <f t="shared" si="19"/>
        <v>-1.7931444422429221E-2</v>
      </c>
    </row>
    <row r="96" spans="1:33" x14ac:dyDescent="0.35">
      <c r="A96" s="9">
        <v>43752</v>
      </c>
      <c r="B96" s="10">
        <f>Расчеты!G109/360</f>
        <v>1.977777777777778E-2</v>
      </c>
      <c r="C96" s="11">
        <v>663</v>
      </c>
      <c r="D96" s="3">
        <f t="shared" si="10"/>
        <v>1.0362694300518172</v>
      </c>
      <c r="E96" s="3">
        <f t="shared" si="11"/>
        <v>1.0164916522740395</v>
      </c>
      <c r="F96" s="34">
        <v>2697.46</v>
      </c>
      <c r="G96" s="3">
        <f t="shared" si="12"/>
        <v>-0.39179194038558851</v>
      </c>
      <c r="H96" s="3">
        <f t="shared" si="13"/>
        <v>-0.41156971816336629</v>
      </c>
      <c r="I96" s="3">
        <f t="shared" si="14"/>
        <v>1.0332552791428069</v>
      </c>
      <c r="J96" s="3">
        <f t="shared" si="15"/>
        <v>0.16938963290907277</v>
      </c>
      <c r="K96" s="3">
        <f t="shared" si="16"/>
        <v>-0.41835718284184098</v>
      </c>
      <c r="M96" s="8">
        <v>-0.25533890436397755</v>
      </c>
      <c r="N96" s="7">
        <f t="shared" si="17"/>
        <v>-2.5533890436397755E-3</v>
      </c>
      <c r="V96" s="7">
        <v>-2.5533890436397755E-3</v>
      </c>
      <c r="AD96" s="8">
        <v>-0.25533890436397755</v>
      </c>
      <c r="AE96" s="8">
        <f t="shared" si="18"/>
        <v>-0.25533890436397755</v>
      </c>
      <c r="AF96" s="8">
        <v>-1.7885659533695364</v>
      </c>
      <c r="AG96" s="7">
        <f t="shared" si="19"/>
        <v>-1.7885659533695364E-2</v>
      </c>
    </row>
    <row r="97" spans="1:33" x14ac:dyDescent="0.35">
      <c r="A97" s="9">
        <v>43753</v>
      </c>
      <c r="B97" s="10">
        <f>Расчеты!G110/360</f>
        <v>1.9805555555555555E-2</v>
      </c>
      <c r="C97" s="11">
        <v>658.8</v>
      </c>
      <c r="D97" s="3">
        <f t="shared" si="10"/>
        <v>-0.63348416289593645</v>
      </c>
      <c r="E97" s="3">
        <f t="shared" si="11"/>
        <v>-0.65328971845149197</v>
      </c>
      <c r="F97" s="34">
        <v>2715.26</v>
      </c>
      <c r="G97" s="3">
        <f t="shared" si="12"/>
        <v>0.65988003529247052</v>
      </c>
      <c r="H97" s="3">
        <f t="shared" si="13"/>
        <v>0.640074479736915</v>
      </c>
      <c r="I97" s="3">
        <f t="shared" si="14"/>
        <v>0.42678745623442965</v>
      </c>
      <c r="J97" s="3">
        <f t="shared" si="15"/>
        <v>0.40969533961048243</v>
      </c>
      <c r="K97" s="3">
        <f t="shared" si="16"/>
        <v>-0.4181540766553144</v>
      </c>
      <c r="M97" s="8">
        <v>-0.24434941967010904</v>
      </c>
      <c r="N97" s="7">
        <f t="shared" si="17"/>
        <v>-2.4434941967010904E-3</v>
      </c>
      <c r="V97" s="7">
        <v>-2.4434941967010904E-3</v>
      </c>
      <c r="AD97" s="8">
        <v>-0.24434941967010904</v>
      </c>
      <c r="AE97" s="8">
        <f t="shared" si="18"/>
        <v>-0.24434941967010904</v>
      </c>
      <c r="AF97" s="8">
        <v>-1.7717269675494141</v>
      </c>
      <c r="AG97" s="7">
        <f t="shared" si="19"/>
        <v>-1.7717269675494141E-2</v>
      </c>
    </row>
    <row r="98" spans="1:33" x14ac:dyDescent="0.35">
      <c r="A98" s="9">
        <v>43754</v>
      </c>
      <c r="B98" s="10">
        <f>Расчеты!G111/360</f>
        <v>1.977777777777778E-2</v>
      </c>
      <c r="C98" s="11">
        <v>660.2</v>
      </c>
      <c r="D98" s="3">
        <f t="shared" si="10"/>
        <v>0.21250758955677629</v>
      </c>
      <c r="E98" s="3">
        <f t="shared" si="11"/>
        <v>0.19272981177899851</v>
      </c>
      <c r="F98" s="34">
        <v>2744.35</v>
      </c>
      <c r="G98" s="3">
        <f t="shared" si="12"/>
        <v>1.0713522830226196</v>
      </c>
      <c r="H98" s="3">
        <f t="shared" si="13"/>
        <v>1.051574505244842</v>
      </c>
      <c r="I98" s="3">
        <f t="shared" si="14"/>
        <v>3.7144780348368191E-2</v>
      </c>
      <c r="J98" s="3">
        <f t="shared" si="15"/>
        <v>1.1058089400809341</v>
      </c>
      <c r="K98" s="3">
        <f t="shared" si="16"/>
        <v>0.20266975646743188</v>
      </c>
      <c r="M98" s="8">
        <v>-0.23745918670227129</v>
      </c>
      <c r="N98" s="7">
        <f t="shared" si="17"/>
        <v>-2.3745918670227129E-3</v>
      </c>
      <c r="V98" s="7">
        <v>-2.3745918670227129E-3</v>
      </c>
      <c r="AD98" s="8">
        <v>-0.23745918670227129</v>
      </c>
      <c r="AE98" s="8">
        <f t="shared" si="18"/>
        <v>-0.23745918670227129</v>
      </c>
      <c r="AF98" s="8">
        <v>-1.7491525423728893</v>
      </c>
      <c r="AG98" s="7">
        <f t="shared" si="19"/>
        <v>-1.7491525423728893E-2</v>
      </c>
    </row>
    <row r="99" spans="1:33" x14ac:dyDescent="0.35">
      <c r="A99" s="9">
        <v>43755</v>
      </c>
      <c r="B99" s="10">
        <f>Расчеты!G112/360</f>
        <v>1.9722222222222221E-2</v>
      </c>
      <c r="C99" s="11">
        <v>662.8</v>
      </c>
      <c r="D99" s="3">
        <f t="shared" si="10"/>
        <v>0.3938200545289261</v>
      </c>
      <c r="E99" s="3">
        <f t="shared" si="11"/>
        <v>0.3740978323067039</v>
      </c>
      <c r="F99" s="34">
        <v>2748.64</v>
      </c>
      <c r="G99" s="3">
        <f t="shared" si="12"/>
        <v>0.15632116894710446</v>
      </c>
      <c r="H99" s="3">
        <f t="shared" si="13"/>
        <v>0.13659894672488224</v>
      </c>
      <c r="I99" s="3">
        <f t="shared" si="14"/>
        <v>0.13994918813657475</v>
      </c>
      <c r="J99" s="3">
        <f t="shared" si="15"/>
        <v>1.8659272246347215E-2</v>
      </c>
      <c r="K99" s="3">
        <f t="shared" si="16"/>
        <v>5.1101369865157377E-2</v>
      </c>
      <c r="M99" s="8">
        <v>-0.20814748736247557</v>
      </c>
      <c r="N99" s="7">
        <f t="shared" si="17"/>
        <v>-2.0814748736247557E-3</v>
      </c>
      <c r="V99" s="7">
        <v>-2.0814748736247557E-3</v>
      </c>
      <c r="AD99" s="8">
        <v>-0.20814748736247557</v>
      </c>
      <c r="AE99" s="8">
        <f t="shared" si="18"/>
        <v>-0.20814748736247557</v>
      </c>
      <c r="AF99" s="8">
        <v>-1.7255434782608825</v>
      </c>
      <c r="AG99" s="7">
        <f t="shared" si="19"/>
        <v>-1.7255434782608825E-2</v>
      </c>
    </row>
    <row r="100" spans="1:33" x14ac:dyDescent="0.35">
      <c r="A100" s="9">
        <v>43756</v>
      </c>
      <c r="B100" s="10">
        <f>Расчеты!G113/360</f>
        <v>1.9722222222222221E-2</v>
      </c>
      <c r="C100" s="11">
        <v>660.4</v>
      </c>
      <c r="D100" s="3">
        <f t="shared" si="10"/>
        <v>-0.36210018105008457</v>
      </c>
      <c r="E100" s="3">
        <f t="shared" si="11"/>
        <v>-0.38182240327230677</v>
      </c>
      <c r="F100" s="34">
        <v>2752.91</v>
      </c>
      <c r="G100" s="3">
        <f t="shared" si="12"/>
        <v>0.15534955468885503</v>
      </c>
      <c r="H100" s="3">
        <f t="shared" si="13"/>
        <v>0.13562733246663281</v>
      </c>
      <c r="I100" s="3">
        <f t="shared" si="14"/>
        <v>0.14578834764064005</v>
      </c>
      <c r="J100" s="3">
        <f t="shared" si="15"/>
        <v>1.8394773312014549E-2</v>
      </c>
      <c r="K100" s="3">
        <f t="shared" si="16"/>
        <v>-5.1785554031821897E-2</v>
      </c>
      <c r="M100" s="8">
        <v>-0.20196191575304612</v>
      </c>
      <c r="N100" s="7">
        <f t="shared" si="17"/>
        <v>-2.0196191575304612E-3</v>
      </c>
      <c r="V100" s="7">
        <v>-2.0196191575304612E-3</v>
      </c>
      <c r="AD100" s="8">
        <v>-0.20196191575304612</v>
      </c>
      <c r="AE100" s="8">
        <f t="shared" si="18"/>
        <v>-0.20196191575304612</v>
      </c>
      <c r="AF100" s="8">
        <v>-1.6870811185578982</v>
      </c>
      <c r="AG100" s="7">
        <f t="shared" si="19"/>
        <v>-1.6870811185578982E-2</v>
      </c>
    </row>
    <row r="101" spans="1:33" x14ac:dyDescent="0.35">
      <c r="A101" s="9">
        <v>43759</v>
      </c>
      <c r="B101" s="10">
        <f>Расчеты!G114/360</f>
        <v>1.9666666666666666E-2</v>
      </c>
      <c r="C101" s="11">
        <v>655.4</v>
      </c>
      <c r="D101" s="3">
        <f t="shared" si="10"/>
        <v>-0.75711689884918609</v>
      </c>
      <c r="E101" s="3">
        <f t="shared" si="11"/>
        <v>-0.77678356551585281</v>
      </c>
      <c r="F101" s="34">
        <v>2761.15</v>
      </c>
      <c r="G101" s="3">
        <f t="shared" si="12"/>
        <v>0.29931962904707898</v>
      </c>
      <c r="H101" s="3">
        <f t="shared" si="13"/>
        <v>0.27965296238041232</v>
      </c>
      <c r="I101" s="3">
        <f t="shared" si="14"/>
        <v>0.60339270765552122</v>
      </c>
      <c r="J101" s="3">
        <f t="shared" si="15"/>
        <v>7.8205779368140313E-2</v>
      </c>
      <c r="K101" s="3">
        <f t="shared" si="16"/>
        <v>-0.21722982522492734</v>
      </c>
      <c r="M101" s="8">
        <v>-0.19274012206874636</v>
      </c>
      <c r="N101" s="7">
        <f t="shared" si="17"/>
        <v>-1.9274012206874636E-3</v>
      </c>
      <c r="V101" s="7">
        <v>-1.9274012206874636E-3</v>
      </c>
      <c r="AD101" s="8">
        <v>-0.19274012206874636</v>
      </c>
      <c r="AE101" s="8">
        <f t="shared" si="18"/>
        <v>-0.19274012206874636</v>
      </c>
      <c r="AF101" s="8">
        <v>-1.6807909604519722</v>
      </c>
      <c r="AG101" s="7">
        <f t="shared" si="19"/>
        <v>-1.6807909604519722E-2</v>
      </c>
    </row>
    <row r="102" spans="1:33" x14ac:dyDescent="0.35">
      <c r="A102" s="9">
        <v>43760</v>
      </c>
      <c r="B102" s="10">
        <f>Расчеты!G115/360</f>
        <v>1.9472222222222221E-2</v>
      </c>
      <c r="C102" s="11">
        <v>653.4</v>
      </c>
      <c r="D102" s="3">
        <f t="shared" si="10"/>
        <v>-0.30515715593530945</v>
      </c>
      <c r="E102" s="3">
        <f t="shared" si="11"/>
        <v>-0.32462937815753168</v>
      </c>
      <c r="F102" s="34">
        <v>2802.23</v>
      </c>
      <c r="G102" s="3">
        <f t="shared" si="12"/>
        <v>1.4877858863154847</v>
      </c>
      <c r="H102" s="3">
        <f t="shared" si="13"/>
        <v>1.4683136640932626</v>
      </c>
      <c r="I102" s="3">
        <f t="shared" si="14"/>
        <v>0.10538423316294571</v>
      </c>
      <c r="J102" s="3">
        <f t="shared" si="15"/>
        <v>2.1559450161629825</v>
      </c>
      <c r="K102" s="3">
        <f t="shared" si="16"/>
        <v>-0.47665775171480268</v>
      </c>
      <c r="M102" s="8">
        <v>-0.19047619047619646</v>
      </c>
      <c r="N102" s="7">
        <f t="shared" si="17"/>
        <v>-1.9047619047619646E-3</v>
      </c>
      <c r="V102" s="7">
        <v>-1.9047619047619646E-3</v>
      </c>
      <c r="AD102" s="8">
        <v>-0.19047619047619646</v>
      </c>
      <c r="AE102" s="8">
        <f t="shared" si="18"/>
        <v>-0.19047619047619646</v>
      </c>
      <c r="AF102" s="8">
        <v>-1.6382910375843274</v>
      </c>
      <c r="AG102" s="7">
        <f t="shared" si="19"/>
        <v>-1.6382910375843274E-2</v>
      </c>
    </row>
    <row r="103" spans="1:33" x14ac:dyDescent="0.35">
      <c r="A103" s="9">
        <v>43761</v>
      </c>
      <c r="B103" s="10">
        <f>Расчеты!G116/360</f>
        <v>1.925E-2</v>
      </c>
      <c r="C103" s="11">
        <v>660</v>
      </c>
      <c r="D103" s="3">
        <f t="shared" si="10"/>
        <v>1.0101010101010166</v>
      </c>
      <c r="E103" s="3">
        <f t="shared" si="11"/>
        <v>0.99085101010101662</v>
      </c>
      <c r="F103" s="34">
        <v>2821.58</v>
      </c>
      <c r="G103" s="3">
        <f t="shared" si="12"/>
        <v>0.69052147753752013</v>
      </c>
      <c r="H103" s="3">
        <f t="shared" si="13"/>
        <v>0.67127147753752014</v>
      </c>
      <c r="I103" s="3">
        <f t="shared" si="14"/>
        <v>0.98178572421820498</v>
      </c>
      <c r="J103" s="3">
        <f t="shared" si="15"/>
        <v>0.45060539655540544</v>
      </c>
      <c r="K103" s="3">
        <f t="shared" si="16"/>
        <v>0.66513002157005374</v>
      </c>
      <c r="M103" s="8">
        <v>-0.17751479289941363</v>
      </c>
      <c r="N103" s="7">
        <f t="shared" si="17"/>
        <v>-1.7751479289941363E-3</v>
      </c>
      <c r="V103" s="7">
        <v>-1.7751479289941363E-3</v>
      </c>
      <c r="AD103" s="8">
        <v>-0.17751479289941363</v>
      </c>
      <c r="AE103" s="8">
        <f t="shared" si="18"/>
        <v>-0.17751479289941363</v>
      </c>
      <c r="AF103" s="8">
        <v>-1.6219319649777519</v>
      </c>
      <c r="AG103" s="7">
        <f t="shared" si="19"/>
        <v>-1.6219319649777519E-2</v>
      </c>
    </row>
    <row r="104" spans="1:33" x14ac:dyDescent="0.35">
      <c r="A104" s="9">
        <v>43762</v>
      </c>
      <c r="B104" s="10">
        <f>Расчеты!G117/360</f>
        <v>1.9277777777777779E-2</v>
      </c>
      <c r="C104" s="11">
        <v>664.2</v>
      </c>
      <c r="D104" s="3">
        <f t="shared" si="10"/>
        <v>0.63636363636363491</v>
      </c>
      <c r="E104" s="3">
        <f t="shared" si="11"/>
        <v>0.61708585858585718</v>
      </c>
      <c r="F104" s="34">
        <v>2877.05</v>
      </c>
      <c r="G104" s="3">
        <f t="shared" si="12"/>
        <v>1.9659198037978776</v>
      </c>
      <c r="H104" s="3">
        <f t="shared" si="13"/>
        <v>1.9466420260200998</v>
      </c>
      <c r="I104" s="3">
        <f t="shared" si="14"/>
        <v>0.38079495686664455</v>
      </c>
      <c r="J104" s="3">
        <f t="shared" si="15"/>
        <v>3.7894151774676392</v>
      </c>
      <c r="K104" s="3">
        <f t="shared" si="16"/>
        <v>1.2012452659859258</v>
      </c>
      <c r="M104" s="8">
        <v>-0.16778523489933139</v>
      </c>
      <c r="N104" s="7">
        <f t="shared" si="17"/>
        <v>-1.6778523489933139E-3</v>
      </c>
      <c r="V104" s="7">
        <v>-1.6778523489933139E-3</v>
      </c>
      <c r="AD104" s="8">
        <v>-0.16778523489933139</v>
      </c>
      <c r="AE104" s="8">
        <f t="shared" si="18"/>
        <v>-0.16778523489933139</v>
      </c>
      <c r="AF104" s="8">
        <v>-1.620924663842338</v>
      </c>
      <c r="AG104" s="7">
        <f t="shared" si="19"/>
        <v>-1.620924663842338E-2</v>
      </c>
    </row>
    <row r="105" spans="1:33" x14ac:dyDescent="0.35">
      <c r="A105" s="9">
        <v>43763</v>
      </c>
      <c r="B105" s="10">
        <f>Расчеты!G118/360</f>
        <v>1.9527777777777779E-2</v>
      </c>
      <c r="C105" s="11">
        <v>664.4</v>
      </c>
      <c r="D105" s="3">
        <f t="shared" si="10"/>
        <v>3.0111412225219958E-2</v>
      </c>
      <c r="E105" s="3">
        <f t="shared" si="11"/>
        <v>1.0583634447442179E-2</v>
      </c>
      <c r="F105" s="34">
        <v>2873.41</v>
      </c>
      <c r="G105" s="3">
        <f t="shared" si="12"/>
        <v>-0.12651848247338116</v>
      </c>
      <c r="H105" s="3">
        <f t="shared" si="13"/>
        <v>-0.14604626025115894</v>
      </c>
      <c r="I105" s="3">
        <f t="shared" si="14"/>
        <v>1.120133181170847E-4</v>
      </c>
      <c r="J105" s="3">
        <f t="shared" si="15"/>
        <v>2.1329510133349248E-2</v>
      </c>
      <c r="K105" s="3">
        <f t="shared" si="16"/>
        <v>-1.5457002309142711E-3</v>
      </c>
      <c r="M105" s="8">
        <v>-0.16260162601625661</v>
      </c>
      <c r="N105" s="7">
        <f t="shared" si="17"/>
        <v>-1.6260162601625661E-3</v>
      </c>
      <c r="V105" s="7">
        <v>-1.6260162601625661E-3</v>
      </c>
      <c r="AD105" s="8">
        <v>-0.16260162601625661</v>
      </c>
      <c r="AE105" s="8">
        <f t="shared" si="18"/>
        <v>-0.16260162601625661</v>
      </c>
      <c r="AF105" s="8">
        <v>-1.6148148148148245</v>
      </c>
      <c r="AG105" s="7">
        <f t="shared" si="19"/>
        <v>-1.6148148148148245E-2</v>
      </c>
    </row>
    <row r="106" spans="1:33" x14ac:dyDescent="0.35">
      <c r="A106" s="9">
        <v>43766</v>
      </c>
      <c r="B106" s="10">
        <f>Расчеты!G119/360</f>
        <v>1.8805555555555555E-2</v>
      </c>
      <c r="C106" s="11">
        <v>661.8</v>
      </c>
      <c r="D106" s="3">
        <f t="shared" si="10"/>
        <v>-0.39133052378085287</v>
      </c>
      <c r="E106" s="3">
        <f t="shared" si="11"/>
        <v>-0.41013607933640844</v>
      </c>
      <c r="F106" s="34">
        <v>2856.91</v>
      </c>
      <c r="G106" s="3">
        <f t="shared" si="12"/>
        <v>-0.57423061797654551</v>
      </c>
      <c r="H106" s="3">
        <f t="shared" si="13"/>
        <v>-0.59303617353210103</v>
      </c>
      <c r="I106" s="3">
        <f t="shared" si="14"/>
        <v>0.16821160357344073</v>
      </c>
      <c r="J106" s="3">
        <f t="shared" si="15"/>
        <v>0.35169190311759624</v>
      </c>
      <c r="K106" s="3">
        <f t="shared" si="16"/>
        <v>0.24322553111712186</v>
      </c>
      <c r="M106" s="8">
        <v>-0.15503875968991832</v>
      </c>
      <c r="N106" s="7">
        <f t="shared" si="17"/>
        <v>-1.5503875968991832E-3</v>
      </c>
      <c r="V106" s="7">
        <v>-1.5503875968991832E-3</v>
      </c>
      <c r="AD106" s="8">
        <v>-0.15503875968991832</v>
      </c>
      <c r="AE106" s="8">
        <f t="shared" si="18"/>
        <v>-0.15503875968991832</v>
      </c>
      <c r="AF106" s="8">
        <v>-1.6058394160584077</v>
      </c>
      <c r="AG106" s="7">
        <f t="shared" si="19"/>
        <v>-1.6058394160584077E-2</v>
      </c>
    </row>
    <row r="107" spans="1:33" x14ac:dyDescent="0.35">
      <c r="A107" s="9">
        <v>43767</v>
      </c>
      <c r="B107" s="10">
        <f>Расчеты!G120/360</f>
        <v>1.8833333333333334E-2</v>
      </c>
      <c r="C107" s="11">
        <v>657</v>
      </c>
      <c r="D107" s="3">
        <f t="shared" si="10"/>
        <v>-0.72529465095194645</v>
      </c>
      <c r="E107" s="3">
        <f t="shared" si="11"/>
        <v>-0.74412798428527982</v>
      </c>
      <c r="F107" s="34">
        <v>2886.48</v>
      </c>
      <c r="G107" s="3">
        <f t="shared" si="12"/>
        <v>1.0350343552999686</v>
      </c>
      <c r="H107" s="3">
        <f t="shared" si="13"/>
        <v>1.0162010219666353</v>
      </c>
      <c r="I107" s="3">
        <f t="shared" si="14"/>
        <v>0.5537264569964736</v>
      </c>
      <c r="J107" s="3">
        <f t="shared" si="15"/>
        <v>1.032664517046034</v>
      </c>
      <c r="K107" s="3">
        <f t="shared" si="16"/>
        <v>-0.75618361810467372</v>
      </c>
      <c r="M107" s="8">
        <v>-0.15408320493066618</v>
      </c>
      <c r="N107" s="7">
        <f t="shared" si="17"/>
        <v>-1.5408320493066618E-3</v>
      </c>
      <c r="V107" s="7">
        <v>-1.5408320493066618E-3</v>
      </c>
      <c r="AD107" s="8">
        <v>-0.15408320493066618</v>
      </c>
      <c r="AE107" s="8">
        <f t="shared" si="18"/>
        <v>-0.15408320493066618</v>
      </c>
      <c r="AF107" s="8">
        <v>-1.6031457955232975</v>
      </c>
      <c r="AG107" s="7">
        <f t="shared" si="19"/>
        <v>-1.6031457955232975E-2</v>
      </c>
    </row>
    <row r="108" spans="1:33" x14ac:dyDescent="0.35">
      <c r="A108" s="9">
        <v>43768</v>
      </c>
      <c r="B108" s="10">
        <f>Расчеты!G121/360</f>
        <v>1.8833333333333334E-2</v>
      </c>
      <c r="C108" s="11">
        <v>661.8</v>
      </c>
      <c r="D108" s="3">
        <f t="shared" si="10"/>
        <v>0.73059360730591827</v>
      </c>
      <c r="E108" s="3">
        <f t="shared" si="11"/>
        <v>0.7117602739725849</v>
      </c>
      <c r="F108" s="34">
        <v>2911.15</v>
      </c>
      <c r="G108" s="3">
        <f t="shared" si="12"/>
        <v>0.85467420526039728</v>
      </c>
      <c r="H108" s="3">
        <f t="shared" si="13"/>
        <v>0.83584087192706391</v>
      </c>
      <c r="I108" s="3">
        <f t="shared" si="14"/>
        <v>0.50660268760552907</v>
      </c>
      <c r="J108" s="3">
        <f t="shared" si="15"/>
        <v>0.69862996318379444</v>
      </c>
      <c r="K108" s="3">
        <f t="shared" si="16"/>
        <v>0.59491832800029121</v>
      </c>
      <c r="M108" s="8">
        <v>-0.12461059190030932</v>
      </c>
      <c r="N108" s="7">
        <f t="shared" si="17"/>
        <v>-1.2461059190030932E-3</v>
      </c>
      <c r="V108" s="7">
        <v>-1.2461059190030932E-3</v>
      </c>
      <c r="AD108" s="8">
        <v>-0.12461059190030932</v>
      </c>
      <c r="AE108" s="8">
        <f t="shared" si="18"/>
        <v>-0.12461059190030932</v>
      </c>
      <c r="AF108" s="8">
        <v>-1.5840477077897819</v>
      </c>
      <c r="AG108" s="7">
        <f t="shared" si="19"/>
        <v>-1.5840477077897819E-2</v>
      </c>
    </row>
    <row r="109" spans="1:33" x14ac:dyDescent="0.35">
      <c r="A109" s="9">
        <v>43769</v>
      </c>
      <c r="B109" s="10">
        <f>Расчеты!G122/360</f>
        <v>1.8722222222222223E-2</v>
      </c>
      <c r="C109" s="11">
        <v>668.2</v>
      </c>
      <c r="D109" s="3">
        <f t="shared" si="10"/>
        <v>0.96705953460261007</v>
      </c>
      <c r="E109" s="3">
        <f t="shared" si="11"/>
        <v>0.94833731238038788</v>
      </c>
      <c r="F109" s="34">
        <v>2893.98</v>
      </c>
      <c r="G109" s="3">
        <f t="shared" si="12"/>
        <v>-0.58980128128059972</v>
      </c>
      <c r="H109" s="3">
        <f t="shared" si="13"/>
        <v>-0.60852350350282192</v>
      </c>
      <c r="I109" s="3">
        <f t="shared" si="14"/>
        <v>0.89934365805285732</v>
      </c>
      <c r="J109" s="3">
        <f t="shared" si="15"/>
        <v>0.37030085431534893</v>
      </c>
      <c r="K109" s="3">
        <f t="shared" si="16"/>
        <v>-0.57708554383216371</v>
      </c>
      <c r="M109" s="8">
        <v>-0.11587485515642815</v>
      </c>
      <c r="N109" s="7">
        <f t="shared" si="17"/>
        <v>-1.1587485515642815E-3</v>
      </c>
      <c r="V109" s="7">
        <v>-1.1587485515642815E-3</v>
      </c>
      <c r="AD109" s="8">
        <v>-0.11587485515642815</v>
      </c>
      <c r="AE109" s="8">
        <f t="shared" si="18"/>
        <v>-0.11587485515642815</v>
      </c>
      <c r="AF109" s="8">
        <v>-1.5263908701854678</v>
      </c>
      <c r="AG109" s="7">
        <f t="shared" si="19"/>
        <v>-1.5263908701854678E-2</v>
      </c>
    </row>
    <row r="110" spans="1:33" x14ac:dyDescent="0.35">
      <c r="A110" s="9">
        <v>43770</v>
      </c>
      <c r="B110" s="10">
        <f>Расчеты!G123/360</f>
        <v>1.8611111111111113E-2</v>
      </c>
      <c r="C110" s="11">
        <v>662.8</v>
      </c>
      <c r="D110" s="3">
        <f t="shared" si="10"/>
        <v>-0.80814127506735334</v>
      </c>
      <c r="E110" s="3">
        <f t="shared" si="11"/>
        <v>-0.82675238617846447</v>
      </c>
      <c r="F110" s="34">
        <v>2930.4</v>
      </c>
      <c r="G110" s="3">
        <f t="shared" si="12"/>
        <v>1.2584744884208021</v>
      </c>
      <c r="H110" s="3">
        <f t="shared" si="13"/>
        <v>1.239863377309691</v>
      </c>
      <c r="I110" s="3">
        <f t="shared" si="14"/>
        <v>0.68351950805178485</v>
      </c>
      <c r="J110" s="3">
        <f t="shared" si="15"/>
        <v>1.5372611943937931</v>
      </c>
      <c r="K110" s="3">
        <f t="shared" si="16"/>
        <v>-1.0250600057260768</v>
      </c>
      <c r="M110" s="8">
        <v>-0.114843525696251</v>
      </c>
      <c r="N110" s="7">
        <f t="shared" si="17"/>
        <v>-1.14843525696251E-3</v>
      </c>
      <c r="V110" s="7">
        <v>-1.14843525696251E-3</v>
      </c>
      <c r="AD110" s="8">
        <v>-0.114843525696251</v>
      </c>
      <c r="AE110" s="8">
        <f t="shared" si="18"/>
        <v>-0.114843525696251</v>
      </c>
      <c r="AF110" s="8">
        <v>-1.5240998285387608</v>
      </c>
      <c r="AG110" s="7">
        <f t="shared" si="19"/>
        <v>-1.5240998285387608E-2</v>
      </c>
    </row>
    <row r="111" spans="1:33" x14ac:dyDescent="0.35">
      <c r="A111" s="9">
        <v>43774</v>
      </c>
      <c r="B111" s="10">
        <f>Расчеты!G124/360</f>
        <v>1.8555555555555554E-2</v>
      </c>
      <c r="C111" s="11">
        <v>654.20000000000005</v>
      </c>
      <c r="D111" s="3">
        <f t="shared" si="10"/>
        <v>-1.2975256487628095</v>
      </c>
      <c r="E111" s="3">
        <f t="shared" si="11"/>
        <v>-1.3160812043183652</v>
      </c>
      <c r="F111" s="34">
        <v>2949.55</v>
      </c>
      <c r="G111" s="3">
        <f t="shared" si="12"/>
        <v>0.65349440349440346</v>
      </c>
      <c r="H111" s="3">
        <f t="shared" si="13"/>
        <v>0.63493884793884792</v>
      </c>
      <c r="I111" s="3">
        <f t="shared" si="14"/>
        <v>1.7320697363600785</v>
      </c>
      <c r="J111" s="3">
        <f t="shared" si="15"/>
        <v>0.40314734062191143</v>
      </c>
      <c r="K111" s="3">
        <f t="shared" si="16"/>
        <v>-0.83563108366387429</v>
      </c>
      <c r="M111" s="8">
        <v>-0.10899182561306953</v>
      </c>
      <c r="N111" s="7">
        <f t="shared" si="17"/>
        <v>-1.0899182561306953E-3</v>
      </c>
      <c r="V111" s="7">
        <v>-1.0899182561306953E-3</v>
      </c>
      <c r="AD111" s="8">
        <v>-0.10899182561306953</v>
      </c>
      <c r="AE111" s="8">
        <f t="shared" si="18"/>
        <v>-0.10899182561306953</v>
      </c>
      <c r="AF111" s="8">
        <v>-1.5236875800256011</v>
      </c>
      <c r="AG111" s="7">
        <f t="shared" si="19"/>
        <v>-1.5236875800256011E-2</v>
      </c>
    </row>
    <row r="112" spans="1:33" x14ac:dyDescent="0.35">
      <c r="A112" s="9">
        <v>43775</v>
      </c>
      <c r="B112" s="10">
        <f>Расчеты!G125/360</f>
        <v>1.8583333333333334E-2</v>
      </c>
      <c r="C112" s="11">
        <v>657.4</v>
      </c>
      <c r="D112" s="3">
        <f t="shared" si="10"/>
        <v>0.48914704983185064</v>
      </c>
      <c r="E112" s="3">
        <f t="shared" si="11"/>
        <v>0.4705637164985173</v>
      </c>
      <c r="F112" s="34">
        <v>2980.84</v>
      </c>
      <c r="G112" s="3">
        <f t="shared" si="12"/>
        <v>1.0608397891203714</v>
      </c>
      <c r="H112" s="3">
        <f t="shared" si="13"/>
        <v>1.042256455787038</v>
      </c>
      <c r="I112" s="3">
        <f t="shared" si="14"/>
        <v>0.22143021128489696</v>
      </c>
      <c r="J112" s="3">
        <f t="shared" si="15"/>
        <v>1.0862985196297579</v>
      </c>
      <c r="K112" s="3">
        <f t="shared" si="16"/>
        <v>0.49044807137972118</v>
      </c>
      <c r="M112" s="8">
        <v>-9.2621179376339846E-2</v>
      </c>
      <c r="N112" s="7">
        <f t="shared" si="17"/>
        <v>-9.2621179376339846E-4</v>
      </c>
      <c r="V112" s="7">
        <v>-9.2621179376339846E-4</v>
      </c>
      <c r="AD112" s="8">
        <v>-9.2621179376339846E-2</v>
      </c>
      <c r="AE112" s="8">
        <f t="shared" si="18"/>
        <v>-9.2621179376339846E-2</v>
      </c>
      <c r="AF112" s="8">
        <v>-1.5027829313543517</v>
      </c>
      <c r="AG112" s="7">
        <f t="shared" si="19"/>
        <v>-1.5027829313543517E-2</v>
      </c>
    </row>
    <row r="113" spans="1:33" x14ac:dyDescent="0.35">
      <c r="A113" s="9">
        <v>43776</v>
      </c>
      <c r="B113" s="10">
        <f>Расчеты!G126/360</f>
        <v>1.8555555555555554E-2</v>
      </c>
      <c r="C113" s="11">
        <v>650.4</v>
      </c>
      <c r="D113" s="3">
        <f t="shared" si="10"/>
        <v>-1.0648007301490736</v>
      </c>
      <c r="E113" s="3">
        <f t="shared" si="11"/>
        <v>-1.0833562857046293</v>
      </c>
      <c r="F113" s="34">
        <v>3008.54</v>
      </c>
      <c r="G113" s="3">
        <f t="shared" si="12"/>
        <v>0.92926825995356399</v>
      </c>
      <c r="H113" s="3">
        <f t="shared" si="13"/>
        <v>0.91071270439800844</v>
      </c>
      <c r="I113" s="3">
        <f t="shared" si="14"/>
        <v>1.1736608417757304</v>
      </c>
      <c r="J113" s="3">
        <f t="shared" si="15"/>
        <v>0.82939762995193433</v>
      </c>
      <c r="K113" s="3">
        <f t="shared" si="16"/>
        <v>-0.98662633278064438</v>
      </c>
      <c r="M113" s="8">
        <v>-9.2535471930910163E-2</v>
      </c>
      <c r="N113" s="7">
        <f t="shared" si="17"/>
        <v>-9.2535471930910163E-4</v>
      </c>
      <c r="V113" s="7">
        <v>-9.2535471930910163E-4</v>
      </c>
      <c r="AD113" s="8">
        <v>-9.2535471930910163E-2</v>
      </c>
      <c r="AE113" s="8">
        <f t="shared" si="18"/>
        <v>-9.2535471930910163E-2</v>
      </c>
      <c r="AF113" s="8">
        <v>-1.4781125639567905</v>
      </c>
      <c r="AG113" s="7">
        <f t="shared" si="19"/>
        <v>-1.4781125639567905E-2</v>
      </c>
    </row>
    <row r="114" spans="1:33" x14ac:dyDescent="0.35">
      <c r="A114" s="9">
        <v>43777</v>
      </c>
      <c r="B114" s="10">
        <f>Расчеты!G127/360</f>
        <v>1.8555555555555554E-2</v>
      </c>
      <c r="C114" s="11">
        <v>646.79999999999995</v>
      </c>
      <c r="D114" s="3">
        <f t="shared" si="10"/>
        <v>-0.55350553505535416</v>
      </c>
      <c r="E114" s="3">
        <f t="shared" si="11"/>
        <v>-0.57206109061090971</v>
      </c>
      <c r="F114" s="34">
        <v>2973.19</v>
      </c>
      <c r="G114" s="3">
        <f t="shared" si="12"/>
        <v>-1.1749885326437393</v>
      </c>
      <c r="H114" s="3">
        <f t="shared" si="13"/>
        <v>-1.1935440881992949</v>
      </c>
      <c r="I114" s="3">
        <f t="shared" si="14"/>
        <v>0.32725389139094346</v>
      </c>
      <c r="J114" s="3">
        <f t="shared" si="15"/>
        <v>1.4245474904754862</v>
      </c>
      <c r="K114" s="3">
        <f t="shared" si="16"/>
        <v>0.6827801327874925</v>
      </c>
      <c r="M114" s="8">
        <v>-8.8678687555432401E-2</v>
      </c>
      <c r="N114" s="7">
        <f t="shared" si="17"/>
        <v>-8.8678687555432401E-4</v>
      </c>
      <c r="V114" s="7">
        <v>-8.8678687555432401E-4</v>
      </c>
      <c r="AD114" s="8">
        <v>-8.8678687555432401E-2</v>
      </c>
      <c r="AE114" s="8">
        <f t="shared" si="18"/>
        <v>-8.8678687555432401E-2</v>
      </c>
      <c r="AF114" s="8">
        <v>-1.441908713692952</v>
      </c>
      <c r="AG114" s="7">
        <f t="shared" si="19"/>
        <v>-1.441908713692952E-2</v>
      </c>
    </row>
    <row r="115" spans="1:33" x14ac:dyDescent="0.35">
      <c r="A115" s="9">
        <v>43780</v>
      </c>
      <c r="B115" s="10">
        <f>Расчеты!G128/360</f>
        <v>1.8555555555555554E-2</v>
      </c>
      <c r="C115" s="11">
        <v>642</v>
      </c>
      <c r="D115" s="3">
        <f t="shared" si="10"/>
        <v>-0.74211502782930427</v>
      </c>
      <c r="E115" s="3">
        <f t="shared" si="11"/>
        <v>-0.76067058338485982</v>
      </c>
      <c r="F115" s="34">
        <v>2961.46</v>
      </c>
      <c r="G115" s="3">
        <f t="shared" si="12"/>
        <v>-0.39452574507515825</v>
      </c>
      <c r="H115" s="3">
        <f t="shared" si="13"/>
        <v>-0.4130813006307138</v>
      </c>
      <c r="I115" s="3">
        <f t="shared" si="14"/>
        <v>0.57861973642706299</v>
      </c>
      <c r="J115" s="3">
        <f t="shared" si="15"/>
        <v>0.17063616093076214</v>
      </c>
      <c r="K115" s="3">
        <f t="shared" si="16"/>
        <v>0.31421879393614172</v>
      </c>
      <c r="M115" s="8">
        <v>-8.5082246171297449E-2</v>
      </c>
      <c r="N115" s="7">
        <f t="shared" si="17"/>
        <v>-8.5082246171297449E-4</v>
      </c>
      <c r="V115" s="7">
        <v>-8.5082246171297449E-4</v>
      </c>
      <c r="AD115" s="8">
        <v>-8.5082246171297449E-2</v>
      </c>
      <c r="AE115" s="8">
        <f t="shared" si="18"/>
        <v>-8.5082246171297449E-2</v>
      </c>
      <c r="AF115" s="8">
        <v>-1.4295439074200056</v>
      </c>
      <c r="AG115" s="7">
        <f t="shared" si="19"/>
        <v>-1.4295439074200056E-2</v>
      </c>
    </row>
    <row r="116" spans="1:33" x14ac:dyDescent="0.35">
      <c r="A116" s="9">
        <v>43781</v>
      </c>
      <c r="B116" s="10">
        <f>Расчеты!G129/360</f>
        <v>1.8527777777777778E-2</v>
      </c>
      <c r="C116" s="11">
        <v>641.20000000000005</v>
      </c>
      <c r="D116" s="3">
        <f t="shared" si="10"/>
        <v>-0.12461059190030932</v>
      </c>
      <c r="E116" s="3">
        <f t="shared" si="11"/>
        <v>-0.1431383696780871</v>
      </c>
      <c r="F116" s="34">
        <v>2951.16</v>
      </c>
      <c r="G116" s="3">
        <f t="shared" si="12"/>
        <v>-0.34780142227145427</v>
      </c>
      <c r="H116" s="3">
        <f t="shared" si="13"/>
        <v>-0.36632920004923203</v>
      </c>
      <c r="I116" s="3">
        <f t="shared" si="14"/>
        <v>2.0488592874100726E-2</v>
      </c>
      <c r="J116" s="3">
        <f t="shared" si="15"/>
        <v>0.13419708280871026</v>
      </c>
      <c r="K116" s="3">
        <f t="shared" si="16"/>
        <v>5.2435764460524899E-2</v>
      </c>
      <c r="M116" s="8">
        <v>-6.1595318755769402E-2</v>
      </c>
      <c r="N116" s="7">
        <f t="shared" si="17"/>
        <v>-6.1595318755769402E-4</v>
      </c>
      <c r="V116" s="7">
        <v>-6.1595318755769402E-4</v>
      </c>
      <c r="AD116" s="8">
        <v>-6.1595318755769402E-2</v>
      </c>
      <c r="AE116" s="8">
        <f t="shared" si="18"/>
        <v>-6.1595318755769402E-2</v>
      </c>
      <c r="AF116" s="8">
        <v>-1.4081790123456672</v>
      </c>
      <c r="AG116" s="7">
        <f t="shared" si="19"/>
        <v>-1.4081790123456672E-2</v>
      </c>
    </row>
    <row r="117" spans="1:33" x14ac:dyDescent="0.35">
      <c r="A117" s="9">
        <v>43782</v>
      </c>
      <c r="B117" s="10">
        <f>Расчеты!G130/360</f>
        <v>1.8416666666666668E-2</v>
      </c>
      <c r="C117" s="11">
        <v>649.4</v>
      </c>
      <c r="D117" s="3">
        <f t="shared" si="10"/>
        <v>1.2788521522145935</v>
      </c>
      <c r="E117" s="3">
        <f t="shared" si="11"/>
        <v>1.2604354855479267</v>
      </c>
      <c r="F117" s="34">
        <v>2933.89</v>
      </c>
      <c r="G117" s="3">
        <f t="shared" si="12"/>
        <v>-0.58519361878041076</v>
      </c>
      <c r="H117" s="3">
        <f t="shared" si="13"/>
        <v>-0.6036102854470774</v>
      </c>
      <c r="I117" s="3">
        <f t="shared" si="14"/>
        <v>1.5886976132284378</v>
      </c>
      <c r="J117" s="3">
        <f t="shared" si="15"/>
        <v>0.36434537669750228</v>
      </c>
      <c r="K117" s="3">
        <f t="shared" si="16"/>
        <v>-0.7608118232192097</v>
      </c>
      <c r="M117" s="8">
        <v>-4.6339202965717252E-2</v>
      </c>
      <c r="N117" s="7">
        <f t="shared" si="17"/>
        <v>-4.6339202965717252E-4</v>
      </c>
      <c r="V117" s="7">
        <v>-4.6339202965717252E-4</v>
      </c>
      <c r="AD117" s="8">
        <v>-4.6339202965717252E-2</v>
      </c>
      <c r="AE117" s="8">
        <f t="shared" si="18"/>
        <v>-4.6339202965717252E-2</v>
      </c>
      <c r="AF117" s="8">
        <v>-1.4081632653061171</v>
      </c>
      <c r="AG117" s="7">
        <f t="shared" si="19"/>
        <v>-1.4081632653061171E-2</v>
      </c>
    </row>
    <row r="118" spans="1:33" x14ac:dyDescent="0.35">
      <c r="A118" s="9">
        <v>43783</v>
      </c>
      <c r="B118" s="10">
        <f>Расчеты!G131/360</f>
        <v>1.8416666666666668E-2</v>
      </c>
      <c r="C118" s="11">
        <v>649</v>
      </c>
      <c r="D118" s="3">
        <f t="shared" si="10"/>
        <v>-6.1595318755769402E-2</v>
      </c>
      <c r="E118" s="3">
        <f t="shared" si="11"/>
        <v>-8.0011985422436066E-2</v>
      </c>
      <c r="F118" s="34">
        <v>2922.45</v>
      </c>
      <c r="G118" s="3">
        <f t="shared" si="12"/>
        <v>-0.38992600267904187</v>
      </c>
      <c r="H118" s="3">
        <f t="shared" si="13"/>
        <v>-0.40834266934570856</v>
      </c>
      <c r="I118" s="3">
        <f t="shared" si="14"/>
        <v>6.4019178112401211E-3</v>
      </c>
      <c r="J118" s="3">
        <f t="shared" si="15"/>
        <v>0.16674373560837868</v>
      </c>
      <c r="K118" s="3">
        <f t="shared" si="16"/>
        <v>3.2672307707047467E-2</v>
      </c>
      <c r="M118" s="8">
        <v>-4.4822949350065144E-2</v>
      </c>
      <c r="N118" s="7">
        <f t="shared" si="17"/>
        <v>-4.4822949350065144E-4</v>
      </c>
      <c r="V118" s="7">
        <v>-4.4822949350065144E-4</v>
      </c>
      <c r="AD118" s="8">
        <v>-4.4822949350065144E-2</v>
      </c>
      <c r="AE118" s="8">
        <f t="shared" si="18"/>
        <v>-4.4822949350065144E-2</v>
      </c>
      <c r="AF118" s="8">
        <v>-1.3841486537732317</v>
      </c>
      <c r="AG118" s="7">
        <f t="shared" si="19"/>
        <v>-1.3841486537732317E-2</v>
      </c>
    </row>
    <row r="119" spans="1:33" x14ac:dyDescent="0.35">
      <c r="A119" s="9">
        <v>43784</v>
      </c>
      <c r="B119" s="10">
        <f>Расчеты!G132/360</f>
        <v>1.8416666666666668E-2</v>
      </c>
      <c r="C119" s="11">
        <v>646.79999999999995</v>
      </c>
      <c r="D119" s="3">
        <f t="shared" si="10"/>
        <v>-0.33898305084746339</v>
      </c>
      <c r="E119" s="3">
        <f t="shared" si="11"/>
        <v>-0.35739971751413008</v>
      </c>
      <c r="F119" s="34">
        <v>2934.82</v>
      </c>
      <c r="G119" s="3">
        <f t="shared" si="12"/>
        <v>0.42327499187326811</v>
      </c>
      <c r="H119" s="3">
        <f t="shared" si="13"/>
        <v>0.40485832520660142</v>
      </c>
      <c r="I119" s="3">
        <f t="shared" si="14"/>
        <v>0.12773455807917997</v>
      </c>
      <c r="J119" s="3">
        <f t="shared" si="15"/>
        <v>0.16391026348909424</v>
      </c>
      <c r="K119" s="3">
        <f t="shared" si="16"/>
        <v>-0.14469625106208317</v>
      </c>
      <c r="M119" s="8">
        <v>-3.1133250311321525E-2</v>
      </c>
      <c r="N119" s="7">
        <f t="shared" si="17"/>
        <v>-3.1133250311321525E-4</v>
      </c>
      <c r="V119" s="7">
        <v>-3.1133250311321525E-4</v>
      </c>
      <c r="AD119" s="8">
        <v>-3.1133250311321525E-2</v>
      </c>
      <c r="AE119" s="8">
        <f t="shared" si="18"/>
        <v>-3.1133250311321525E-2</v>
      </c>
      <c r="AF119" s="8">
        <v>-1.379310344827589</v>
      </c>
      <c r="AG119" s="7">
        <f t="shared" si="19"/>
        <v>-1.379310344827589E-2</v>
      </c>
    </row>
    <row r="120" spans="1:33" x14ac:dyDescent="0.35">
      <c r="A120" s="9">
        <v>43787</v>
      </c>
      <c r="B120" s="10">
        <f>Расчеты!G133/360</f>
        <v>1.8416666666666668E-2</v>
      </c>
      <c r="C120" s="11">
        <v>647.79999999999995</v>
      </c>
      <c r="D120" s="3">
        <f t="shared" si="10"/>
        <v>0.15460729746443747</v>
      </c>
      <c r="E120" s="3">
        <f t="shared" si="11"/>
        <v>0.1361906307977708</v>
      </c>
      <c r="F120" s="34">
        <v>2924.48</v>
      </c>
      <c r="G120" s="3">
        <f t="shared" si="12"/>
        <v>-0.35232143708984198</v>
      </c>
      <c r="H120" s="3">
        <f t="shared" si="13"/>
        <v>-0.37073810375650867</v>
      </c>
      <c r="I120" s="3">
        <f t="shared" si="14"/>
        <v>1.8547887917094715E-2</v>
      </c>
      <c r="J120" s="3">
        <f t="shared" si="15"/>
        <v>0.13744674157697179</v>
      </c>
      <c r="K120" s="3">
        <f t="shared" si="16"/>
        <v>-5.0491056211368318E-2</v>
      </c>
      <c r="M120" s="8">
        <v>0</v>
      </c>
      <c r="N120" s="7">
        <f t="shared" si="17"/>
        <v>0</v>
      </c>
      <c r="V120" s="7"/>
      <c r="AD120" s="8">
        <v>0</v>
      </c>
      <c r="AE120" s="8">
        <f t="shared" si="18"/>
        <v>0</v>
      </c>
      <c r="AF120" s="8">
        <v>-1.3496366362902412</v>
      </c>
      <c r="AG120" s="7">
        <f t="shared" si="19"/>
        <v>-1.3496366362902412E-2</v>
      </c>
    </row>
    <row r="121" spans="1:33" x14ac:dyDescent="0.35">
      <c r="A121" s="9">
        <v>43788</v>
      </c>
      <c r="B121" s="10">
        <f>Расчеты!G134/360</f>
        <v>1.8472222222222223E-2</v>
      </c>
      <c r="C121" s="11">
        <v>647.79999999999995</v>
      </c>
      <c r="D121" s="3">
        <f t="shared" si="10"/>
        <v>0</v>
      </c>
      <c r="E121" s="3">
        <f t="shared" si="11"/>
        <v>-1.8472222222222223E-2</v>
      </c>
      <c r="F121" s="34">
        <v>2941.69</v>
      </c>
      <c r="G121" s="3">
        <f t="shared" si="12"/>
        <v>0.58848068716490509</v>
      </c>
      <c r="H121" s="3">
        <f t="shared" si="13"/>
        <v>0.57000846494268287</v>
      </c>
      <c r="I121" s="3">
        <f t="shared" si="14"/>
        <v>3.4122299382716051E-4</v>
      </c>
      <c r="J121" s="3">
        <f t="shared" si="15"/>
        <v>0.32490965010631373</v>
      </c>
      <c r="K121" s="3">
        <f t="shared" si="16"/>
        <v>-1.0529323032969004E-2</v>
      </c>
      <c r="M121" s="8">
        <v>0</v>
      </c>
      <c r="N121" s="7">
        <f t="shared" si="17"/>
        <v>0</v>
      </c>
      <c r="V121" s="7"/>
      <c r="AD121" s="8">
        <v>0</v>
      </c>
      <c r="AE121" s="8">
        <f t="shared" si="18"/>
        <v>0</v>
      </c>
      <c r="AF121" s="8">
        <v>-1.3427786001268704</v>
      </c>
      <c r="AG121" s="7">
        <f t="shared" si="19"/>
        <v>-1.3427786001268704E-2</v>
      </c>
    </row>
    <row r="122" spans="1:33" x14ac:dyDescent="0.35">
      <c r="A122" s="9">
        <v>43789</v>
      </c>
      <c r="B122" s="10">
        <f>Расчеты!G135/360</f>
        <v>1.8472222222222223E-2</v>
      </c>
      <c r="C122" s="11">
        <v>648.20000000000005</v>
      </c>
      <c r="D122" s="3">
        <f t="shared" si="10"/>
        <v>6.1747452917582102E-2</v>
      </c>
      <c r="E122" s="3">
        <f t="shared" si="11"/>
        <v>4.3275230695359879E-2</v>
      </c>
      <c r="F122" s="34">
        <v>2936.47</v>
      </c>
      <c r="G122" s="3">
        <f t="shared" si="12"/>
        <v>-0.17744901740156527</v>
      </c>
      <c r="H122" s="3">
        <f t="shared" si="13"/>
        <v>-0.19592123962378749</v>
      </c>
      <c r="I122" s="3">
        <f t="shared" si="14"/>
        <v>1.8727455917366179E-3</v>
      </c>
      <c r="J122" s="3">
        <f t="shared" si="15"/>
        <v>3.8385132135721554E-2</v>
      </c>
      <c r="K122" s="3">
        <f t="shared" si="16"/>
        <v>-8.4785368428402872E-3</v>
      </c>
      <c r="M122" s="8">
        <v>0</v>
      </c>
      <c r="N122" s="7">
        <f t="shared" si="17"/>
        <v>0</v>
      </c>
      <c r="V122" s="7"/>
      <c r="AD122" s="8">
        <v>0</v>
      </c>
      <c r="AE122" s="8">
        <f t="shared" si="18"/>
        <v>0</v>
      </c>
      <c r="AF122" s="8">
        <v>-1.3399451361046588</v>
      </c>
      <c r="AG122" s="7">
        <f t="shared" si="19"/>
        <v>-1.3399451361046588E-2</v>
      </c>
    </row>
    <row r="123" spans="1:33" x14ac:dyDescent="0.35">
      <c r="A123" s="9">
        <v>43790</v>
      </c>
      <c r="B123" s="10">
        <f>Расчеты!G136/360</f>
        <v>1.8444444444444444E-2</v>
      </c>
      <c r="C123" s="11">
        <v>646.20000000000005</v>
      </c>
      <c r="D123" s="3">
        <f t="shared" si="10"/>
        <v>-0.30854674483183908</v>
      </c>
      <c r="E123" s="3">
        <f t="shared" si="11"/>
        <v>-0.32699118927628351</v>
      </c>
      <c r="F123" s="34">
        <v>2942.6</v>
      </c>
      <c r="G123" s="3">
        <f t="shared" si="12"/>
        <v>0.20875404822797705</v>
      </c>
      <c r="H123" s="3">
        <f t="shared" si="13"/>
        <v>0.19030960378353262</v>
      </c>
      <c r="I123" s="3">
        <f t="shared" si="14"/>
        <v>0.10692323786431827</v>
      </c>
      <c r="J123" s="3">
        <f t="shared" si="15"/>
        <v>3.6217745292245175E-2</v>
      </c>
      <c r="K123" s="3">
        <f t="shared" si="16"/>
        <v>-6.2229563671875633E-2</v>
      </c>
      <c r="M123" s="8">
        <v>0</v>
      </c>
      <c r="N123" s="7">
        <f t="shared" si="17"/>
        <v>0</v>
      </c>
      <c r="V123" s="7"/>
      <c r="AD123" s="8">
        <v>0</v>
      </c>
      <c r="AE123" s="8">
        <f t="shared" si="18"/>
        <v>0</v>
      </c>
      <c r="AF123" s="8">
        <v>-1.3296578563321004</v>
      </c>
      <c r="AG123" s="7">
        <f t="shared" si="19"/>
        <v>-1.3296578563321004E-2</v>
      </c>
    </row>
    <row r="124" spans="1:33" x14ac:dyDescent="0.35">
      <c r="A124" s="9">
        <v>43791</v>
      </c>
      <c r="B124" s="10">
        <f>Расчеты!G137/360</f>
        <v>1.8388888888888889E-2</v>
      </c>
      <c r="C124" s="11">
        <v>644.4</v>
      </c>
      <c r="D124" s="3">
        <f t="shared" si="10"/>
        <v>-0.27855153203343308</v>
      </c>
      <c r="E124" s="3">
        <f t="shared" si="11"/>
        <v>-0.29694042092232198</v>
      </c>
      <c r="F124" s="34">
        <v>2947.68</v>
      </c>
      <c r="G124" s="3">
        <f t="shared" si="12"/>
        <v>0.17263644396112721</v>
      </c>
      <c r="H124" s="3">
        <f t="shared" si="13"/>
        <v>0.15424755507223831</v>
      </c>
      <c r="I124" s="3">
        <f t="shared" si="14"/>
        <v>8.8173613577525747E-2</v>
      </c>
      <c r="J124" s="3">
        <f t="shared" si="15"/>
        <v>2.3792308245763189E-2</v>
      </c>
      <c r="K124" s="3">
        <f t="shared" si="16"/>
        <v>-4.5802333929389483E-2</v>
      </c>
      <c r="M124" s="8">
        <v>0</v>
      </c>
      <c r="N124" s="7">
        <f t="shared" si="17"/>
        <v>0</v>
      </c>
      <c r="V124" s="7"/>
      <c r="AD124" s="8">
        <v>0</v>
      </c>
      <c r="AE124" s="8">
        <f t="shared" si="18"/>
        <v>0</v>
      </c>
      <c r="AF124" s="8">
        <v>-1.3284341435839453</v>
      </c>
      <c r="AG124" s="7">
        <f t="shared" si="19"/>
        <v>-1.3284341435839453E-2</v>
      </c>
    </row>
    <row r="125" spans="1:33" x14ac:dyDescent="0.35">
      <c r="A125" s="9">
        <v>43794</v>
      </c>
      <c r="B125" s="10">
        <f>Расчеты!G138/360</f>
        <v>1.8388888888888889E-2</v>
      </c>
      <c r="C125" s="11">
        <v>644.4</v>
      </c>
      <c r="D125" s="3">
        <f t="shared" si="10"/>
        <v>0</v>
      </c>
      <c r="E125" s="3">
        <f t="shared" si="11"/>
        <v>-1.8388888888888889E-2</v>
      </c>
      <c r="F125" s="34">
        <v>2955.32</v>
      </c>
      <c r="G125" s="3">
        <f t="shared" si="12"/>
        <v>0.25918688595778505</v>
      </c>
      <c r="H125" s="3">
        <f t="shared" si="13"/>
        <v>0.24079799706889615</v>
      </c>
      <c r="I125" s="3">
        <f t="shared" si="14"/>
        <v>3.381512345679012E-4</v>
      </c>
      <c r="J125" s="3">
        <f t="shared" si="15"/>
        <v>5.7983675392392117E-2</v>
      </c>
      <c r="K125" s="3">
        <f t="shared" si="16"/>
        <v>-4.4280076127669234E-3</v>
      </c>
      <c r="M125" s="8">
        <v>0</v>
      </c>
      <c r="N125" s="7">
        <f t="shared" si="17"/>
        <v>0</v>
      </c>
      <c r="V125" s="7"/>
      <c r="AD125" s="8">
        <v>0</v>
      </c>
      <c r="AE125" s="8">
        <f t="shared" si="18"/>
        <v>0</v>
      </c>
      <c r="AF125" s="8">
        <v>-1.3090160317693833</v>
      </c>
      <c r="AG125" s="7">
        <f t="shared" si="19"/>
        <v>-1.3090160317693833E-2</v>
      </c>
    </row>
    <row r="126" spans="1:33" x14ac:dyDescent="0.35">
      <c r="A126" s="9">
        <v>43795</v>
      </c>
      <c r="B126" s="10">
        <f>Расчеты!G139/360</f>
        <v>1.8416666666666668E-2</v>
      </c>
      <c r="C126" s="11">
        <v>645</v>
      </c>
      <c r="D126" s="3">
        <f t="shared" si="10"/>
        <v>9.3109869646190724E-2</v>
      </c>
      <c r="E126" s="3">
        <f t="shared" si="11"/>
        <v>7.4693202979524059E-2</v>
      </c>
      <c r="F126" s="34">
        <v>2930.62</v>
      </c>
      <c r="G126" s="3">
        <f t="shared" si="12"/>
        <v>-0.8357808968233682</v>
      </c>
      <c r="H126" s="3">
        <f t="shared" si="13"/>
        <v>-0.85419756349003484</v>
      </c>
      <c r="I126" s="3">
        <f t="shared" si="14"/>
        <v>5.579074571340382E-3</v>
      </c>
      <c r="J126" s="3">
        <f t="shared" si="15"/>
        <v>0.72965347747231213</v>
      </c>
      <c r="K126" s="3">
        <f t="shared" si="16"/>
        <v>-6.3802751994376058E-2</v>
      </c>
      <c r="M126" s="8">
        <v>0</v>
      </c>
      <c r="N126" s="7">
        <f t="shared" si="17"/>
        <v>0</v>
      </c>
      <c r="AD126" s="8">
        <v>0</v>
      </c>
      <c r="AE126" s="8">
        <f t="shared" si="18"/>
        <v>0</v>
      </c>
      <c r="AF126" s="8">
        <v>-1.293396868618113</v>
      </c>
      <c r="AG126" s="7">
        <f t="shared" si="19"/>
        <v>-1.293396868618113E-2</v>
      </c>
    </row>
    <row r="127" spans="1:33" x14ac:dyDescent="0.35">
      <c r="A127" s="9">
        <v>43796</v>
      </c>
      <c r="B127" s="10">
        <f>Расчеты!G140/360</f>
        <v>1.8416666666666668E-2</v>
      </c>
      <c r="C127" s="11">
        <v>644</v>
      </c>
      <c r="D127" s="3">
        <f t="shared" si="10"/>
        <v>-0.15503875968991832</v>
      </c>
      <c r="E127" s="3">
        <f t="shared" si="11"/>
        <v>-0.17345542635658498</v>
      </c>
      <c r="F127" s="34">
        <v>2929.05</v>
      </c>
      <c r="G127" s="3">
        <f t="shared" si="12"/>
        <v>-5.3572281633229579E-2</v>
      </c>
      <c r="H127" s="3">
        <f t="shared" si="13"/>
        <v>-7.1988948299896244E-2</v>
      </c>
      <c r="I127" s="3">
        <f t="shared" si="14"/>
        <v>3.0086784932544675E-2</v>
      </c>
      <c r="J127" s="3">
        <f t="shared" si="15"/>
        <v>5.1824086773251347E-3</v>
      </c>
      <c r="K127" s="3">
        <f t="shared" si="16"/>
        <v>1.2486873720320656E-2</v>
      </c>
      <c r="M127" s="8">
        <v>0</v>
      </c>
      <c r="N127" s="7">
        <f t="shared" si="17"/>
        <v>0</v>
      </c>
      <c r="AD127" s="8">
        <v>0</v>
      </c>
      <c r="AE127" s="8">
        <f t="shared" si="18"/>
        <v>0</v>
      </c>
      <c r="AF127" s="8">
        <v>-1.2803959543791654</v>
      </c>
      <c r="AG127" s="7">
        <f t="shared" si="19"/>
        <v>-1.2803959543791654E-2</v>
      </c>
    </row>
    <row r="128" spans="1:33" x14ac:dyDescent="0.35">
      <c r="A128" s="9">
        <v>43797</v>
      </c>
      <c r="B128" s="10">
        <f>Расчеты!G141/360</f>
        <v>1.8416666666666668E-2</v>
      </c>
      <c r="C128" s="11">
        <v>644</v>
      </c>
      <c r="D128" s="3">
        <f t="shared" si="10"/>
        <v>0</v>
      </c>
      <c r="E128" s="3">
        <f t="shared" si="11"/>
        <v>-1.8416666666666668E-2</v>
      </c>
      <c r="F128" s="34">
        <v>2927.57</v>
      </c>
      <c r="G128" s="3">
        <f t="shared" si="12"/>
        <v>-5.0528328297572145E-2</v>
      </c>
      <c r="H128" s="3">
        <f t="shared" si="13"/>
        <v>-6.8944994964238809E-2</v>
      </c>
      <c r="I128" s="3">
        <f t="shared" si="14"/>
        <v>3.3917361111111116E-4</v>
      </c>
      <c r="J128" s="3">
        <f t="shared" si="15"/>
        <v>4.7534123306189145E-3</v>
      </c>
      <c r="K128" s="3">
        <f t="shared" si="16"/>
        <v>1.2697369905913982E-3</v>
      </c>
      <c r="M128" s="8">
        <v>2.8240609997176591E-2</v>
      </c>
      <c r="N128" s="7">
        <f t="shared" si="17"/>
        <v>2.8240609997176591E-4</v>
      </c>
      <c r="AD128" s="8">
        <v>2.8240609997176591E-2</v>
      </c>
      <c r="AE128" s="8">
        <f t="shared" si="18"/>
        <v>-2.8240609997176591E-2</v>
      </c>
      <c r="AF128" s="8">
        <v>-1.2720713878868417</v>
      </c>
      <c r="AG128" s="7">
        <f t="shared" si="19"/>
        <v>-1.2720713878868417E-2</v>
      </c>
    </row>
    <row r="129" spans="1:33" x14ac:dyDescent="0.35">
      <c r="A129" s="9">
        <v>43798</v>
      </c>
      <c r="B129" s="10">
        <f>Расчеты!G142/360</f>
        <v>1.8444444444444444E-2</v>
      </c>
      <c r="C129" s="11">
        <v>649</v>
      </c>
      <c r="D129" s="3">
        <f t="shared" si="10"/>
        <v>0.7763975155279601</v>
      </c>
      <c r="E129" s="3">
        <f t="shared" si="11"/>
        <v>0.75795307108351562</v>
      </c>
      <c r="F129" s="34">
        <v>2935.37</v>
      </c>
      <c r="G129" s="3">
        <f t="shared" si="12"/>
        <v>0.26643257035696699</v>
      </c>
      <c r="H129" s="3">
        <f t="shared" si="13"/>
        <v>0.24798812591252256</v>
      </c>
      <c r="I129" s="3">
        <f t="shared" si="14"/>
        <v>0.57449285796493288</v>
      </c>
      <c r="J129" s="3">
        <f t="shared" si="15"/>
        <v>6.1498110593605146E-2</v>
      </c>
      <c r="K129" s="3">
        <f t="shared" si="16"/>
        <v>0.18796336162764204</v>
      </c>
      <c r="M129" s="8">
        <v>2.9664787896765965E-2</v>
      </c>
      <c r="N129" s="7">
        <f t="shared" si="17"/>
        <v>2.9664787896765965E-4</v>
      </c>
      <c r="AD129" s="8">
        <v>2.9664787896765965E-2</v>
      </c>
      <c r="AE129" s="8">
        <f t="shared" si="18"/>
        <v>-2.9664787896765965E-2</v>
      </c>
      <c r="AF129" s="8">
        <v>-1.2565660727160366</v>
      </c>
      <c r="AG129" s="7">
        <f t="shared" si="19"/>
        <v>-1.2565660727160366E-2</v>
      </c>
    </row>
    <row r="130" spans="1:33" x14ac:dyDescent="0.35">
      <c r="A130" s="9">
        <v>43801</v>
      </c>
      <c r="B130" s="10">
        <f>Расчеты!G143/360</f>
        <v>1.8444444444444444E-2</v>
      </c>
      <c r="C130" s="11">
        <v>648</v>
      </c>
      <c r="D130" s="3">
        <f t="shared" si="10"/>
        <v>-0.15408320493066618</v>
      </c>
      <c r="E130" s="3">
        <f t="shared" si="11"/>
        <v>-0.17252764937511061</v>
      </c>
      <c r="F130" s="34">
        <v>2921.18</v>
      </c>
      <c r="G130" s="3">
        <f t="shared" si="12"/>
        <v>-0.4834143566228466</v>
      </c>
      <c r="H130" s="3">
        <f t="shared" si="13"/>
        <v>-0.50185880106729108</v>
      </c>
      <c r="I130" s="3">
        <f t="shared" si="14"/>
        <v>2.9765789798901106E-2</v>
      </c>
      <c r="J130" s="3">
        <f t="shared" si="15"/>
        <v>0.25186225620869884</v>
      </c>
      <c r="K130" s="3">
        <f t="shared" si="16"/>
        <v>8.6584519266350982E-2</v>
      </c>
      <c r="M130" s="8">
        <v>3.0111412225219958E-2</v>
      </c>
      <c r="N130" s="7">
        <f t="shared" si="17"/>
        <v>3.0111412225219958E-4</v>
      </c>
      <c r="AD130" s="8">
        <v>3.0111412225219958E-2</v>
      </c>
      <c r="AE130" s="8">
        <f t="shared" si="18"/>
        <v>-3.0111412225219958E-2</v>
      </c>
      <c r="AF130" s="8">
        <v>-1.2360446570973016</v>
      </c>
      <c r="AG130" s="7">
        <f t="shared" si="19"/>
        <v>-1.2360446570973016E-2</v>
      </c>
    </row>
    <row r="131" spans="1:33" x14ac:dyDescent="0.35">
      <c r="A131" s="9">
        <v>43802</v>
      </c>
      <c r="B131" s="10">
        <f>Расчеты!G144/360</f>
        <v>1.8499999999999999E-2</v>
      </c>
      <c r="C131" s="11">
        <v>655.20000000000005</v>
      </c>
      <c r="D131" s="3">
        <f t="shared" si="10"/>
        <v>1.1111111111111072</v>
      </c>
      <c r="E131" s="3">
        <f t="shared" si="11"/>
        <v>1.0926111111111072</v>
      </c>
      <c r="F131" s="34">
        <v>2883.48</v>
      </c>
      <c r="G131" s="3">
        <f t="shared" si="12"/>
        <v>-1.2905743569379458</v>
      </c>
      <c r="H131" s="3">
        <f t="shared" si="13"/>
        <v>-1.3090743569379457</v>
      </c>
      <c r="I131" s="3">
        <f t="shared" si="14"/>
        <v>1.1937990401234482</v>
      </c>
      <c r="J131" s="3">
        <f t="shared" si="15"/>
        <v>1.7136756719924962</v>
      </c>
      <c r="K131" s="3">
        <f t="shared" si="16"/>
        <v>-1.430309187661027</v>
      </c>
      <c r="M131" s="8">
        <v>3.3112582781469335E-2</v>
      </c>
      <c r="N131" s="7">
        <f t="shared" si="17"/>
        <v>3.3112582781469335E-4</v>
      </c>
      <c r="AD131" s="8">
        <v>3.3112582781469335E-2</v>
      </c>
      <c r="AE131" s="8">
        <f t="shared" si="18"/>
        <v>-3.3112582781469335E-2</v>
      </c>
      <c r="AF131" s="8">
        <v>-1.2292283177782859</v>
      </c>
      <c r="AG131" s="7">
        <f t="shared" si="19"/>
        <v>-1.2292283177782859E-2</v>
      </c>
    </row>
    <row r="132" spans="1:33" x14ac:dyDescent="0.35">
      <c r="A132" s="9">
        <v>43803</v>
      </c>
      <c r="B132" s="10">
        <f>Расчеты!G145/360</f>
        <v>1.8416666666666668E-2</v>
      </c>
      <c r="C132" s="11">
        <v>649.6</v>
      </c>
      <c r="D132" s="3">
        <f t="shared" si="10"/>
        <v>-0.85470085470086277</v>
      </c>
      <c r="E132" s="3">
        <f t="shared" si="11"/>
        <v>-0.8731175213675294</v>
      </c>
      <c r="F132" s="34">
        <v>2900.66</v>
      </c>
      <c r="G132" s="3">
        <f t="shared" si="12"/>
        <v>0.59580784330044434</v>
      </c>
      <c r="H132" s="3">
        <f t="shared" si="13"/>
        <v>0.5773911766337777</v>
      </c>
      <c r="I132" s="3">
        <f t="shared" si="14"/>
        <v>0.76233420611897817</v>
      </c>
      <c r="J132" s="3">
        <f t="shared" si="15"/>
        <v>0.33338057085453826</v>
      </c>
      <c r="K132" s="3">
        <f t="shared" si="16"/>
        <v>-0.50413035300196529</v>
      </c>
      <c r="M132" s="8">
        <v>4.5558086560371081E-2</v>
      </c>
      <c r="N132" s="7">
        <f t="shared" si="17"/>
        <v>4.5558086560371081E-4</v>
      </c>
      <c r="AD132" s="8">
        <v>4.5558086560371081E-2</v>
      </c>
      <c r="AE132" s="8">
        <f t="shared" si="18"/>
        <v>-4.5558086560371081E-2</v>
      </c>
      <c r="AF132" s="8">
        <v>-1.2209531311540012</v>
      </c>
      <c r="AG132" s="7">
        <f t="shared" si="19"/>
        <v>-1.2209531311540012E-2</v>
      </c>
    </row>
    <row r="133" spans="1:33" x14ac:dyDescent="0.35">
      <c r="A133" s="9">
        <v>43804</v>
      </c>
      <c r="B133" s="10">
        <f>Расчеты!G146/360</f>
        <v>1.8416666666666668E-2</v>
      </c>
      <c r="C133" s="11">
        <v>651.6</v>
      </c>
      <c r="D133" s="3">
        <f t="shared" si="10"/>
        <v>0.30788177339902134</v>
      </c>
      <c r="E133" s="3">
        <f t="shared" si="11"/>
        <v>0.28946510673235465</v>
      </c>
      <c r="F133" s="34">
        <v>2899.29</v>
      </c>
      <c r="G133" s="3">
        <f t="shared" si="12"/>
        <v>-4.7230630270345131E-2</v>
      </c>
      <c r="H133" s="3">
        <f t="shared" si="13"/>
        <v>-6.5647296937011795E-2</v>
      </c>
      <c r="I133" s="3">
        <f t="shared" si="14"/>
        <v>8.3790048015573465E-2</v>
      </c>
      <c r="J133" s="3">
        <f t="shared" si="15"/>
        <v>4.3095675951361984E-3</v>
      </c>
      <c r="K133" s="3">
        <f t="shared" si="16"/>
        <v>-1.9002601814562699E-2</v>
      </c>
      <c r="M133" s="8">
        <v>4.5998160073601468E-2</v>
      </c>
      <c r="N133" s="7">
        <f t="shared" si="17"/>
        <v>4.5998160073601468E-4</v>
      </c>
      <c r="AD133" s="8">
        <v>4.5998160073601468E-2</v>
      </c>
      <c r="AE133" s="8">
        <f t="shared" si="18"/>
        <v>-4.5998160073601468E-2</v>
      </c>
      <c r="AF133" s="8">
        <v>-1.1947267234276415</v>
      </c>
      <c r="AG133" s="7">
        <f t="shared" si="19"/>
        <v>-1.1947267234276415E-2</v>
      </c>
    </row>
    <row r="134" spans="1:33" x14ac:dyDescent="0.35">
      <c r="A134" s="9">
        <v>43805</v>
      </c>
      <c r="B134" s="10">
        <f>Расчеты!G147/360</f>
        <v>1.8277777777777778E-2</v>
      </c>
      <c r="C134" s="11">
        <v>645.6</v>
      </c>
      <c r="D134" s="3">
        <f t="shared" ref="D134:D197" si="20">(C134/C133-1)*100</f>
        <v>-0.92081031307550409</v>
      </c>
      <c r="E134" s="3">
        <f t="shared" ref="E134:E197" si="21">D134-B134</f>
        <v>-0.93908809085328182</v>
      </c>
      <c r="F134" s="34">
        <v>2928.76</v>
      </c>
      <c r="G134" s="3">
        <f t="shared" ref="G134:G197" si="22">(F134/F133-1)*100</f>
        <v>1.0164557529602103</v>
      </c>
      <c r="H134" s="3">
        <f t="shared" ref="H134:H197" si="23">G134-B134</f>
        <v>0.99817797518243256</v>
      </c>
      <c r="I134" s="3">
        <f t="shared" ref="I134:I197" si="24">E134^2</f>
        <v>0.88188644238246172</v>
      </c>
      <c r="J134" s="3">
        <f t="shared" ref="J134:J197" si="25">H134^2</f>
        <v>0.99635927013930092</v>
      </c>
      <c r="K134" s="3">
        <f t="shared" ref="K134:K197" si="26">E134*H134</f>
        <v>-0.93737704904586516</v>
      </c>
      <c r="M134" s="8">
        <v>6.0368246302444639E-2</v>
      </c>
      <c r="N134" s="7">
        <f t="shared" ref="N134:N197" si="27">M134*$N$4</f>
        <v>6.0368246302444639E-4</v>
      </c>
      <c r="AD134" s="8">
        <v>6.0368246302444639E-2</v>
      </c>
      <c r="AE134" s="8">
        <f t="shared" ref="AE134:AE197" si="28">IF(AD134&lt;0,AD134,AD134*(-1))</f>
        <v>-6.0368246302444639E-2</v>
      </c>
      <c r="AF134" s="8">
        <v>-1.1727078891258125</v>
      </c>
      <c r="AG134" s="7">
        <f t="shared" ref="AG134:AG197" si="29">AF134*$AG$4</f>
        <v>-1.1727078891258125E-2</v>
      </c>
    </row>
    <row r="135" spans="1:33" x14ac:dyDescent="0.35">
      <c r="A135" s="9">
        <v>43808</v>
      </c>
      <c r="B135" s="10">
        <f>Расчеты!G148/360</f>
        <v>1.822222222222222E-2</v>
      </c>
      <c r="C135" s="11">
        <v>642.4</v>
      </c>
      <c r="D135" s="3">
        <f t="shared" si="20"/>
        <v>-0.495662949194553</v>
      </c>
      <c r="E135" s="3">
        <f t="shared" si="21"/>
        <v>-0.51388517141677525</v>
      </c>
      <c r="F135" s="34">
        <v>2945.03</v>
      </c>
      <c r="G135" s="3">
        <f t="shared" si="22"/>
        <v>0.55552520520629756</v>
      </c>
      <c r="H135" s="3">
        <f t="shared" si="23"/>
        <v>0.53730298298407531</v>
      </c>
      <c r="I135" s="3">
        <f t="shared" si="24"/>
        <v>0.26407796940204847</v>
      </c>
      <c r="J135" s="3">
        <f t="shared" si="25"/>
        <v>0.2886944955235855</v>
      </c>
      <c r="K135" s="3">
        <f t="shared" si="26"/>
        <v>-0.27611203551351621</v>
      </c>
      <c r="M135" s="8">
        <v>6.0734892195557499E-2</v>
      </c>
      <c r="N135" s="7">
        <f t="shared" si="27"/>
        <v>6.0734892195557499E-4</v>
      </c>
      <c r="AD135" s="8">
        <v>6.0734892195557499E-2</v>
      </c>
      <c r="AE135" s="8">
        <f t="shared" si="28"/>
        <v>-6.0734892195557499E-2</v>
      </c>
      <c r="AF135" s="8">
        <v>-1.1662743419644683</v>
      </c>
      <c r="AG135" s="7">
        <f t="shared" si="29"/>
        <v>-1.1662743419644683E-2</v>
      </c>
    </row>
    <row r="136" spans="1:33" x14ac:dyDescent="0.35">
      <c r="A136" s="9">
        <v>43809</v>
      </c>
      <c r="B136" s="10">
        <f>Расчеты!G149/360</f>
        <v>1.822222222222222E-2</v>
      </c>
      <c r="C136" s="11">
        <v>642.20000000000005</v>
      </c>
      <c r="D136" s="3">
        <f t="shared" si="20"/>
        <v>-3.1133250311321525E-2</v>
      </c>
      <c r="E136" s="3">
        <f t="shared" si="21"/>
        <v>-4.9355472533543748E-2</v>
      </c>
      <c r="F136" s="34">
        <v>2932.4</v>
      </c>
      <c r="G136" s="3">
        <f t="shared" si="22"/>
        <v>-0.42885811010414665</v>
      </c>
      <c r="H136" s="3">
        <f t="shared" si="23"/>
        <v>-0.44708033232636885</v>
      </c>
      <c r="I136" s="3">
        <f t="shared" si="24"/>
        <v>2.4359626690093911E-3</v>
      </c>
      <c r="J136" s="3">
        <f t="shared" si="25"/>
        <v>0.19988082355305642</v>
      </c>
      <c r="K136" s="3">
        <f t="shared" si="26"/>
        <v>2.2065861062421709E-2</v>
      </c>
      <c r="M136" s="8">
        <v>6.1747452917582102E-2</v>
      </c>
      <c r="N136" s="7">
        <f t="shared" si="27"/>
        <v>6.1747452917582102E-4</v>
      </c>
      <c r="AD136" s="8">
        <v>6.1747452917582102E-2</v>
      </c>
      <c r="AE136" s="8">
        <f t="shared" si="28"/>
        <v>-6.1747452917582102E-2</v>
      </c>
      <c r="AF136" s="8">
        <v>-1.1659192825112075</v>
      </c>
      <c r="AG136" s="7">
        <f t="shared" si="29"/>
        <v>-1.1659192825112075E-2</v>
      </c>
    </row>
    <row r="137" spans="1:33" x14ac:dyDescent="0.35">
      <c r="A137" s="9">
        <v>43810</v>
      </c>
      <c r="B137" s="10">
        <f>Расчеты!G150/360</f>
        <v>1.8111111111111109E-2</v>
      </c>
      <c r="C137" s="11">
        <v>645.6</v>
      </c>
      <c r="D137" s="3">
        <f t="shared" si="20"/>
        <v>0.52943008408594672</v>
      </c>
      <c r="E137" s="3">
        <f t="shared" si="21"/>
        <v>0.51131897297483564</v>
      </c>
      <c r="F137" s="34">
        <v>2954.4</v>
      </c>
      <c r="G137" s="3">
        <f t="shared" si="22"/>
        <v>0.75023871231756356</v>
      </c>
      <c r="H137" s="3">
        <f t="shared" si="23"/>
        <v>0.73212760120645248</v>
      </c>
      <c r="I137" s="3">
        <f t="shared" si="24"/>
        <v>0.26144709212404071</v>
      </c>
      <c r="J137" s="3">
        <f t="shared" si="25"/>
        <v>0.53601082444831427</v>
      </c>
      <c r="K137" s="3">
        <f t="shared" si="26"/>
        <v>0.37435073313541334</v>
      </c>
      <c r="M137" s="8">
        <v>9.3109869646190724E-2</v>
      </c>
      <c r="N137" s="7">
        <f t="shared" si="27"/>
        <v>9.3109869646190724E-4</v>
      </c>
      <c r="AD137" s="8">
        <v>9.3109869646190724E-2</v>
      </c>
      <c r="AE137" s="8">
        <f t="shared" si="28"/>
        <v>-9.3109869646190724E-2</v>
      </c>
      <c r="AF137" s="8">
        <v>-1.1587982832618082</v>
      </c>
      <c r="AG137" s="7">
        <f t="shared" si="29"/>
        <v>-1.1587982832618082E-2</v>
      </c>
    </row>
    <row r="138" spans="1:33" x14ac:dyDescent="0.35">
      <c r="A138" s="9">
        <v>43811</v>
      </c>
      <c r="B138" s="10">
        <f>Расчеты!G151/360</f>
        <v>1.7916666666666668E-2</v>
      </c>
      <c r="C138" s="11">
        <v>636</v>
      </c>
      <c r="D138" s="3">
        <f t="shared" si="20"/>
        <v>-1.4869888475836479</v>
      </c>
      <c r="E138" s="3">
        <f t="shared" si="21"/>
        <v>-1.5049055142503145</v>
      </c>
      <c r="F138" s="34">
        <v>2982.86</v>
      </c>
      <c r="G138" s="3">
        <f t="shared" si="22"/>
        <v>0.96330896290279799</v>
      </c>
      <c r="H138" s="3">
        <f t="shared" si="23"/>
        <v>0.9453922962361313</v>
      </c>
      <c r="I138" s="3">
        <f t="shared" si="24"/>
        <v>2.2647406068210034</v>
      </c>
      <c r="J138" s="3">
        <f t="shared" si="25"/>
        <v>0.89376659378262502</v>
      </c>
      <c r="K138" s="3">
        <f t="shared" si="26"/>
        <v>-1.4227260797355208</v>
      </c>
      <c r="M138" s="8">
        <v>0.11530700490056667</v>
      </c>
      <c r="N138" s="7">
        <f t="shared" si="27"/>
        <v>1.1530700490056667E-3</v>
      </c>
      <c r="AD138" s="8">
        <v>0.11530700490056667</v>
      </c>
      <c r="AE138" s="8">
        <f t="shared" si="28"/>
        <v>-0.11530700490056667</v>
      </c>
      <c r="AF138" s="8">
        <v>-1.1494252873563204</v>
      </c>
      <c r="AG138" s="7">
        <f t="shared" si="29"/>
        <v>-1.1494252873563204E-2</v>
      </c>
    </row>
    <row r="139" spans="1:33" x14ac:dyDescent="0.35">
      <c r="A139" s="9">
        <v>43812</v>
      </c>
      <c r="B139" s="10">
        <f>Расчеты!G152/360</f>
        <v>1.7611111111111112E-2</v>
      </c>
      <c r="C139" s="11">
        <v>638.20000000000005</v>
      </c>
      <c r="D139" s="3">
        <f t="shared" si="20"/>
        <v>0.34591194968554007</v>
      </c>
      <c r="E139" s="3">
        <f t="shared" si="21"/>
        <v>0.32830083857442893</v>
      </c>
      <c r="F139" s="34">
        <v>2996.63</v>
      </c>
      <c r="G139" s="3">
        <f t="shared" si="22"/>
        <v>0.46163748885297284</v>
      </c>
      <c r="H139" s="3">
        <f t="shared" si="23"/>
        <v>0.44402637774186171</v>
      </c>
      <c r="I139" s="3">
        <f t="shared" si="24"/>
        <v>0.10778144060867324</v>
      </c>
      <c r="J139" s="3">
        <f t="shared" si="25"/>
        <v>0.19715942413055845</v>
      </c>
      <c r="K139" s="3">
        <f t="shared" si="26"/>
        <v>0.14577423216181934</v>
      </c>
      <c r="M139" s="8">
        <v>0.11614401858304202</v>
      </c>
      <c r="N139" s="7">
        <f t="shared" si="27"/>
        <v>1.1614401858304202E-3</v>
      </c>
      <c r="AD139" s="8">
        <v>0.11614401858304202</v>
      </c>
      <c r="AE139" s="8">
        <f t="shared" si="28"/>
        <v>-0.11614401858304202</v>
      </c>
      <c r="AF139" s="8">
        <v>-1.1441647597253968</v>
      </c>
      <c r="AG139" s="7">
        <f t="shared" si="29"/>
        <v>-1.1441647597253968E-2</v>
      </c>
    </row>
    <row r="140" spans="1:33" x14ac:dyDescent="0.35">
      <c r="A140" s="9">
        <v>43815</v>
      </c>
      <c r="B140" s="10">
        <f>Расчеты!G153/360</f>
        <v>1.7250000000000001E-2</v>
      </c>
      <c r="C140" s="11">
        <v>636.20000000000005</v>
      </c>
      <c r="D140" s="3">
        <f t="shared" si="20"/>
        <v>-0.31338138514571678</v>
      </c>
      <c r="E140" s="3">
        <f t="shared" si="21"/>
        <v>-0.33063138514571677</v>
      </c>
      <c r="F140" s="34">
        <v>3006.16</v>
      </c>
      <c r="G140" s="3">
        <f t="shared" si="22"/>
        <v>0.31802391352953041</v>
      </c>
      <c r="H140" s="3">
        <f t="shared" si="23"/>
        <v>0.30077391352953042</v>
      </c>
      <c r="I140" s="3">
        <f t="shared" si="24"/>
        <v>0.10931711284337531</v>
      </c>
      <c r="J140" s="3">
        <f t="shared" si="25"/>
        <v>9.0464947059869447E-2</v>
      </c>
      <c r="K140" s="3">
        <f t="shared" si="26"/>
        <v>-9.9445295645966686E-2</v>
      </c>
      <c r="M140" s="8">
        <v>0.11933174224345588</v>
      </c>
      <c r="N140" s="7">
        <f t="shared" si="27"/>
        <v>1.1933174224345588E-3</v>
      </c>
      <c r="AD140" s="8">
        <v>0.11933174224345588</v>
      </c>
      <c r="AE140" s="8">
        <f t="shared" si="28"/>
        <v>-0.11933174224345588</v>
      </c>
      <c r="AF140" s="8">
        <v>-1.1414200038692091</v>
      </c>
      <c r="AG140" s="7">
        <f t="shared" si="29"/>
        <v>-1.1414200038692091E-2</v>
      </c>
    </row>
    <row r="141" spans="1:33" x14ac:dyDescent="0.35">
      <c r="A141" s="9">
        <v>43816</v>
      </c>
      <c r="B141" s="10">
        <f>Расчеты!G154/360</f>
        <v>1.7222222222222222E-2</v>
      </c>
      <c r="C141" s="11">
        <v>636.20000000000005</v>
      </c>
      <c r="D141" s="3">
        <f t="shared" si="20"/>
        <v>0</v>
      </c>
      <c r="E141" s="3">
        <f t="shared" si="21"/>
        <v>-1.7222222222222222E-2</v>
      </c>
      <c r="F141" s="34">
        <v>3013.29</v>
      </c>
      <c r="G141" s="3">
        <f t="shared" si="22"/>
        <v>0.23717965776939298</v>
      </c>
      <c r="H141" s="3">
        <f t="shared" si="23"/>
        <v>0.21995743554717076</v>
      </c>
      <c r="I141" s="3">
        <f t="shared" si="24"/>
        <v>2.9660493827160495E-4</v>
      </c>
      <c r="J141" s="3">
        <f t="shared" si="25"/>
        <v>4.8381273452487779E-2</v>
      </c>
      <c r="K141" s="3">
        <f t="shared" si="26"/>
        <v>-3.7881558344234965E-3</v>
      </c>
      <c r="M141" s="8">
        <v>0.12004801920768582</v>
      </c>
      <c r="N141" s="7">
        <f t="shared" si="27"/>
        <v>1.2004801920768582E-3</v>
      </c>
      <c r="AD141" s="8">
        <v>0.12004801920768582</v>
      </c>
      <c r="AE141" s="8">
        <f t="shared" si="28"/>
        <v>-0.12004801920768582</v>
      </c>
      <c r="AF141" s="8">
        <v>-1.1393606920561128</v>
      </c>
      <c r="AG141" s="7">
        <f t="shared" si="29"/>
        <v>-1.1393606920561128E-2</v>
      </c>
    </row>
    <row r="142" spans="1:33" x14ac:dyDescent="0.35">
      <c r="A142" s="9">
        <v>43817</v>
      </c>
      <c r="B142" s="10">
        <f>Расчеты!G155/360</f>
        <v>1.7250000000000001E-2</v>
      </c>
      <c r="C142" s="11">
        <v>637.4</v>
      </c>
      <c r="D142" s="3">
        <f t="shared" si="20"/>
        <v>0.18861993083933992</v>
      </c>
      <c r="E142" s="3">
        <f t="shared" si="21"/>
        <v>0.17136993083933993</v>
      </c>
      <c r="F142" s="34">
        <v>3023.92</v>
      </c>
      <c r="G142" s="3">
        <f t="shared" si="22"/>
        <v>0.35277055975362348</v>
      </c>
      <c r="H142" s="3">
        <f t="shared" si="23"/>
        <v>0.33552055975362349</v>
      </c>
      <c r="I142" s="3">
        <f t="shared" si="24"/>
        <v>2.9367653195880153E-2</v>
      </c>
      <c r="J142" s="3">
        <f t="shared" si="25"/>
        <v>0.11257404601738483</v>
      </c>
      <c r="K142" s="3">
        <f t="shared" si="26"/>
        <v>5.7498135120155079E-2</v>
      </c>
      <c r="M142" s="8">
        <v>0.13025073266035303</v>
      </c>
      <c r="N142" s="7">
        <f t="shared" si="27"/>
        <v>1.3025073266035303E-3</v>
      </c>
      <c r="AD142" s="8">
        <v>0.13025073266035303</v>
      </c>
      <c r="AE142" s="8">
        <f t="shared" si="28"/>
        <v>-0.13025073266035303</v>
      </c>
      <c r="AF142" s="8">
        <v>-1.1333914559720881</v>
      </c>
      <c r="AG142" s="7">
        <f t="shared" si="29"/>
        <v>-1.1333914559720881E-2</v>
      </c>
    </row>
    <row r="143" spans="1:33" x14ac:dyDescent="0.35">
      <c r="A143" s="9">
        <v>43818</v>
      </c>
      <c r="B143" s="10">
        <f>Расчеты!G156/360</f>
        <v>1.7305555555555557E-2</v>
      </c>
      <c r="C143" s="11">
        <v>635.20000000000005</v>
      </c>
      <c r="D143" s="3">
        <f t="shared" si="20"/>
        <v>-0.3451521807342206</v>
      </c>
      <c r="E143" s="3">
        <f t="shared" si="21"/>
        <v>-0.36245773628977618</v>
      </c>
      <c r="F143" s="34">
        <v>3008.39</v>
      </c>
      <c r="G143" s="3">
        <f t="shared" si="22"/>
        <v>-0.51357178761343159</v>
      </c>
      <c r="H143" s="3">
        <f t="shared" si="23"/>
        <v>-0.53087734316898716</v>
      </c>
      <c r="I143" s="3">
        <f t="shared" si="24"/>
        <v>0.13137561059630892</v>
      </c>
      <c r="J143" s="3">
        <f t="shared" si="25"/>
        <v>0.28183075349016257</v>
      </c>
      <c r="K143" s="3">
        <f t="shared" si="26"/>
        <v>0.19242060005256176</v>
      </c>
      <c r="M143" s="8">
        <v>0.13921113689094877</v>
      </c>
      <c r="N143" s="7">
        <f t="shared" si="27"/>
        <v>1.3921113689094877E-3</v>
      </c>
      <c r="AD143" s="8">
        <v>0.13921113689094877</v>
      </c>
      <c r="AE143" s="8">
        <f t="shared" si="28"/>
        <v>-0.13921113689094877</v>
      </c>
      <c r="AF143" s="8">
        <v>-1.0972222222222383</v>
      </c>
      <c r="AG143" s="7">
        <f t="shared" si="29"/>
        <v>-1.0972222222222383E-2</v>
      </c>
    </row>
    <row r="144" spans="1:33" x14ac:dyDescent="0.35">
      <c r="A144" s="9">
        <v>43819</v>
      </c>
      <c r="B144" s="10">
        <f>Расчеты!G157/360</f>
        <v>1.7583333333333333E-2</v>
      </c>
      <c r="C144" s="11">
        <v>635.20000000000005</v>
      </c>
      <c r="D144" s="3">
        <f t="shared" si="20"/>
        <v>0</v>
      </c>
      <c r="E144" s="3">
        <f t="shared" si="21"/>
        <v>-1.7583333333333333E-2</v>
      </c>
      <c r="F144" s="34">
        <v>3015.93</v>
      </c>
      <c r="G144" s="3">
        <f t="shared" si="22"/>
        <v>0.25063239806009108</v>
      </c>
      <c r="H144" s="3">
        <f t="shared" si="23"/>
        <v>0.23304906472675774</v>
      </c>
      <c r="I144" s="3">
        <f t="shared" si="24"/>
        <v>3.0917361111111109E-4</v>
      </c>
      <c r="J144" s="3">
        <f t="shared" si="25"/>
        <v>5.431186657001652E-2</v>
      </c>
      <c r="K144" s="3">
        <f t="shared" si="26"/>
        <v>-4.0977793881121572E-3</v>
      </c>
      <c r="M144" s="8">
        <v>0.15460729746443747</v>
      </c>
      <c r="N144" s="7">
        <f t="shared" si="27"/>
        <v>1.5460729746443747E-3</v>
      </c>
      <c r="AD144" s="8">
        <v>0.15460729746443747</v>
      </c>
      <c r="AE144" s="8">
        <f t="shared" si="28"/>
        <v>-0.15460729746443747</v>
      </c>
      <c r="AF144" s="8">
        <v>-1.0946216187769586</v>
      </c>
      <c r="AG144" s="7">
        <f t="shared" si="29"/>
        <v>-1.0946216187769586E-2</v>
      </c>
    </row>
    <row r="145" spans="1:33" x14ac:dyDescent="0.35">
      <c r="A145" s="9">
        <v>43822</v>
      </c>
      <c r="B145" s="10">
        <f>Расчеты!G158/360</f>
        <v>1.7444444444444446E-2</v>
      </c>
      <c r="C145" s="11">
        <v>637.20000000000005</v>
      </c>
      <c r="D145" s="3">
        <f t="shared" si="20"/>
        <v>0.31486146095718315</v>
      </c>
      <c r="E145" s="3">
        <f t="shared" si="21"/>
        <v>0.29741701651273872</v>
      </c>
      <c r="F145" s="34">
        <v>3033.81</v>
      </c>
      <c r="G145" s="3">
        <f t="shared" si="22"/>
        <v>0.59285195611304964</v>
      </c>
      <c r="H145" s="3">
        <f t="shared" si="23"/>
        <v>0.57540751166860515</v>
      </c>
      <c r="I145" s="3">
        <f t="shared" si="24"/>
        <v>8.8456881711338697E-2</v>
      </c>
      <c r="J145" s="3">
        <f t="shared" si="25"/>
        <v>0.33109380448465597</v>
      </c>
      <c r="K145" s="3">
        <f t="shared" si="26"/>
        <v>0.17113598539949543</v>
      </c>
      <c r="M145" s="8">
        <v>0.16286644951140072</v>
      </c>
      <c r="N145" s="7">
        <f t="shared" si="27"/>
        <v>1.6286644951140072E-3</v>
      </c>
      <c r="AD145" s="8">
        <v>0.16286644951140072</v>
      </c>
      <c r="AE145" s="8">
        <f t="shared" si="28"/>
        <v>-0.16286644951140072</v>
      </c>
      <c r="AF145" s="8">
        <v>-1.0942599347283366</v>
      </c>
      <c r="AG145" s="7">
        <f t="shared" si="29"/>
        <v>-1.0942599347283366E-2</v>
      </c>
    </row>
    <row r="146" spans="1:33" x14ac:dyDescent="0.35">
      <c r="A146" s="9">
        <v>43823</v>
      </c>
      <c r="B146" s="10">
        <f>Расчеты!G159/360</f>
        <v>1.7749999999999998E-2</v>
      </c>
      <c r="C146" s="11">
        <v>639.79999999999995</v>
      </c>
      <c r="D146" s="3">
        <f t="shared" si="20"/>
        <v>0.40803515379785882</v>
      </c>
      <c r="E146" s="3">
        <f t="shared" si="21"/>
        <v>0.39028515379785883</v>
      </c>
      <c r="F146" s="34">
        <v>3030.59</v>
      </c>
      <c r="G146" s="3">
        <f t="shared" si="22"/>
        <v>-0.10613716745609958</v>
      </c>
      <c r="H146" s="3">
        <f t="shared" si="23"/>
        <v>-0.12388716745609958</v>
      </c>
      <c r="I146" s="3">
        <f t="shared" si="24"/>
        <v>0.15232250127501831</v>
      </c>
      <c r="J146" s="3">
        <f t="shared" si="25"/>
        <v>1.5348030260295659E-2</v>
      </c>
      <c r="K146" s="3">
        <f t="shared" si="26"/>
        <v>-4.8351322204184914E-2</v>
      </c>
      <c r="M146" s="8">
        <v>0.17103762827821445</v>
      </c>
      <c r="N146" s="7">
        <f t="shared" si="27"/>
        <v>1.7103762827821445E-3</v>
      </c>
      <c r="AD146" s="8">
        <v>0.17103762827821445</v>
      </c>
      <c r="AE146" s="8">
        <f t="shared" si="28"/>
        <v>-0.17103762827821445</v>
      </c>
      <c r="AF146" s="8">
        <v>-1.0888888888888948</v>
      </c>
      <c r="AG146" s="7">
        <f t="shared" si="29"/>
        <v>-1.0888888888888948E-2</v>
      </c>
    </row>
    <row r="147" spans="1:33" x14ac:dyDescent="0.35">
      <c r="A147" s="9">
        <v>43824</v>
      </c>
      <c r="B147" s="10">
        <f>Расчеты!G160/360</f>
        <v>1.7805555555555557E-2</v>
      </c>
      <c r="C147" s="11">
        <v>639.79999999999995</v>
      </c>
      <c r="D147" s="3">
        <f t="shared" si="20"/>
        <v>0</v>
      </c>
      <c r="E147" s="3">
        <f t="shared" si="21"/>
        <v>-1.7805555555555557E-2</v>
      </c>
      <c r="F147" s="34">
        <v>3030.84</v>
      </c>
      <c r="G147" s="3">
        <f t="shared" si="22"/>
        <v>8.2492187989835486E-3</v>
      </c>
      <c r="H147" s="3">
        <f t="shared" si="23"/>
        <v>-9.5563367565720085E-3</v>
      </c>
      <c r="I147" s="3">
        <f t="shared" si="24"/>
        <v>3.1703780864197537E-4</v>
      </c>
      <c r="J147" s="3">
        <f t="shared" si="25"/>
        <v>9.1323572205009211E-5</v>
      </c>
      <c r="K147" s="3">
        <f t="shared" si="26"/>
        <v>1.7015588502674049E-4</v>
      </c>
      <c r="M147" s="8">
        <v>0.17584994138335475</v>
      </c>
      <c r="N147" s="7">
        <f t="shared" si="27"/>
        <v>1.7584994138335475E-3</v>
      </c>
      <c r="AD147" s="8">
        <v>0.17584994138335475</v>
      </c>
      <c r="AE147" s="8">
        <f t="shared" si="28"/>
        <v>-0.17584994138335475</v>
      </c>
      <c r="AF147" s="8">
        <v>-1.0622817229336445</v>
      </c>
      <c r="AG147" s="7">
        <f t="shared" si="29"/>
        <v>-1.0622817229336445E-2</v>
      </c>
    </row>
    <row r="148" spans="1:33" x14ac:dyDescent="0.35">
      <c r="A148" s="9">
        <v>43825</v>
      </c>
      <c r="B148" s="10">
        <f>Расчеты!G161/360</f>
        <v>1.7777777777777778E-2</v>
      </c>
      <c r="C148" s="11">
        <v>648.4</v>
      </c>
      <c r="D148" s="3">
        <f t="shared" si="20"/>
        <v>1.3441700531416023</v>
      </c>
      <c r="E148" s="3">
        <f t="shared" si="21"/>
        <v>1.3263922753638246</v>
      </c>
      <c r="F148" s="34">
        <v>3031.67</v>
      </c>
      <c r="G148" s="3">
        <f t="shared" si="22"/>
        <v>2.7385147351877137E-2</v>
      </c>
      <c r="H148" s="3">
        <f t="shared" si="23"/>
        <v>9.6073695740993593E-3</v>
      </c>
      <c r="I148" s="3">
        <f t="shared" si="24"/>
        <v>1.7593164681448241</v>
      </c>
      <c r="J148" s="3">
        <f t="shared" si="25"/>
        <v>9.2301550133330108E-5</v>
      </c>
      <c r="K148" s="3">
        <f t="shared" si="26"/>
        <v>1.2743140789650827E-2</v>
      </c>
      <c r="M148" s="8">
        <v>0.18604651162790198</v>
      </c>
      <c r="N148" s="7">
        <f t="shared" si="27"/>
        <v>1.8604651162790198E-3</v>
      </c>
      <c r="AD148" s="8">
        <v>0.18604651162790198</v>
      </c>
      <c r="AE148" s="8">
        <f t="shared" si="28"/>
        <v>-0.18604651162790198</v>
      </c>
      <c r="AF148" s="8">
        <v>-1.0550769528603343</v>
      </c>
      <c r="AG148" s="7">
        <f t="shared" si="29"/>
        <v>-1.0550769528603343E-2</v>
      </c>
    </row>
    <row r="149" spans="1:33" x14ac:dyDescent="0.35">
      <c r="A149" s="9">
        <v>43826</v>
      </c>
      <c r="B149" s="10">
        <f>Расчеты!G162/360</f>
        <v>1.7861111111111109E-2</v>
      </c>
      <c r="C149" s="11">
        <v>647.79999999999995</v>
      </c>
      <c r="D149" s="3">
        <f t="shared" si="20"/>
        <v>-9.2535471930910163E-2</v>
      </c>
      <c r="E149" s="3">
        <f t="shared" si="21"/>
        <v>-0.11039658304202127</v>
      </c>
      <c r="F149" s="34">
        <v>3050.47</v>
      </c>
      <c r="G149" s="3">
        <f t="shared" si="22"/>
        <v>0.6201202637490244</v>
      </c>
      <c r="H149" s="3">
        <f t="shared" si="23"/>
        <v>0.6022591526379133</v>
      </c>
      <c r="I149" s="3">
        <f t="shared" si="24"/>
        <v>1.2187405547353898E-2</v>
      </c>
      <c r="J149" s="3">
        <f t="shared" si="25"/>
        <v>0.36271608693613733</v>
      </c>
      <c r="K149" s="3">
        <f t="shared" si="26"/>
        <v>-6.6487352557008758E-2</v>
      </c>
      <c r="M149" s="8">
        <v>0.18861993083933992</v>
      </c>
      <c r="N149" s="7">
        <f t="shared" si="27"/>
        <v>1.8861993083933992E-3</v>
      </c>
      <c r="AD149" s="8">
        <v>0.18861993083933992</v>
      </c>
      <c r="AE149" s="8">
        <f t="shared" si="28"/>
        <v>-0.18861993083933992</v>
      </c>
      <c r="AF149" s="8">
        <v>-1.0425020048115519</v>
      </c>
      <c r="AG149" s="7">
        <f t="shared" si="29"/>
        <v>-1.0425020048115519E-2</v>
      </c>
    </row>
    <row r="150" spans="1:33" x14ac:dyDescent="0.35">
      <c r="A150" s="9">
        <v>43829</v>
      </c>
      <c r="B150" s="10">
        <f>Расчеты!G163/360</f>
        <v>1.7694444444444443E-2</v>
      </c>
      <c r="C150" s="11">
        <v>647.20000000000005</v>
      </c>
      <c r="D150" s="3">
        <f t="shared" si="20"/>
        <v>-9.2621179376339846E-2</v>
      </c>
      <c r="E150" s="3">
        <f t="shared" si="21"/>
        <v>-0.11031562382078429</v>
      </c>
      <c r="F150" s="34">
        <v>3045.87</v>
      </c>
      <c r="G150" s="3">
        <f t="shared" si="22"/>
        <v>-0.15079643464777082</v>
      </c>
      <c r="H150" s="3">
        <f t="shared" si="23"/>
        <v>-0.16849087909221527</v>
      </c>
      <c r="I150" s="3">
        <f t="shared" si="24"/>
        <v>1.216953685896879E-2</v>
      </c>
      <c r="J150" s="3">
        <f t="shared" si="25"/>
        <v>2.8389176337267504E-2</v>
      </c>
      <c r="K150" s="3">
        <f t="shared" si="26"/>
        <v>1.8587176435170067E-2</v>
      </c>
      <c r="M150" s="8">
        <v>0.19305019305018156</v>
      </c>
      <c r="N150" s="7">
        <f t="shared" si="27"/>
        <v>1.9305019305018156E-3</v>
      </c>
      <c r="AD150" s="8">
        <v>0.19305019305018156</v>
      </c>
      <c r="AE150" s="8">
        <f t="shared" si="28"/>
        <v>-0.19305019305018156</v>
      </c>
      <c r="AF150" s="8">
        <v>-1.0401188707280795</v>
      </c>
      <c r="AG150" s="7">
        <f t="shared" si="29"/>
        <v>-1.0401188707280795E-2</v>
      </c>
    </row>
    <row r="151" spans="1:33" x14ac:dyDescent="0.35">
      <c r="A151" s="9">
        <v>43833</v>
      </c>
      <c r="B151" s="10">
        <f>Расчеты!G164/360</f>
        <v>1.7722222222222223E-2</v>
      </c>
      <c r="C151" s="11">
        <v>661.4</v>
      </c>
      <c r="D151" s="3">
        <f t="shared" si="20"/>
        <v>2.1940667490729204</v>
      </c>
      <c r="E151" s="3">
        <f t="shared" si="21"/>
        <v>2.176344526850698</v>
      </c>
      <c r="F151" s="34">
        <v>3076.37</v>
      </c>
      <c r="G151" s="3">
        <f t="shared" si="22"/>
        <v>1.0013559344292489</v>
      </c>
      <c r="H151" s="3">
        <f t="shared" si="23"/>
        <v>0.98363371220702667</v>
      </c>
      <c r="I151" s="3">
        <f t="shared" si="24"/>
        <v>4.7364754995529887</v>
      </c>
      <c r="J151" s="3">
        <f t="shared" si="25"/>
        <v>0.96753527979017573</v>
      </c>
      <c r="K151" s="3">
        <f t="shared" si="26"/>
        <v>2.1407258459875971</v>
      </c>
      <c r="M151" s="8">
        <v>0.19311232700354175</v>
      </c>
      <c r="N151" s="7">
        <f t="shared" si="27"/>
        <v>1.9311232700354175E-3</v>
      </c>
      <c r="AD151" s="8">
        <v>0.19311232700354175</v>
      </c>
      <c r="AE151" s="8">
        <f t="shared" si="28"/>
        <v>-0.19311232700354175</v>
      </c>
      <c r="AF151" s="8">
        <v>-1.0253191044151566</v>
      </c>
      <c r="AG151" s="7">
        <f t="shared" si="29"/>
        <v>-1.0253191044151566E-2</v>
      </c>
    </row>
    <row r="152" spans="1:33" x14ac:dyDescent="0.35">
      <c r="A152" s="9">
        <v>43836</v>
      </c>
      <c r="B152" s="10">
        <f>Расчеты!G165/360</f>
        <v>1.7722222222222223E-2</v>
      </c>
      <c r="C152" s="11">
        <v>666.2</v>
      </c>
      <c r="D152" s="3">
        <f t="shared" si="20"/>
        <v>0.72573329301481859</v>
      </c>
      <c r="E152" s="3">
        <f t="shared" si="21"/>
        <v>0.7080110707925964</v>
      </c>
      <c r="F152" s="34">
        <v>3078.87</v>
      </c>
      <c r="G152" s="3">
        <f t="shared" si="22"/>
        <v>8.1264607313169535E-2</v>
      </c>
      <c r="H152" s="3">
        <f t="shared" si="23"/>
        <v>6.3542385090947312E-2</v>
      </c>
      <c r="I152" s="3">
        <f t="shared" si="24"/>
        <v>0.50127967636487891</v>
      </c>
      <c r="J152" s="3">
        <f t="shared" si="25"/>
        <v>4.0376347030462436E-3</v>
      </c>
      <c r="K152" s="3">
        <f t="shared" si="26"/>
        <v>4.4988712108957121E-2</v>
      </c>
      <c r="M152" s="8">
        <v>0.21128886205854513</v>
      </c>
      <c r="N152" s="7">
        <f t="shared" si="27"/>
        <v>2.1128886205854513E-3</v>
      </c>
      <c r="AD152" s="8">
        <v>0.21128886205854513</v>
      </c>
      <c r="AE152" s="8">
        <f t="shared" si="28"/>
        <v>-0.21128886205854513</v>
      </c>
      <c r="AF152" s="8">
        <v>-1.0144614720483558</v>
      </c>
      <c r="AG152" s="7">
        <f t="shared" si="29"/>
        <v>-1.0144614720483558E-2</v>
      </c>
    </row>
    <row r="153" spans="1:33" x14ac:dyDescent="0.35">
      <c r="A153" s="9">
        <v>43838</v>
      </c>
      <c r="B153" s="10">
        <f>Расчеты!G166/360</f>
        <v>1.7722222222222223E-2</v>
      </c>
      <c r="C153" s="11">
        <v>668.2</v>
      </c>
      <c r="D153" s="3">
        <f t="shared" si="20"/>
        <v>0.300210147102975</v>
      </c>
      <c r="E153" s="3">
        <f t="shared" si="21"/>
        <v>0.28248792488075281</v>
      </c>
      <c r="F153" s="34">
        <v>3110.06</v>
      </c>
      <c r="G153" s="3">
        <f t="shared" si="22"/>
        <v>1.0130340027347806</v>
      </c>
      <c r="H153" s="3">
        <f t="shared" si="23"/>
        <v>0.99531178051255842</v>
      </c>
      <c r="I153" s="3">
        <f t="shared" si="24"/>
        <v>7.9799427703433845E-2</v>
      </c>
      <c r="J153" s="3">
        <f t="shared" si="25"/>
        <v>0.99064554042707931</v>
      </c>
      <c r="K153" s="3">
        <f t="shared" si="26"/>
        <v>0.2811635594863599</v>
      </c>
      <c r="M153" s="8">
        <v>0.21250758955677629</v>
      </c>
      <c r="N153" s="7">
        <f t="shared" si="27"/>
        <v>2.1250758955677629E-3</v>
      </c>
      <c r="AD153" s="8">
        <v>0.21250758955677629</v>
      </c>
      <c r="AE153" s="8">
        <f t="shared" si="28"/>
        <v>-0.21250758955677629</v>
      </c>
      <c r="AF153" s="8">
        <v>-1.0116622172263612</v>
      </c>
      <c r="AG153" s="7">
        <f t="shared" si="29"/>
        <v>-1.0116622172263612E-2</v>
      </c>
    </row>
    <row r="154" spans="1:33" x14ac:dyDescent="0.35">
      <c r="A154" s="9">
        <v>43839</v>
      </c>
      <c r="B154" s="10">
        <f>Расчеты!G167/360</f>
        <v>1.7749999999999998E-2</v>
      </c>
      <c r="C154" s="11">
        <v>654.79999999999995</v>
      </c>
      <c r="D154" s="3">
        <f t="shared" si="20"/>
        <v>-2.005387608500464</v>
      </c>
      <c r="E154" s="3">
        <f t="shared" si="21"/>
        <v>-2.023137608500464</v>
      </c>
      <c r="F154" s="34">
        <v>3118.08</v>
      </c>
      <c r="G154" s="3">
        <f t="shared" si="22"/>
        <v>0.25787283846614439</v>
      </c>
      <c r="H154" s="3">
        <f t="shared" si="23"/>
        <v>0.24012283846614441</v>
      </c>
      <c r="I154" s="3">
        <f t="shared" si="24"/>
        <v>4.0930857829289771</v>
      </c>
      <c r="J154" s="3">
        <f t="shared" si="25"/>
        <v>5.7658977553038081E-2</v>
      </c>
      <c r="K154" s="3">
        <f t="shared" si="26"/>
        <v>-0.48580154516073859</v>
      </c>
      <c r="M154" s="8">
        <v>0.27116601385961392</v>
      </c>
      <c r="N154" s="7">
        <f t="shared" si="27"/>
        <v>2.7116601385961392E-3</v>
      </c>
      <c r="AD154" s="8">
        <v>0.27116601385961392</v>
      </c>
      <c r="AE154" s="8">
        <f t="shared" si="28"/>
        <v>-0.27116601385961392</v>
      </c>
      <c r="AF154" s="8">
        <v>-1.0085632730732597</v>
      </c>
      <c r="AG154" s="7">
        <f t="shared" si="29"/>
        <v>-1.0085632730732597E-2</v>
      </c>
    </row>
    <row r="155" spans="1:33" x14ac:dyDescent="0.35">
      <c r="A155" s="9">
        <v>43840</v>
      </c>
      <c r="B155" s="10">
        <f>Расчеты!G168/360</f>
        <v>1.7666666666666667E-2</v>
      </c>
      <c r="C155" s="11">
        <v>653.20000000000005</v>
      </c>
      <c r="D155" s="3">
        <f t="shared" si="20"/>
        <v>-0.24434941967010904</v>
      </c>
      <c r="E155" s="3">
        <f t="shared" si="21"/>
        <v>-0.2620160863367757</v>
      </c>
      <c r="F155" s="34">
        <v>3123.66</v>
      </c>
      <c r="G155" s="3">
        <f t="shared" si="22"/>
        <v>0.17895628078816728</v>
      </c>
      <c r="H155" s="3">
        <f t="shared" si="23"/>
        <v>0.16128961412150061</v>
      </c>
      <c r="I155" s="3">
        <f t="shared" si="24"/>
        <v>6.8652429499240691E-2</v>
      </c>
      <c r="J155" s="3">
        <f t="shared" si="25"/>
        <v>2.6014339623462571E-2</v>
      </c>
      <c r="K155" s="3">
        <f t="shared" si="26"/>
        <v>-4.226047345888434E-2</v>
      </c>
      <c r="M155" s="8">
        <v>0.27726432532346745</v>
      </c>
      <c r="N155" s="7">
        <f t="shared" si="27"/>
        <v>2.7726432532346745E-3</v>
      </c>
      <c r="AD155" s="8">
        <v>0.27726432532346745</v>
      </c>
      <c r="AE155" s="8">
        <f t="shared" si="28"/>
        <v>-0.27726432532346745</v>
      </c>
      <c r="AF155" s="8">
        <v>-0.9997222993612831</v>
      </c>
      <c r="AG155" s="7">
        <f t="shared" si="29"/>
        <v>-9.997222993612831E-3</v>
      </c>
    </row>
    <row r="156" spans="1:33" x14ac:dyDescent="0.35">
      <c r="A156" s="9">
        <v>43843</v>
      </c>
      <c r="B156" s="10">
        <f>Расчеты!G169/360</f>
        <v>1.7694444444444443E-2</v>
      </c>
      <c r="C156" s="11">
        <v>655.6</v>
      </c>
      <c r="D156" s="3">
        <f t="shared" si="20"/>
        <v>0.3674219228413822</v>
      </c>
      <c r="E156" s="3">
        <f t="shared" si="21"/>
        <v>0.34972747839693774</v>
      </c>
      <c r="F156" s="34">
        <v>3151.69</v>
      </c>
      <c r="G156" s="3">
        <f t="shared" si="22"/>
        <v>0.89734478144229968</v>
      </c>
      <c r="H156" s="3">
        <f t="shared" si="23"/>
        <v>0.87965033699785522</v>
      </c>
      <c r="I156" s="3">
        <f t="shared" si="24"/>
        <v>0.12230930914588055</v>
      </c>
      <c r="J156" s="3">
        <f t="shared" si="25"/>
        <v>0.77378471538044025</v>
      </c>
      <c r="K156" s="3">
        <f t="shared" si="26"/>
        <v>0.3076378942292764</v>
      </c>
      <c r="M156" s="8">
        <v>0.28661507595300062</v>
      </c>
      <c r="N156" s="7">
        <f t="shared" si="27"/>
        <v>2.8661507595300062E-3</v>
      </c>
      <c r="AD156" s="8">
        <v>0.28661507595300062</v>
      </c>
      <c r="AE156" s="8">
        <f t="shared" si="28"/>
        <v>-0.28661507595300062</v>
      </c>
      <c r="AF156" s="8">
        <v>-0.9970457902511054</v>
      </c>
      <c r="AG156" s="7">
        <f t="shared" si="29"/>
        <v>-9.970457902511054E-3</v>
      </c>
    </row>
    <row r="157" spans="1:33" x14ac:dyDescent="0.35">
      <c r="A157" s="9">
        <v>43844</v>
      </c>
      <c r="B157" s="10">
        <f>Расчеты!G170/360</f>
        <v>1.7583333333333333E-2</v>
      </c>
      <c r="C157" s="11">
        <v>653</v>
      </c>
      <c r="D157" s="3">
        <f t="shared" si="20"/>
        <v>-0.39658328248932673</v>
      </c>
      <c r="E157" s="3">
        <f t="shared" si="21"/>
        <v>-0.41416661582266007</v>
      </c>
      <c r="F157" s="34">
        <v>3129.77</v>
      </c>
      <c r="G157" s="3">
        <f t="shared" si="22"/>
        <v>-0.6954998746704133</v>
      </c>
      <c r="H157" s="3">
        <f t="shared" si="23"/>
        <v>-0.71308320800374658</v>
      </c>
      <c r="I157" s="3">
        <f t="shared" si="24"/>
        <v>0.1715339856619949</v>
      </c>
      <c r="J157" s="3">
        <f t="shared" si="25"/>
        <v>0.50848766153691449</v>
      </c>
      <c r="K157" s="3">
        <f t="shared" si="26"/>
        <v>0.2953352590588777</v>
      </c>
      <c r="M157" s="8">
        <v>0.28920308483291191</v>
      </c>
      <c r="N157" s="7">
        <f t="shared" si="27"/>
        <v>2.8920308483291191E-3</v>
      </c>
      <c r="AD157" s="8">
        <v>0.28920308483291191</v>
      </c>
      <c r="AE157" s="8">
        <f t="shared" si="28"/>
        <v>-0.28920308483291191</v>
      </c>
      <c r="AF157" s="8">
        <v>-0.98868219071157615</v>
      </c>
      <c r="AG157" s="7">
        <f t="shared" si="29"/>
        <v>-9.8868219071157615E-3</v>
      </c>
    </row>
    <row r="158" spans="1:33" x14ac:dyDescent="0.35">
      <c r="A158" s="9">
        <v>43845</v>
      </c>
      <c r="B158" s="10">
        <f>Расчеты!G171/360</f>
        <v>1.7583333333333333E-2</v>
      </c>
      <c r="C158" s="11">
        <v>656.2</v>
      </c>
      <c r="D158" s="3">
        <f t="shared" si="20"/>
        <v>0.49004594180706018</v>
      </c>
      <c r="E158" s="3">
        <f t="shared" si="21"/>
        <v>0.47246260847372684</v>
      </c>
      <c r="F158" s="34">
        <v>3132.63</v>
      </c>
      <c r="G158" s="3">
        <f t="shared" si="22"/>
        <v>9.1380516779193677E-2</v>
      </c>
      <c r="H158" s="3">
        <f t="shared" si="23"/>
        <v>7.3797183445860337E-2</v>
      </c>
      <c r="I158" s="3">
        <f t="shared" si="24"/>
        <v>0.22322091640579811</v>
      </c>
      <c r="J158" s="3">
        <f t="shared" si="25"/>
        <v>5.4460242845419627E-3</v>
      </c>
      <c r="K158" s="3">
        <f t="shared" si="26"/>
        <v>3.486640978884531E-2</v>
      </c>
      <c r="M158" s="8">
        <v>0.29052876234747504</v>
      </c>
      <c r="N158" s="7">
        <f t="shared" si="27"/>
        <v>2.9052876234747504E-3</v>
      </c>
      <c r="AD158" s="8">
        <v>0.29052876234747504</v>
      </c>
      <c r="AE158" s="8">
        <f t="shared" si="28"/>
        <v>-0.29052876234747504</v>
      </c>
      <c r="AF158" s="8">
        <v>-0.97854723372223784</v>
      </c>
      <c r="AG158" s="7">
        <f t="shared" si="29"/>
        <v>-9.7854723372223784E-3</v>
      </c>
    </row>
    <row r="159" spans="1:33" x14ac:dyDescent="0.35">
      <c r="A159" s="9">
        <v>43846</v>
      </c>
      <c r="B159" s="10">
        <f>Расчеты!G172/360</f>
        <v>1.7583333333333333E-2</v>
      </c>
      <c r="C159" s="11">
        <v>658.6</v>
      </c>
      <c r="D159" s="3">
        <f t="shared" si="20"/>
        <v>0.36574215178299951</v>
      </c>
      <c r="E159" s="3">
        <f t="shared" si="21"/>
        <v>0.34815881844966617</v>
      </c>
      <c r="F159" s="34">
        <v>3157.23</v>
      </c>
      <c r="G159" s="3">
        <f t="shared" si="22"/>
        <v>0.78528265387229901</v>
      </c>
      <c r="H159" s="3">
        <f t="shared" si="23"/>
        <v>0.76769932053896572</v>
      </c>
      <c r="I159" s="3">
        <f t="shared" si="24"/>
        <v>0.12121456286426761</v>
      </c>
      <c r="J159" s="3">
        <f t="shared" si="25"/>
        <v>0.58936224675598969</v>
      </c>
      <c r="K159" s="3">
        <f t="shared" si="26"/>
        <v>0.26728128836345783</v>
      </c>
      <c r="M159" s="8">
        <v>0.2994908655286066</v>
      </c>
      <c r="N159" s="7">
        <f t="shared" si="27"/>
        <v>2.994908655286066E-3</v>
      </c>
      <c r="AD159" s="8">
        <v>0.2994908655286066</v>
      </c>
      <c r="AE159" s="8">
        <f t="shared" si="28"/>
        <v>-0.2994908655286066</v>
      </c>
      <c r="AF159" s="8">
        <v>-0.95594347464671436</v>
      </c>
      <c r="AG159" s="7">
        <f t="shared" si="29"/>
        <v>-9.5594347464671436E-3</v>
      </c>
    </row>
    <row r="160" spans="1:33" x14ac:dyDescent="0.35">
      <c r="A160" s="9">
        <v>43847</v>
      </c>
      <c r="B160" s="10">
        <f>Расчеты!G173/360</f>
        <v>1.7499999999999998E-2</v>
      </c>
      <c r="C160" s="11">
        <v>659</v>
      </c>
      <c r="D160" s="3">
        <f t="shared" si="20"/>
        <v>6.0734892195557499E-2</v>
      </c>
      <c r="E160" s="3">
        <f t="shared" si="21"/>
        <v>4.3234892195557498E-2</v>
      </c>
      <c r="F160" s="34">
        <v>3196.88</v>
      </c>
      <c r="G160" s="3">
        <f t="shared" si="22"/>
        <v>1.2558476892719383</v>
      </c>
      <c r="H160" s="3">
        <f t="shared" si="23"/>
        <v>1.2383476892719383</v>
      </c>
      <c r="I160" s="3">
        <f t="shared" si="24"/>
        <v>1.8692559031614786E-3</v>
      </c>
      <c r="J160" s="3">
        <f t="shared" si="25"/>
        <v>1.5335049995251491</v>
      </c>
      <c r="K160" s="3">
        <f t="shared" si="26"/>
        <v>5.3539828846289987E-2</v>
      </c>
      <c r="M160" s="8">
        <v>0.300210147102975</v>
      </c>
      <c r="N160" s="7">
        <f t="shared" si="27"/>
        <v>3.00210147102975E-3</v>
      </c>
      <c r="AD160" s="8">
        <v>0.300210147102975</v>
      </c>
      <c r="AE160" s="8">
        <f t="shared" si="28"/>
        <v>-0.300210147102975</v>
      </c>
      <c r="AF160" s="8">
        <v>-0.92165898617511122</v>
      </c>
      <c r="AG160" s="7">
        <f t="shared" si="29"/>
        <v>-9.2165898617511122E-3</v>
      </c>
    </row>
    <row r="161" spans="1:33" x14ac:dyDescent="0.35">
      <c r="A161" s="9">
        <v>43850</v>
      </c>
      <c r="B161" s="10">
        <f>Расчеты!G174/360</f>
        <v>1.7527777777777778E-2</v>
      </c>
      <c r="C161" s="11">
        <v>662.6</v>
      </c>
      <c r="D161" s="3">
        <f t="shared" si="20"/>
        <v>0.54628224582702334</v>
      </c>
      <c r="E161" s="3">
        <f t="shared" si="21"/>
        <v>0.52875446804924553</v>
      </c>
      <c r="F161" s="34">
        <v>3219.92</v>
      </c>
      <c r="G161" s="3">
        <f t="shared" si="22"/>
        <v>0.72070268511799096</v>
      </c>
      <c r="H161" s="3">
        <f t="shared" si="23"/>
        <v>0.70317490734021315</v>
      </c>
      <c r="I161" s="3">
        <f t="shared" si="24"/>
        <v>0.27958128748204059</v>
      </c>
      <c r="J161" s="3">
        <f t="shared" si="25"/>
        <v>0.49445495031291736</v>
      </c>
      <c r="K161" s="3">
        <f t="shared" si="26"/>
        <v>0.3718068740762519</v>
      </c>
      <c r="M161" s="8">
        <v>0.30253665347916847</v>
      </c>
      <c r="N161" s="7">
        <f t="shared" si="27"/>
        <v>3.0253665347916847E-3</v>
      </c>
      <c r="AD161" s="8">
        <v>0.30253665347916847</v>
      </c>
      <c r="AE161" s="8">
        <f t="shared" si="28"/>
        <v>-0.30253665347916847</v>
      </c>
      <c r="AF161" s="8">
        <v>-0.8736559139784994</v>
      </c>
      <c r="AG161" s="7">
        <f t="shared" si="29"/>
        <v>-8.736559139784994E-3</v>
      </c>
    </row>
    <row r="162" spans="1:33" x14ac:dyDescent="0.35">
      <c r="A162" s="9">
        <v>43851</v>
      </c>
      <c r="B162" s="10">
        <f>Расчеты!G175/360</f>
        <v>1.7499999999999998E-2</v>
      </c>
      <c r="C162" s="11">
        <v>663</v>
      </c>
      <c r="D162" s="3">
        <f t="shared" si="20"/>
        <v>6.0368246302444639E-2</v>
      </c>
      <c r="E162" s="3">
        <f t="shared" si="21"/>
        <v>4.2868246302444638E-2</v>
      </c>
      <c r="F162" s="34">
        <v>3209.22</v>
      </c>
      <c r="G162" s="3">
        <f t="shared" si="22"/>
        <v>-0.33230639270541706</v>
      </c>
      <c r="H162" s="3">
        <f t="shared" si="23"/>
        <v>-0.34980639270541708</v>
      </c>
      <c r="I162" s="3">
        <f t="shared" si="24"/>
        <v>1.8376865410470583E-3</v>
      </c>
      <c r="J162" s="3">
        <f t="shared" si="25"/>
        <v>0.12236451237757646</v>
      </c>
      <c r="K162" s="3">
        <f t="shared" si="26"/>
        <v>-1.4995586600665493E-2</v>
      </c>
      <c r="M162" s="8">
        <v>0.30788177339902134</v>
      </c>
      <c r="N162" s="7">
        <f t="shared" si="27"/>
        <v>3.0788177339902134E-3</v>
      </c>
      <c r="AD162" s="8">
        <v>0.30788177339902134</v>
      </c>
      <c r="AE162" s="8">
        <f t="shared" si="28"/>
        <v>-0.30788177339902134</v>
      </c>
      <c r="AF162" s="8">
        <v>-0.8583690987124637</v>
      </c>
      <c r="AG162" s="7">
        <f t="shared" si="29"/>
        <v>-8.583690987124637E-3</v>
      </c>
    </row>
    <row r="163" spans="1:33" x14ac:dyDescent="0.35">
      <c r="A163" s="9">
        <v>43852</v>
      </c>
      <c r="B163" s="10">
        <f>Расчеты!G176/360</f>
        <v>1.7499999999999998E-2</v>
      </c>
      <c r="C163" s="11">
        <v>663</v>
      </c>
      <c r="D163" s="3">
        <f t="shared" si="20"/>
        <v>0</v>
      </c>
      <c r="E163" s="3">
        <f t="shared" si="21"/>
        <v>-1.7499999999999998E-2</v>
      </c>
      <c r="F163" s="34">
        <v>3174.62</v>
      </c>
      <c r="G163" s="3">
        <f t="shared" si="22"/>
        <v>-1.0781435987560761</v>
      </c>
      <c r="H163" s="3">
        <f t="shared" si="23"/>
        <v>-1.0956435987560762</v>
      </c>
      <c r="I163" s="3">
        <f t="shared" si="24"/>
        <v>3.0624999999999994E-4</v>
      </c>
      <c r="J163" s="3">
        <f t="shared" si="25"/>
        <v>1.2004348954951658</v>
      </c>
      <c r="K163" s="3">
        <f t="shared" si="26"/>
        <v>1.9173762978231333E-2</v>
      </c>
      <c r="M163" s="8">
        <v>0.31486146095718315</v>
      </c>
      <c r="N163" s="7">
        <f t="shared" si="27"/>
        <v>3.1486146095718315E-3</v>
      </c>
      <c r="AD163" s="8">
        <v>0.31486146095718315</v>
      </c>
      <c r="AE163" s="8">
        <f t="shared" si="28"/>
        <v>-0.31486146095718315</v>
      </c>
      <c r="AF163" s="8">
        <v>-0.85607276618513417</v>
      </c>
      <c r="AG163" s="7">
        <f t="shared" si="29"/>
        <v>-8.5607276618513417E-3</v>
      </c>
    </row>
    <row r="164" spans="1:33" x14ac:dyDescent="0.35">
      <c r="A164" s="9">
        <v>43853</v>
      </c>
      <c r="B164" s="10">
        <f>Расчеты!G177/360</f>
        <v>1.7583333333333333E-2</v>
      </c>
      <c r="C164" s="11">
        <v>667.8</v>
      </c>
      <c r="D164" s="3">
        <f t="shared" si="20"/>
        <v>0.72398190045248612</v>
      </c>
      <c r="E164" s="3">
        <f t="shared" si="21"/>
        <v>0.70639856711915283</v>
      </c>
      <c r="F164" s="34">
        <v>3141.2</v>
      </c>
      <c r="G164" s="3">
        <f t="shared" si="22"/>
        <v>-1.052724420560569</v>
      </c>
      <c r="H164" s="3">
        <f t="shared" si="23"/>
        <v>-1.0703077538939023</v>
      </c>
      <c r="I164" s="3">
        <f t="shared" si="24"/>
        <v>0.49899893562799225</v>
      </c>
      <c r="J164" s="3">
        <f t="shared" si="25"/>
        <v>1.1455586880454101</v>
      </c>
      <c r="K164" s="3">
        <f t="shared" si="26"/>
        <v>-0.75606386372717149</v>
      </c>
      <c r="M164" s="8">
        <v>0.32123353678124023</v>
      </c>
      <c r="N164" s="7">
        <f t="shared" si="27"/>
        <v>3.2123353678124023E-3</v>
      </c>
      <c r="AD164" s="8">
        <v>0.32123353678124023</v>
      </c>
      <c r="AE164" s="8">
        <f t="shared" si="28"/>
        <v>-0.32123353678124023</v>
      </c>
      <c r="AF164" s="8">
        <v>-0.85481501268865889</v>
      </c>
      <c r="AG164" s="7">
        <f t="shared" si="29"/>
        <v>-8.5481501268865889E-3</v>
      </c>
    </row>
    <row r="165" spans="1:33" x14ac:dyDescent="0.35">
      <c r="A165" s="9">
        <v>43854</v>
      </c>
      <c r="B165" s="10">
        <f>Расчеты!G178/360</f>
        <v>1.7583333333333333E-2</v>
      </c>
      <c r="C165" s="11">
        <v>669.8</v>
      </c>
      <c r="D165" s="3">
        <f t="shared" si="20"/>
        <v>0.2994908655286066</v>
      </c>
      <c r="E165" s="3">
        <f t="shared" si="21"/>
        <v>0.28190753219527326</v>
      </c>
      <c r="F165" s="34">
        <v>3146.2</v>
      </c>
      <c r="G165" s="3">
        <f t="shared" si="22"/>
        <v>0.15917483764167351</v>
      </c>
      <c r="H165" s="3">
        <f t="shared" si="23"/>
        <v>0.14159150430834017</v>
      </c>
      <c r="I165" s="3">
        <f t="shared" si="24"/>
        <v>7.9471856708429031E-2</v>
      </c>
      <c r="J165" s="3">
        <f t="shared" si="25"/>
        <v>2.0048154092298712E-2</v>
      </c>
      <c r="K165" s="3">
        <f t="shared" si="26"/>
        <v>3.9915711559380576E-2</v>
      </c>
      <c r="M165" s="8">
        <v>0.34591194968554007</v>
      </c>
      <c r="N165" s="7">
        <f t="shared" si="27"/>
        <v>3.4591194968554007E-3</v>
      </c>
      <c r="AD165" s="8">
        <v>0.34591194968554007</v>
      </c>
      <c r="AE165" s="8">
        <f t="shared" si="28"/>
        <v>-0.34591194968554007</v>
      </c>
      <c r="AF165" s="8">
        <v>-0.82120194102276445</v>
      </c>
      <c r="AG165" s="7">
        <f t="shared" si="29"/>
        <v>-8.2120194102276445E-3</v>
      </c>
    </row>
    <row r="166" spans="1:33" x14ac:dyDescent="0.35">
      <c r="A166" s="9">
        <v>43857</v>
      </c>
      <c r="B166" s="10">
        <f>Расчеты!G179/360</f>
        <v>1.7611111111111112E-2</v>
      </c>
      <c r="C166" s="11">
        <v>688.4</v>
      </c>
      <c r="D166" s="3">
        <f t="shared" si="20"/>
        <v>2.7769483427888986</v>
      </c>
      <c r="E166" s="3">
        <f t="shared" si="21"/>
        <v>2.7593372316777875</v>
      </c>
      <c r="F166" s="34">
        <v>3085.16</v>
      </c>
      <c r="G166" s="3">
        <f t="shared" si="22"/>
        <v>-1.9401182378742554</v>
      </c>
      <c r="H166" s="3">
        <f t="shared" si="23"/>
        <v>-1.9577293489853664</v>
      </c>
      <c r="I166" s="3">
        <f t="shared" si="24"/>
        <v>7.6139419581232364</v>
      </c>
      <c r="J166" s="3">
        <f t="shared" si="25"/>
        <v>3.8327042038786665</v>
      </c>
      <c r="K166" s="3">
        <f t="shared" si="26"/>
        <v>-5.4020354822036385</v>
      </c>
      <c r="M166" s="8">
        <v>0.35714285714285587</v>
      </c>
      <c r="N166" s="7">
        <f t="shared" si="27"/>
        <v>3.5714285714285587E-3</v>
      </c>
      <c r="AD166" s="8">
        <v>0.35714285714285587</v>
      </c>
      <c r="AE166" s="8">
        <f t="shared" si="28"/>
        <v>-0.35714285714285587</v>
      </c>
      <c r="AF166" s="8">
        <v>-0.80598733448474791</v>
      </c>
      <c r="AG166" s="7">
        <f t="shared" si="29"/>
        <v>-8.0598733448474791E-3</v>
      </c>
    </row>
    <row r="167" spans="1:33" x14ac:dyDescent="0.35">
      <c r="A167" s="9">
        <v>43858</v>
      </c>
      <c r="B167" s="10">
        <f>Расчеты!G180/360</f>
        <v>1.7694444444444443E-2</v>
      </c>
      <c r="C167" s="11">
        <v>679.8</v>
      </c>
      <c r="D167" s="3">
        <f t="shared" si="20"/>
        <v>-1.2492736780941316</v>
      </c>
      <c r="E167" s="3">
        <f t="shared" si="21"/>
        <v>-1.266968122538576</v>
      </c>
      <c r="F167" s="34">
        <v>3113.1</v>
      </c>
      <c r="G167" s="3">
        <f t="shared" si="22"/>
        <v>0.90562564016130054</v>
      </c>
      <c r="H167" s="3">
        <f t="shared" si="23"/>
        <v>0.88793119571685608</v>
      </c>
      <c r="I167" s="3">
        <f t="shared" si="24"/>
        <v>1.6052082235289242</v>
      </c>
      <c r="J167" s="3">
        <f t="shared" si="25"/>
        <v>0.7884218083271658</v>
      </c>
      <c r="K167" s="3">
        <f t="shared" si="26"/>
        <v>-1.1249805199808181</v>
      </c>
      <c r="M167" s="8">
        <v>0.36574215178299951</v>
      </c>
      <c r="N167" s="7">
        <f t="shared" si="27"/>
        <v>3.6574215178299951E-3</v>
      </c>
      <c r="AD167" s="8">
        <v>0.36574215178299951</v>
      </c>
      <c r="AE167" s="8">
        <f t="shared" si="28"/>
        <v>-0.36574215178299951</v>
      </c>
      <c r="AF167" s="8">
        <v>-0.80000000000000071</v>
      </c>
      <c r="AG167" s="7">
        <f t="shared" si="29"/>
        <v>-8.0000000000000071E-3</v>
      </c>
    </row>
    <row r="168" spans="1:33" x14ac:dyDescent="0.35">
      <c r="A168" s="9">
        <v>43859</v>
      </c>
      <c r="B168" s="10">
        <f>Расчеты!G181/360</f>
        <v>1.7694444444444443E-2</v>
      </c>
      <c r="C168" s="11">
        <v>678</v>
      </c>
      <c r="D168" s="3">
        <f t="shared" si="20"/>
        <v>-0.26478375992938785</v>
      </c>
      <c r="E168" s="3">
        <f t="shared" si="21"/>
        <v>-0.28247820437383231</v>
      </c>
      <c r="F168" s="34">
        <v>3128.8</v>
      </c>
      <c r="G168" s="3">
        <f t="shared" si="22"/>
        <v>0.50432045228230304</v>
      </c>
      <c r="H168" s="3">
        <f t="shared" si="23"/>
        <v>0.48662600783785859</v>
      </c>
      <c r="I168" s="3">
        <f t="shared" si="24"/>
        <v>7.9793935946264577E-2</v>
      </c>
      <c r="J168" s="3">
        <f t="shared" si="25"/>
        <v>0.23680487150421162</v>
      </c>
      <c r="K168" s="3">
        <f t="shared" si="26"/>
        <v>-0.13746124089564474</v>
      </c>
      <c r="M168" s="8">
        <v>0.3674219228413822</v>
      </c>
      <c r="N168" s="7">
        <f t="shared" si="27"/>
        <v>3.674219228413822E-3</v>
      </c>
      <c r="AD168" s="8">
        <v>0.3674219228413822</v>
      </c>
      <c r="AE168" s="8">
        <f t="shared" si="28"/>
        <v>-0.3674219228413822</v>
      </c>
      <c r="AF168" s="8">
        <v>-0.75705437026840627</v>
      </c>
      <c r="AG168" s="7">
        <f t="shared" si="29"/>
        <v>-7.5705437026840627E-3</v>
      </c>
    </row>
    <row r="169" spans="1:33" x14ac:dyDescent="0.35">
      <c r="A169" s="9">
        <v>43860</v>
      </c>
      <c r="B169" s="10">
        <f>Расчеты!G182/360</f>
        <v>1.7722222222222223E-2</v>
      </c>
      <c r="C169" s="11">
        <v>688.2</v>
      </c>
      <c r="D169" s="3">
        <f t="shared" si="20"/>
        <v>1.5044247787610709</v>
      </c>
      <c r="E169" s="3">
        <f t="shared" si="21"/>
        <v>1.4867025565388488</v>
      </c>
      <c r="F169" s="34">
        <v>3108.58</v>
      </c>
      <c r="G169" s="3">
        <f t="shared" si="22"/>
        <v>-0.64625415494758975</v>
      </c>
      <c r="H169" s="3">
        <f t="shared" si="23"/>
        <v>-0.66397637716981195</v>
      </c>
      <c r="I169" s="3">
        <f t="shared" si="24"/>
        <v>2.2102844916191486</v>
      </c>
      <c r="J169" s="3">
        <f t="shared" si="25"/>
        <v>0.44086462943954835</v>
      </c>
      <c r="K169" s="3">
        <f t="shared" si="26"/>
        <v>-0.98713537741976232</v>
      </c>
      <c r="M169" s="8">
        <v>0.38370720188902752</v>
      </c>
      <c r="N169" s="7">
        <f t="shared" si="27"/>
        <v>3.8370720188902752E-3</v>
      </c>
      <c r="AD169" s="8">
        <v>0.38370720188902752</v>
      </c>
      <c r="AE169" s="8">
        <f t="shared" si="28"/>
        <v>-0.38370720188902752</v>
      </c>
      <c r="AF169" s="8">
        <v>-0.73454207345420297</v>
      </c>
      <c r="AG169" s="7">
        <f t="shared" si="29"/>
        <v>-7.3454207345420297E-3</v>
      </c>
    </row>
    <row r="170" spans="1:33" x14ac:dyDescent="0.35">
      <c r="A170" s="9">
        <v>43861</v>
      </c>
      <c r="B170" s="10">
        <f>Расчеты!G183/360</f>
        <v>1.7666666666666667E-2</v>
      </c>
      <c r="C170" s="11">
        <v>696.8</v>
      </c>
      <c r="D170" s="3">
        <f t="shared" si="20"/>
        <v>1.2496367335076863</v>
      </c>
      <c r="E170" s="3">
        <f t="shared" si="21"/>
        <v>1.2319700668410196</v>
      </c>
      <c r="F170" s="34">
        <v>3076.65</v>
      </c>
      <c r="G170" s="3">
        <f t="shared" si="22"/>
        <v>-1.0271570942359531</v>
      </c>
      <c r="H170" s="3">
        <f t="shared" si="23"/>
        <v>-1.0448237609026199</v>
      </c>
      <c r="I170" s="3">
        <f t="shared" si="24"/>
        <v>1.5177502455922662</v>
      </c>
      <c r="J170" s="3">
        <f t="shared" si="25"/>
        <v>1.091656691346695</v>
      </c>
      <c r="K170" s="3">
        <f t="shared" si="26"/>
        <v>-1.2871915985562861</v>
      </c>
      <c r="M170" s="8">
        <v>0.38706739526410683</v>
      </c>
      <c r="N170" s="7">
        <f t="shared" si="27"/>
        <v>3.8706739526410683E-3</v>
      </c>
      <c r="AD170" s="8">
        <v>0.38706739526410683</v>
      </c>
      <c r="AE170" s="8">
        <f t="shared" si="28"/>
        <v>-0.38706739526410683</v>
      </c>
      <c r="AF170" s="8">
        <v>-0.70512820512820262</v>
      </c>
      <c r="AG170" s="7">
        <f t="shared" si="29"/>
        <v>-7.0512820512820262E-3</v>
      </c>
    </row>
    <row r="171" spans="1:33" x14ac:dyDescent="0.35">
      <c r="A171" s="9">
        <v>43864</v>
      </c>
      <c r="B171" s="10">
        <f>Расчеты!G184/360</f>
        <v>1.7611111111111112E-2</v>
      </c>
      <c r="C171" s="11">
        <v>689.2</v>
      </c>
      <c r="D171" s="3">
        <f t="shared" si="20"/>
        <v>-1.0907003444316721</v>
      </c>
      <c r="E171" s="3">
        <f t="shared" si="21"/>
        <v>-1.1083114555427831</v>
      </c>
      <c r="F171" s="34">
        <v>3070.84</v>
      </c>
      <c r="G171" s="3">
        <f t="shared" si="22"/>
        <v>-0.1888417597061709</v>
      </c>
      <c r="H171" s="3">
        <f t="shared" si="23"/>
        <v>-0.206452870817282</v>
      </c>
      <c r="I171" s="3">
        <f t="shared" si="24"/>
        <v>1.2283542824873626</v>
      </c>
      <c r="J171" s="3">
        <f t="shared" si="25"/>
        <v>4.2622787868697332E-2</v>
      </c>
      <c r="K171" s="3">
        <f t="shared" si="26"/>
        <v>0.22881408175648799</v>
      </c>
      <c r="M171" s="8">
        <v>0.39158100832108467</v>
      </c>
      <c r="N171" s="7">
        <f t="shared" si="27"/>
        <v>3.9158100832108467E-3</v>
      </c>
      <c r="AD171" s="8">
        <v>0.39158100832108467</v>
      </c>
      <c r="AE171" s="8">
        <f t="shared" si="28"/>
        <v>-0.39158100832108467</v>
      </c>
      <c r="AF171" s="8">
        <v>-0.69565217391305278</v>
      </c>
      <c r="AG171" s="7">
        <f t="shared" si="29"/>
        <v>-6.9565217391305278E-3</v>
      </c>
    </row>
    <row r="172" spans="1:33" x14ac:dyDescent="0.35">
      <c r="A172" s="9">
        <v>43865</v>
      </c>
      <c r="B172" s="10">
        <f>Расчеты!G185/360</f>
        <v>1.7499999999999998E-2</v>
      </c>
      <c r="C172" s="11">
        <v>682.6</v>
      </c>
      <c r="D172" s="3">
        <f t="shared" si="20"/>
        <v>-0.95763203714451794</v>
      </c>
      <c r="E172" s="3">
        <f t="shared" si="21"/>
        <v>-0.9751320371445179</v>
      </c>
      <c r="F172" s="34">
        <v>3097.6</v>
      </c>
      <c r="G172" s="3">
        <f t="shared" si="22"/>
        <v>0.87142280288128315</v>
      </c>
      <c r="H172" s="3">
        <f t="shared" si="23"/>
        <v>0.85392280288128319</v>
      </c>
      <c r="I172" s="3">
        <f t="shared" si="24"/>
        <v>0.95088248986561741</v>
      </c>
      <c r="J172" s="3">
        <f t="shared" si="25"/>
        <v>0.7291841532806268</v>
      </c>
      <c r="K172" s="3">
        <f t="shared" si="26"/>
        <v>-0.83268748233778234</v>
      </c>
      <c r="M172" s="8">
        <v>0.3938200545289261</v>
      </c>
      <c r="N172" s="7">
        <f t="shared" si="27"/>
        <v>3.938200545289261E-3</v>
      </c>
      <c r="AD172" s="8">
        <v>0.3938200545289261</v>
      </c>
      <c r="AE172" s="8">
        <f t="shared" si="28"/>
        <v>-0.3938200545289261</v>
      </c>
      <c r="AF172" s="8">
        <v>-0.69223573433114804</v>
      </c>
      <c r="AG172" s="7">
        <f t="shared" si="29"/>
        <v>-6.9223573433114804E-3</v>
      </c>
    </row>
    <row r="173" spans="1:33" x14ac:dyDescent="0.35">
      <c r="A173" s="9">
        <v>43866</v>
      </c>
      <c r="B173" s="10">
        <f>Расчеты!G186/360</f>
        <v>1.7499999999999998E-2</v>
      </c>
      <c r="C173" s="11">
        <v>673</v>
      </c>
      <c r="D173" s="3">
        <f t="shared" si="20"/>
        <v>-1.4063873425139262</v>
      </c>
      <c r="E173" s="3">
        <f t="shared" si="21"/>
        <v>-1.4238873425139262</v>
      </c>
      <c r="F173" s="34">
        <v>3114.25</v>
      </c>
      <c r="G173" s="3">
        <f t="shared" si="22"/>
        <v>0.5375129132231482</v>
      </c>
      <c r="H173" s="3">
        <f t="shared" si="23"/>
        <v>0.52001291322314824</v>
      </c>
      <c r="I173" s="3">
        <f t="shared" si="24"/>
        <v>2.0274551641713709</v>
      </c>
      <c r="J173" s="3">
        <f t="shared" si="25"/>
        <v>0.2704134299188255</v>
      </c>
      <c r="K173" s="3">
        <f t="shared" si="26"/>
        <v>-0.7404398050822335</v>
      </c>
      <c r="M173" s="8">
        <v>0.40281973816718164</v>
      </c>
      <c r="N173" s="7">
        <f t="shared" si="27"/>
        <v>4.0281973816718164E-3</v>
      </c>
      <c r="AD173" s="8">
        <v>0.40281973816718164</v>
      </c>
      <c r="AE173" s="8">
        <f t="shared" si="28"/>
        <v>-0.40281973816718164</v>
      </c>
      <c r="AF173" s="8">
        <v>-0.68978731557769457</v>
      </c>
      <c r="AG173" s="7">
        <f t="shared" si="29"/>
        <v>-6.8978731557769457E-3</v>
      </c>
    </row>
    <row r="174" spans="1:33" x14ac:dyDescent="0.35">
      <c r="A174" s="9">
        <v>43867</v>
      </c>
      <c r="B174" s="10">
        <f>Расчеты!G187/360</f>
        <v>1.7499999999999998E-2</v>
      </c>
      <c r="C174" s="11">
        <v>678</v>
      </c>
      <c r="D174" s="3">
        <f t="shared" si="20"/>
        <v>0.7429420505200568</v>
      </c>
      <c r="E174" s="3">
        <f t="shared" si="21"/>
        <v>0.72544205052005684</v>
      </c>
      <c r="F174" s="34">
        <v>3096.68</v>
      </c>
      <c r="G174" s="3">
        <f t="shared" si="22"/>
        <v>-0.56418078188970044</v>
      </c>
      <c r="H174" s="3">
        <f t="shared" si="23"/>
        <v>-0.5816807818897004</v>
      </c>
      <c r="I174" s="3">
        <f t="shared" si="24"/>
        <v>0.52626616866274467</v>
      </c>
      <c r="J174" s="3">
        <f t="shared" si="25"/>
        <v>0.33835253201981319</v>
      </c>
      <c r="K174" s="3">
        <f t="shared" si="26"/>
        <v>-0.4219756991621742</v>
      </c>
      <c r="M174" s="8">
        <v>0.40803515379785882</v>
      </c>
      <c r="N174" s="7">
        <f t="shared" si="27"/>
        <v>4.0803515379785882E-3</v>
      </c>
      <c r="AD174" s="8">
        <v>0.40803515379785882</v>
      </c>
      <c r="AE174" s="8">
        <f t="shared" si="28"/>
        <v>-0.40803515379785882</v>
      </c>
      <c r="AF174" s="8">
        <v>-0.68836045056319684</v>
      </c>
      <c r="AG174" s="7">
        <f t="shared" si="29"/>
        <v>-6.8836045056319684E-3</v>
      </c>
    </row>
    <row r="175" spans="1:33" x14ac:dyDescent="0.35">
      <c r="A175" s="9">
        <v>43868</v>
      </c>
      <c r="B175" s="10">
        <f>Расчеты!G188/360</f>
        <v>1.7555555555555557E-2</v>
      </c>
      <c r="C175" s="11">
        <v>690.2</v>
      </c>
      <c r="D175" s="3">
        <f t="shared" si="20"/>
        <v>1.7994100294985271</v>
      </c>
      <c r="E175" s="3">
        <f t="shared" si="21"/>
        <v>1.7818544739429716</v>
      </c>
      <c r="F175" s="34">
        <v>3087.63</v>
      </c>
      <c r="G175" s="3">
        <f t="shared" si="22"/>
        <v>-0.29224847255769903</v>
      </c>
      <c r="H175" s="3">
        <f t="shared" si="23"/>
        <v>-0.30980402811325458</v>
      </c>
      <c r="I175" s="3">
        <f t="shared" si="24"/>
        <v>3.1750053663105842</v>
      </c>
      <c r="J175" s="3">
        <f t="shared" si="25"/>
        <v>9.5978535835198234E-2</v>
      </c>
      <c r="K175" s="3">
        <f t="shared" si="26"/>
        <v>-0.55202569353915687</v>
      </c>
      <c r="M175" s="8">
        <v>0.43232457598936236</v>
      </c>
      <c r="N175" s="7">
        <f t="shared" si="27"/>
        <v>4.3232457598936236E-3</v>
      </c>
      <c r="AD175" s="8">
        <v>0.43232457598936236</v>
      </c>
      <c r="AE175" s="8">
        <f t="shared" si="28"/>
        <v>-0.43232457598936236</v>
      </c>
      <c r="AF175" s="8">
        <v>-0.6776379477250849</v>
      </c>
      <c r="AG175" s="7">
        <f t="shared" si="29"/>
        <v>-6.776379477250849E-3</v>
      </c>
    </row>
    <row r="176" spans="1:33" x14ac:dyDescent="0.35">
      <c r="A176" s="9">
        <v>43871</v>
      </c>
      <c r="B176" s="10">
        <f>Расчеты!G189/360</f>
        <v>1.7222222222222222E-2</v>
      </c>
      <c r="C176" s="11">
        <v>694</v>
      </c>
      <c r="D176" s="3">
        <f t="shared" si="20"/>
        <v>0.55056505360764341</v>
      </c>
      <c r="E176" s="3">
        <f t="shared" si="21"/>
        <v>0.53334283138542116</v>
      </c>
      <c r="F176" s="34">
        <v>3062.41</v>
      </c>
      <c r="G176" s="3">
        <f t="shared" si="22"/>
        <v>-0.81680771335944646</v>
      </c>
      <c r="H176" s="3">
        <f t="shared" si="23"/>
        <v>-0.83402993558166871</v>
      </c>
      <c r="I176" s="3">
        <f t="shared" si="24"/>
        <v>0.28445457579021777</v>
      </c>
      <c r="J176" s="3">
        <f t="shared" si="25"/>
        <v>0.69560593344636246</v>
      </c>
      <c r="K176" s="3">
        <f t="shared" si="26"/>
        <v>-0.44482388730332761</v>
      </c>
      <c r="M176" s="8">
        <v>0.4325259515570945</v>
      </c>
      <c r="N176" s="7">
        <f t="shared" si="27"/>
        <v>4.325259515570945E-3</v>
      </c>
      <c r="AD176" s="8">
        <v>0.4325259515570945</v>
      </c>
      <c r="AE176" s="8">
        <f t="shared" si="28"/>
        <v>-0.4325259515570945</v>
      </c>
      <c r="AF176" s="8">
        <v>-0.66175785254916075</v>
      </c>
      <c r="AG176" s="7">
        <f t="shared" si="29"/>
        <v>-6.6175785254916075E-3</v>
      </c>
    </row>
    <row r="177" spans="1:33" x14ac:dyDescent="0.35">
      <c r="A177" s="9">
        <v>43872</v>
      </c>
      <c r="B177" s="10">
        <f>Расчеты!G190/360</f>
        <v>1.7027777777777777E-2</v>
      </c>
      <c r="C177" s="11">
        <v>682.4</v>
      </c>
      <c r="D177" s="3">
        <f t="shared" si="20"/>
        <v>-1.6714697406340129</v>
      </c>
      <c r="E177" s="3">
        <f t="shared" si="21"/>
        <v>-1.6884975184117907</v>
      </c>
      <c r="F177" s="34">
        <v>3097.58</v>
      </c>
      <c r="G177" s="3">
        <f t="shared" si="22"/>
        <v>1.1484419133950041</v>
      </c>
      <c r="H177" s="3">
        <f t="shared" si="23"/>
        <v>1.1314141356172263</v>
      </c>
      <c r="I177" s="3">
        <f t="shared" si="24"/>
        <v>2.8510238696827757</v>
      </c>
      <c r="J177" s="3">
        <f t="shared" si="25"/>
        <v>1.2800979462744753</v>
      </c>
      <c r="K177" s="3">
        <f t="shared" si="26"/>
        <v>-1.9103899602857077</v>
      </c>
      <c r="M177" s="8">
        <v>0.46457607433216808</v>
      </c>
      <c r="N177" s="7">
        <f t="shared" si="27"/>
        <v>4.6457607433216808E-3</v>
      </c>
      <c r="AD177" s="8">
        <v>0.46457607433216808</v>
      </c>
      <c r="AE177" s="8">
        <f t="shared" si="28"/>
        <v>-0.46457607433216808</v>
      </c>
      <c r="AF177" s="8">
        <v>-0.63120860927152744</v>
      </c>
      <c r="AG177" s="7">
        <f t="shared" si="29"/>
        <v>-6.3120860927152744E-3</v>
      </c>
    </row>
    <row r="178" spans="1:33" x14ac:dyDescent="0.35">
      <c r="A178" s="9">
        <v>43873</v>
      </c>
      <c r="B178" s="10">
        <f>Расчеты!G191/360</f>
        <v>1.6944444444444443E-2</v>
      </c>
      <c r="C178" s="11">
        <v>680.6</v>
      </c>
      <c r="D178" s="3">
        <f t="shared" si="20"/>
        <v>-0.26377491207502102</v>
      </c>
      <c r="E178" s="3">
        <f t="shared" si="21"/>
        <v>-0.28071935651946545</v>
      </c>
      <c r="F178" s="34">
        <v>3122.27</v>
      </c>
      <c r="G178" s="3">
        <f t="shared" si="22"/>
        <v>0.79707384474332343</v>
      </c>
      <c r="H178" s="3">
        <f t="shared" si="23"/>
        <v>0.78012940029887901</v>
      </c>
      <c r="I178" s="3">
        <f t="shared" si="24"/>
        <v>7.8803357124702753E-2</v>
      </c>
      <c r="J178" s="3">
        <f t="shared" si="25"/>
        <v>0.60860188121068859</v>
      </c>
      <c r="K178" s="3">
        <f t="shared" si="26"/>
        <v>-0.2189974232538178</v>
      </c>
      <c r="M178" s="8">
        <v>0.48914704983185064</v>
      </c>
      <c r="N178" s="7">
        <f t="shared" si="27"/>
        <v>4.8914704983185064E-3</v>
      </c>
      <c r="AD178" s="8">
        <v>0.48914704983185064</v>
      </c>
      <c r="AE178" s="8">
        <f t="shared" si="28"/>
        <v>-0.48914704983185064</v>
      </c>
      <c r="AF178" s="8">
        <v>-0.60907395898074368</v>
      </c>
      <c r="AG178" s="7">
        <f t="shared" si="29"/>
        <v>-6.0907395898074368E-3</v>
      </c>
    </row>
    <row r="179" spans="1:33" x14ac:dyDescent="0.35">
      <c r="A179" s="9">
        <v>43874</v>
      </c>
      <c r="B179" s="10">
        <f>Расчеты!G192/360</f>
        <v>1.6916666666666667E-2</v>
      </c>
      <c r="C179" s="11">
        <v>688.4</v>
      </c>
      <c r="D179" s="3">
        <f t="shared" si="20"/>
        <v>1.1460476050543678</v>
      </c>
      <c r="E179" s="3">
        <f t="shared" si="21"/>
        <v>1.1291309383877011</v>
      </c>
      <c r="F179" s="34">
        <v>3110.05</v>
      </c>
      <c r="G179" s="3">
        <f t="shared" si="22"/>
        <v>-0.39138191123765376</v>
      </c>
      <c r="H179" s="3">
        <f t="shared" si="23"/>
        <v>-0.40829857790432045</v>
      </c>
      <c r="I179" s="3">
        <f t="shared" si="24"/>
        <v>1.2749366760242904</v>
      </c>
      <c r="J179" s="3">
        <f t="shared" si="25"/>
        <v>0.16670772871869044</v>
      </c>
      <c r="K179" s="3">
        <f t="shared" si="26"/>
        <v>-0.46102255641146922</v>
      </c>
      <c r="M179" s="8">
        <v>0.49004594180706018</v>
      </c>
      <c r="N179" s="7">
        <f t="shared" si="27"/>
        <v>4.9004594180706018E-3</v>
      </c>
      <c r="AD179" s="8">
        <v>0.49004594180706018</v>
      </c>
      <c r="AE179" s="8">
        <f t="shared" si="28"/>
        <v>-0.49004594180706018</v>
      </c>
      <c r="AF179" s="8">
        <v>-0.60543604276697138</v>
      </c>
      <c r="AG179" s="7">
        <f t="shared" si="29"/>
        <v>-6.0543604276697138E-3</v>
      </c>
    </row>
    <row r="180" spans="1:33" x14ac:dyDescent="0.35">
      <c r="A180" s="9">
        <v>43875</v>
      </c>
      <c r="B180" s="10">
        <f>Расчеты!G193/360</f>
        <v>1.6916666666666667E-2</v>
      </c>
      <c r="C180" s="11">
        <v>690.4</v>
      </c>
      <c r="D180" s="3">
        <f t="shared" si="20"/>
        <v>0.29052876234747504</v>
      </c>
      <c r="E180" s="3">
        <f t="shared" si="21"/>
        <v>0.27361209568080835</v>
      </c>
      <c r="F180" s="34">
        <v>3096.88</v>
      </c>
      <c r="G180" s="3">
        <f t="shared" si="22"/>
        <v>-0.42346586067748548</v>
      </c>
      <c r="H180" s="3">
        <f t="shared" si="23"/>
        <v>-0.44038252734415217</v>
      </c>
      <c r="I180" s="3">
        <f t="shared" si="24"/>
        <v>7.4863578902843828E-2</v>
      </c>
      <c r="J180" s="3">
        <f t="shared" si="25"/>
        <v>0.19393677039002294</v>
      </c>
      <c r="K180" s="3">
        <f t="shared" si="26"/>
        <v>-0.12049398620784436</v>
      </c>
      <c r="M180" s="8">
        <v>0.52219321148825326</v>
      </c>
      <c r="N180" s="7">
        <f t="shared" si="27"/>
        <v>5.2219321148825326E-3</v>
      </c>
      <c r="AD180" s="8">
        <v>0.52219321148825326</v>
      </c>
      <c r="AE180" s="8">
        <f t="shared" si="28"/>
        <v>-0.52219321148825326</v>
      </c>
      <c r="AF180" s="8">
        <v>-0.60274740678440963</v>
      </c>
      <c r="AG180" s="7">
        <f t="shared" si="29"/>
        <v>-6.0274740678440963E-3</v>
      </c>
    </row>
    <row r="181" spans="1:33" x14ac:dyDescent="0.35">
      <c r="A181" s="9">
        <v>43878</v>
      </c>
      <c r="B181" s="10">
        <f>Расчеты!G194/360</f>
        <v>1.6916666666666667E-2</v>
      </c>
      <c r="C181" s="11">
        <v>689.6</v>
      </c>
      <c r="D181" s="3">
        <f t="shared" si="20"/>
        <v>-0.11587485515642815</v>
      </c>
      <c r="E181" s="3">
        <f t="shared" si="21"/>
        <v>-0.13279152182309481</v>
      </c>
      <c r="F181" s="34">
        <v>3110.06</v>
      </c>
      <c r="G181" s="3">
        <f t="shared" si="22"/>
        <v>0.42558962568779446</v>
      </c>
      <c r="H181" s="3">
        <f t="shared" si="23"/>
        <v>0.40867295902112777</v>
      </c>
      <c r="I181" s="3">
        <f t="shared" si="24"/>
        <v>1.7633588268093466E-2</v>
      </c>
      <c r="J181" s="3">
        <f t="shared" si="25"/>
        <v>0.16701358743508438</v>
      </c>
      <c r="K181" s="3">
        <f t="shared" si="26"/>
        <v>-5.4268304156362822E-2</v>
      </c>
      <c r="M181" s="8">
        <v>0.52943008408594672</v>
      </c>
      <c r="N181" s="7">
        <f t="shared" si="27"/>
        <v>5.2943008408594672E-3</v>
      </c>
      <c r="AD181" s="8">
        <v>0.52943008408594672</v>
      </c>
      <c r="AE181" s="8">
        <f t="shared" si="28"/>
        <v>-0.52943008408594672</v>
      </c>
      <c r="AF181" s="8">
        <v>-0.59435364041603433</v>
      </c>
      <c r="AG181" s="7">
        <f t="shared" si="29"/>
        <v>-5.9435364041603433E-3</v>
      </c>
    </row>
    <row r="182" spans="1:33" x14ac:dyDescent="0.35">
      <c r="A182" s="9">
        <v>43879</v>
      </c>
      <c r="B182" s="10">
        <f>Расчеты!G195/360</f>
        <v>1.6916666666666667E-2</v>
      </c>
      <c r="C182" s="11">
        <v>701.6</v>
      </c>
      <c r="D182" s="3">
        <f t="shared" si="20"/>
        <v>1.740139211136893</v>
      </c>
      <c r="E182" s="3">
        <f t="shared" si="21"/>
        <v>1.7232225444702263</v>
      </c>
      <c r="F182" s="34">
        <v>3074.05</v>
      </c>
      <c r="G182" s="3">
        <f t="shared" si="22"/>
        <v>-1.1578554754570591</v>
      </c>
      <c r="H182" s="3">
        <f t="shared" si="23"/>
        <v>-1.1747721421237258</v>
      </c>
      <c r="I182" s="3">
        <f t="shared" si="24"/>
        <v>2.9694959377704411</v>
      </c>
      <c r="J182" s="3">
        <f t="shared" si="25"/>
        <v>1.3800895859099676</v>
      </c>
      <c r="K182" s="3">
        <f t="shared" si="26"/>
        <v>-2.0243938399231851</v>
      </c>
      <c r="M182" s="8">
        <v>0.54628224582702334</v>
      </c>
      <c r="N182" s="7">
        <f t="shared" si="27"/>
        <v>5.4628224582702334E-3</v>
      </c>
      <c r="AD182" s="8">
        <v>0.54628224582702334</v>
      </c>
      <c r="AE182" s="8">
        <f t="shared" si="28"/>
        <v>-0.54628224582702334</v>
      </c>
      <c r="AF182" s="8">
        <v>-0.58577405857740406</v>
      </c>
      <c r="AG182" s="7">
        <f t="shared" si="29"/>
        <v>-5.8577405857740406E-3</v>
      </c>
    </row>
    <row r="183" spans="1:33" x14ac:dyDescent="0.35">
      <c r="A183" s="9">
        <v>43880</v>
      </c>
      <c r="B183" s="10">
        <f>Расчеты!G196/360</f>
        <v>1.6888888888888891E-2</v>
      </c>
      <c r="C183" s="11">
        <v>702.8</v>
      </c>
      <c r="D183" s="3">
        <f t="shared" si="20"/>
        <v>0.17103762827821445</v>
      </c>
      <c r="E183" s="3">
        <f t="shared" si="21"/>
        <v>0.15414873938932555</v>
      </c>
      <c r="F183" s="34">
        <v>3114.57</v>
      </c>
      <c r="G183" s="3">
        <f t="shared" si="22"/>
        <v>1.3181308046388285</v>
      </c>
      <c r="H183" s="3">
        <f t="shared" si="23"/>
        <v>1.3012419157499395</v>
      </c>
      <c r="I183" s="3">
        <f t="shared" si="24"/>
        <v>2.3761833855318208E-2</v>
      </c>
      <c r="J183" s="3">
        <f t="shared" si="25"/>
        <v>1.6932305233045728</v>
      </c>
      <c r="K183" s="3">
        <f t="shared" si="26"/>
        <v>0.20058480095340414</v>
      </c>
      <c r="M183" s="8">
        <v>0.54768041237114318</v>
      </c>
      <c r="N183" s="7">
        <f t="shared" si="27"/>
        <v>5.4768041237114318E-3</v>
      </c>
      <c r="AD183" s="8">
        <v>0.54768041237114318</v>
      </c>
      <c r="AE183" s="8">
        <f t="shared" si="28"/>
        <v>-0.54768041237114318</v>
      </c>
      <c r="AF183" s="8">
        <v>-0.58302967204582057</v>
      </c>
      <c r="AG183" s="7">
        <f t="shared" si="29"/>
        <v>-5.8302967204582057E-3</v>
      </c>
    </row>
    <row r="184" spans="1:33" x14ac:dyDescent="0.35">
      <c r="A184" s="9">
        <v>43881</v>
      </c>
      <c r="B184" s="10">
        <f>Расчеты!G197/360</f>
        <v>1.6833333333333332E-2</v>
      </c>
      <c r="C184" s="11">
        <v>713.6</v>
      </c>
      <c r="D184" s="3">
        <f t="shared" si="20"/>
        <v>1.5367103016505457</v>
      </c>
      <c r="E184" s="3">
        <f t="shared" si="21"/>
        <v>1.5198769683172124</v>
      </c>
      <c r="F184" s="34">
        <v>3125.1</v>
      </c>
      <c r="G184" s="3">
        <f t="shared" si="22"/>
        <v>0.33808840385669559</v>
      </c>
      <c r="H184" s="3">
        <f t="shared" si="23"/>
        <v>0.32125507052336227</v>
      </c>
      <c r="I184" s="3">
        <f t="shared" si="24"/>
        <v>2.3100259988211209</v>
      </c>
      <c r="J184" s="3">
        <f t="shared" si="25"/>
        <v>0.10320482033697047</v>
      </c>
      <c r="K184" s="3">
        <f t="shared" si="26"/>
        <v>0.48826818264358013</v>
      </c>
      <c r="M184" s="8">
        <v>0.55056505360764341</v>
      </c>
      <c r="N184" s="7">
        <f t="shared" si="27"/>
        <v>5.5056505360764341E-3</v>
      </c>
      <c r="AD184" s="8">
        <v>0.55056505360764341</v>
      </c>
      <c r="AE184" s="8">
        <f t="shared" si="28"/>
        <v>-0.55056505360764341</v>
      </c>
      <c r="AF184" s="8">
        <v>-0.57673509286413349</v>
      </c>
      <c r="AG184" s="7">
        <f t="shared" si="29"/>
        <v>-5.7673509286413349E-3</v>
      </c>
    </row>
    <row r="185" spans="1:33" x14ac:dyDescent="0.35">
      <c r="A185" s="9">
        <v>43882</v>
      </c>
      <c r="B185" s="10">
        <f>Расчеты!G198/360</f>
        <v>1.6833333333333332E-2</v>
      </c>
      <c r="C185" s="11">
        <v>726.4</v>
      </c>
      <c r="D185" s="3">
        <f t="shared" si="20"/>
        <v>1.7937219730941534</v>
      </c>
      <c r="E185" s="3">
        <f t="shared" si="21"/>
        <v>1.7768886397608201</v>
      </c>
      <c r="F185" s="34">
        <v>3106.03</v>
      </c>
      <c r="G185" s="3">
        <f t="shared" si="22"/>
        <v>-0.61022047294485571</v>
      </c>
      <c r="H185" s="3">
        <f t="shared" si="23"/>
        <v>-0.62705380627818907</v>
      </c>
      <c r="I185" s="3">
        <f t="shared" si="24"/>
        <v>3.1573332381110575</v>
      </c>
      <c r="J185" s="3">
        <f t="shared" si="25"/>
        <v>0.3931964759679647</v>
      </c>
      <c r="K185" s="3">
        <f t="shared" si="26"/>
        <v>-1.1142047848944963</v>
      </c>
      <c r="M185" s="8">
        <v>0.62659549779531254</v>
      </c>
      <c r="N185" s="7">
        <f t="shared" si="27"/>
        <v>6.2659549779531254E-3</v>
      </c>
      <c r="AD185" s="8">
        <v>0.62659549779531254</v>
      </c>
      <c r="AE185" s="8">
        <f t="shared" si="28"/>
        <v>-0.62659549779531254</v>
      </c>
      <c r="AF185" s="8">
        <v>-0.57422969187677086</v>
      </c>
      <c r="AG185" s="7">
        <f t="shared" si="29"/>
        <v>-5.7422969187677086E-3</v>
      </c>
    </row>
    <row r="186" spans="1:33" x14ac:dyDescent="0.35">
      <c r="A186" s="9">
        <v>43886</v>
      </c>
      <c r="B186" s="10">
        <f>Расчеты!G199/360</f>
        <v>1.6888888888888891E-2</v>
      </c>
      <c r="C186" s="11">
        <v>744.4</v>
      </c>
      <c r="D186" s="3">
        <f t="shared" si="20"/>
        <v>2.4779735682819437</v>
      </c>
      <c r="E186" s="3">
        <f t="shared" si="21"/>
        <v>2.4610846793930548</v>
      </c>
      <c r="F186" s="34">
        <v>3002.68</v>
      </c>
      <c r="G186" s="3">
        <f t="shared" si="22"/>
        <v>-3.3273986407085676</v>
      </c>
      <c r="H186" s="3">
        <f t="shared" si="23"/>
        <v>-3.3442875295974566</v>
      </c>
      <c r="I186" s="3">
        <f t="shared" si="24"/>
        <v>6.0569377991432152</v>
      </c>
      <c r="J186" s="3">
        <f t="shared" si="25"/>
        <v>11.184259080621059</v>
      </c>
      <c r="K186" s="3">
        <f t="shared" si="26"/>
        <v>-8.2305748025775483</v>
      </c>
      <c r="M186" s="8">
        <v>0.63636363636363491</v>
      </c>
      <c r="N186" s="7">
        <f t="shared" si="27"/>
        <v>6.3636363636363491E-3</v>
      </c>
      <c r="AD186" s="8">
        <v>0.63636363636363491</v>
      </c>
      <c r="AE186" s="8">
        <f t="shared" si="28"/>
        <v>-0.63636363636363491</v>
      </c>
      <c r="AF186" s="8">
        <v>-0.55762081784387352</v>
      </c>
      <c r="AG186" s="7">
        <f t="shared" si="29"/>
        <v>-5.5762081784387352E-3</v>
      </c>
    </row>
    <row r="187" spans="1:33" x14ac:dyDescent="0.35">
      <c r="A187" s="9">
        <v>43887</v>
      </c>
      <c r="B187" s="10">
        <f>Расчеты!G200/360</f>
        <v>1.6944444444444443E-2</v>
      </c>
      <c r="C187" s="11">
        <v>730.6</v>
      </c>
      <c r="D187" s="3">
        <f t="shared" si="20"/>
        <v>-1.8538420204191275</v>
      </c>
      <c r="E187" s="3">
        <f t="shared" si="21"/>
        <v>-1.8707864648635719</v>
      </c>
      <c r="F187" s="34">
        <v>3017.42</v>
      </c>
      <c r="G187" s="3">
        <f t="shared" si="22"/>
        <v>0.49089480064476998</v>
      </c>
      <c r="H187" s="3">
        <f t="shared" si="23"/>
        <v>0.47395035620032555</v>
      </c>
      <c r="I187" s="3">
        <f t="shared" si="24"/>
        <v>3.4998419971167407</v>
      </c>
      <c r="J187" s="3">
        <f t="shared" si="25"/>
        <v>0.22462894014241547</v>
      </c>
      <c r="K187" s="3">
        <f t="shared" si="26"/>
        <v>-0.88665991139683775</v>
      </c>
      <c r="M187" s="8">
        <v>0.64847338557145751</v>
      </c>
      <c r="N187" s="7">
        <f t="shared" si="27"/>
        <v>6.4847338557145751E-3</v>
      </c>
      <c r="AD187" s="8">
        <v>0.64847338557145751</v>
      </c>
      <c r="AE187" s="8">
        <f t="shared" si="28"/>
        <v>-0.64847338557145751</v>
      </c>
      <c r="AF187" s="8">
        <v>-0.55741360089185399</v>
      </c>
      <c r="AG187" s="7">
        <f t="shared" si="29"/>
        <v>-5.5741360089185399E-3</v>
      </c>
    </row>
    <row r="188" spans="1:33" x14ac:dyDescent="0.35">
      <c r="A188" s="9">
        <v>43888</v>
      </c>
      <c r="B188" s="10">
        <f>Расчеты!G201/360</f>
        <v>1.7027777777777777E-2</v>
      </c>
      <c r="C188" s="11">
        <v>755.2</v>
      </c>
      <c r="D188" s="3">
        <f t="shared" si="20"/>
        <v>3.3670955379140555</v>
      </c>
      <c r="E188" s="3">
        <f t="shared" si="21"/>
        <v>3.3500677601362776</v>
      </c>
      <c r="F188" s="34">
        <v>2915.84</v>
      </c>
      <c r="G188" s="3">
        <f t="shared" si="22"/>
        <v>-3.366452134605058</v>
      </c>
      <c r="H188" s="3">
        <f t="shared" si="23"/>
        <v>-3.3834799123828359</v>
      </c>
      <c r="I188" s="3">
        <f t="shared" si="24"/>
        <v>11.222953997504495</v>
      </c>
      <c r="J188" s="3">
        <f t="shared" si="25"/>
        <v>11.447936317498163</v>
      </c>
      <c r="K188" s="3">
        <f t="shared" si="26"/>
        <v>-11.334886971542456</v>
      </c>
      <c r="M188" s="8">
        <v>0.66777963272119933</v>
      </c>
      <c r="N188" s="7">
        <f t="shared" si="27"/>
        <v>6.6777963272119933E-3</v>
      </c>
      <c r="AD188" s="8">
        <v>0.66777963272119933</v>
      </c>
      <c r="AE188" s="8">
        <f t="shared" si="28"/>
        <v>-0.66777963272119933</v>
      </c>
      <c r="AF188" s="8">
        <v>-0.55555555555555358</v>
      </c>
      <c r="AG188" s="7">
        <f t="shared" si="29"/>
        <v>-5.5555555555555358E-3</v>
      </c>
    </row>
    <row r="189" spans="1:33" x14ac:dyDescent="0.35">
      <c r="A189" s="9">
        <v>43889</v>
      </c>
      <c r="B189" s="10">
        <f>Расчеты!G202/360</f>
        <v>1.7194444444444446E-2</v>
      </c>
      <c r="C189" s="11">
        <v>734</v>
      </c>
      <c r="D189" s="3">
        <f t="shared" si="20"/>
        <v>-2.8072033898305149</v>
      </c>
      <c r="E189" s="3">
        <f t="shared" si="21"/>
        <v>-2.8243978342749592</v>
      </c>
      <c r="F189" s="34">
        <v>2785.08</v>
      </c>
      <c r="G189" s="3">
        <f t="shared" si="22"/>
        <v>-4.4844710272168626</v>
      </c>
      <c r="H189" s="3">
        <f t="shared" si="23"/>
        <v>-4.5016654716613074</v>
      </c>
      <c r="I189" s="3">
        <f t="shared" si="24"/>
        <v>7.9772231262570799</v>
      </c>
      <c r="J189" s="3">
        <f t="shared" si="25"/>
        <v>20.26499201874762</v>
      </c>
      <c r="K189" s="3">
        <f t="shared" si="26"/>
        <v>12.714494208790558</v>
      </c>
      <c r="M189" s="8">
        <v>0.6849315068492956</v>
      </c>
      <c r="N189" s="7">
        <f t="shared" si="27"/>
        <v>6.849315068492956E-3</v>
      </c>
      <c r="AD189" s="8">
        <v>0.6849315068492956</v>
      </c>
      <c r="AE189" s="8">
        <f t="shared" si="28"/>
        <v>-0.6849315068492956</v>
      </c>
      <c r="AF189" s="8">
        <v>-0.54921841994084453</v>
      </c>
      <c r="AG189" s="7">
        <f t="shared" si="29"/>
        <v>-5.4921841994084453E-3</v>
      </c>
    </row>
    <row r="190" spans="1:33" x14ac:dyDescent="0.35">
      <c r="A190" s="9">
        <v>43892</v>
      </c>
      <c r="B190" s="10">
        <f>Расчеты!G203/360</f>
        <v>1.7166666666666667E-2</v>
      </c>
      <c r="C190" s="11">
        <v>733.2</v>
      </c>
      <c r="D190" s="3">
        <f t="shared" si="20"/>
        <v>-0.10899182561306953</v>
      </c>
      <c r="E190" s="3">
        <f t="shared" si="21"/>
        <v>-0.12615849227973619</v>
      </c>
      <c r="F190" s="34">
        <v>2765.77</v>
      </c>
      <c r="G190" s="3">
        <f t="shared" si="22"/>
        <v>-0.69333735476180269</v>
      </c>
      <c r="H190" s="3">
        <f t="shared" si="23"/>
        <v>-0.71050402142846936</v>
      </c>
      <c r="I190" s="3">
        <f t="shared" si="24"/>
        <v>1.5915965174296255E-2</v>
      </c>
      <c r="J190" s="3">
        <f t="shared" si="25"/>
        <v>0.50481596446602683</v>
      </c>
      <c r="K190" s="3">
        <f t="shared" si="26"/>
        <v>8.9636116102105062E-2</v>
      </c>
      <c r="M190" s="8">
        <v>0.7194244604316502</v>
      </c>
      <c r="N190" s="7">
        <f t="shared" si="27"/>
        <v>7.194244604316502E-3</v>
      </c>
      <c r="AD190" s="8">
        <v>0.7194244604316502</v>
      </c>
      <c r="AE190" s="8">
        <f t="shared" si="28"/>
        <v>-0.7194244604316502</v>
      </c>
      <c r="AF190" s="8">
        <v>-0.53020261314145056</v>
      </c>
      <c r="AG190" s="7">
        <f t="shared" si="29"/>
        <v>-5.3020261314145056E-3</v>
      </c>
    </row>
    <row r="191" spans="1:33" x14ac:dyDescent="0.35">
      <c r="A191" s="9">
        <v>43893</v>
      </c>
      <c r="B191" s="10">
        <f>Расчеты!G204/360</f>
        <v>1.7194444444444446E-2</v>
      </c>
      <c r="C191" s="11">
        <v>740.2</v>
      </c>
      <c r="D191" s="3">
        <f t="shared" si="20"/>
        <v>0.95471903982542461</v>
      </c>
      <c r="E191" s="3">
        <f t="shared" si="21"/>
        <v>0.93752459538098021</v>
      </c>
      <c r="F191" s="34">
        <v>2821.37</v>
      </c>
      <c r="G191" s="3">
        <f t="shared" si="22"/>
        <v>2.010290081966315</v>
      </c>
      <c r="H191" s="3">
        <f t="shared" si="23"/>
        <v>1.9930956375218705</v>
      </c>
      <c r="I191" s="3">
        <f t="shared" si="24"/>
        <v>0.8789523669442707</v>
      </c>
      <c r="J191" s="3">
        <f t="shared" si="25"/>
        <v>3.9724302203087114</v>
      </c>
      <c r="K191" s="3">
        <f t="shared" si="26"/>
        <v>1.8685761811232884</v>
      </c>
      <c r="M191" s="8">
        <v>0.72115384615383249</v>
      </c>
      <c r="N191" s="7">
        <f t="shared" si="27"/>
        <v>7.2115384615383249E-3</v>
      </c>
      <c r="AD191" s="8">
        <v>0.72115384615383249</v>
      </c>
      <c r="AE191" s="8">
        <f t="shared" si="28"/>
        <v>-0.72115384615383249</v>
      </c>
      <c r="AF191" s="8">
        <v>-0.51851851851851816</v>
      </c>
      <c r="AG191" s="7">
        <f t="shared" si="29"/>
        <v>-5.1851851851851816E-3</v>
      </c>
    </row>
    <row r="192" spans="1:33" x14ac:dyDescent="0.35">
      <c r="A192" s="9">
        <v>43894</v>
      </c>
      <c r="B192" s="10">
        <f>Расчеты!G205/360</f>
        <v>1.7277777777777777E-2</v>
      </c>
      <c r="C192" s="11">
        <v>745</v>
      </c>
      <c r="D192" s="3">
        <f t="shared" si="20"/>
        <v>0.64847338557145751</v>
      </c>
      <c r="E192" s="3">
        <f t="shared" si="21"/>
        <v>0.63119560779367978</v>
      </c>
      <c r="F192" s="34">
        <v>2828.01</v>
      </c>
      <c r="G192" s="3">
        <f t="shared" si="22"/>
        <v>0.23534665782936059</v>
      </c>
      <c r="H192" s="3">
        <f t="shared" si="23"/>
        <v>0.21806888005158281</v>
      </c>
      <c r="I192" s="3">
        <f t="shared" si="24"/>
        <v>0.39840789529803283</v>
      </c>
      <c r="J192" s="3">
        <f t="shared" si="25"/>
        <v>4.7554036446951616E-2</v>
      </c>
      <c r="K192" s="3">
        <f t="shared" si="26"/>
        <v>0.13764411928504586</v>
      </c>
      <c r="M192" s="8">
        <v>0.72398190045248612</v>
      </c>
      <c r="N192" s="7">
        <f t="shared" si="27"/>
        <v>7.2398190045248612E-3</v>
      </c>
      <c r="AD192" s="8">
        <v>0.72398190045248612</v>
      </c>
      <c r="AE192" s="8">
        <f t="shared" si="28"/>
        <v>-0.72398190045248612</v>
      </c>
      <c r="AF192" s="8">
        <v>-0.51689860834991386</v>
      </c>
      <c r="AG192" s="7">
        <f t="shared" si="29"/>
        <v>-5.1689860834991386E-3</v>
      </c>
    </row>
    <row r="193" spans="1:33" x14ac:dyDescent="0.35">
      <c r="A193" s="9">
        <v>43895</v>
      </c>
      <c r="B193" s="10">
        <f>Расчеты!G206/360</f>
        <v>1.7277777777777777E-2</v>
      </c>
      <c r="C193" s="11">
        <v>764</v>
      </c>
      <c r="D193" s="3">
        <f t="shared" si="20"/>
        <v>2.5503355704697972</v>
      </c>
      <c r="E193" s="3">
        <f t="shared" si="21"/>
        <v>2.5330577926920195</v>
      </c>
      <c r="F193" s="34">
        <v>2816.7</v>
      </c>
      <c r="G193" s="3">
        <f t="shared" si="22"/>
        <v>-0.39992786447008433</v>
      </c>
      <c r="H193" s="3">
        <f t="shared" si="23"/>
        <v>-0.41720564224786211</v>
      </c>
      <c r="I193" s="3">
        <f t="shared" si="24"/>
        <v>6.4163817811177655</v>
      </c>
      <c r="J193" s="3">
        <f t="shared" si="25"/>
        <v>0.1740605479234511</v>
      </c>
      <c r="K193" s="3">
        <f t="shared" si="26"/>
        <v>-1.056806003251026</v>
      </c>
      <c r="M193" s="8">
        <v>0.72573329301481859</v>
      </c>
      <c r="N193" s="7">
        <f t="shared" si="27"/>
        <v>7.2573329301481859E-3</v>
      </c>
      <c r="AD193" s="8">
        <v>0.72573329301481859</v>
      </c>
      <c r="AE193" s="8">
        <f t="shared" si="28"/>
        <v>-0.72573329301481859</v>
      </c>
      <c r="AF193" s="8">
        <v>-0.51424050632911111</v>
      </c>
      <c r="AG193" s="7">
        <f t="shared" si="29"/>
        <v>-5.1424050632911111E-3</v>
      </c>
    </row>
    <row r="194" spans="1:33" x14ac:dyDescent="0.35">
      <c r="A194" s="9">
        <v>43896</v>
      </c>
      <c r="B194" s="10">
        <f>Расчеты!G207/360</f>
        <v>1.7333333333333333E-2</v>
      </c>
      <c r="C194" s="11">
        <v>775</v>
      </c>
      <c r="D194" s="3">
        <f t="shared" si="20"/>
        <v>1.4397905759162333</v>
      </c>
      <c r="E194" s="3">
        <f t="shared" si="21"/>
        <v>1.4224572425828999</v>
      </c>
      <c r="F194" s="34">
        <v>2719.51</v>
      </c>
      <c r="G194" s="3">
        <f t="shared" si="22"/>
        <v>-3.4504917101572663</v>
      </c>
      <c r="H194" s="3">
        <f t="shared" si="23"/>
        <v>-3.4678250434905995</v>
      </c>
      <c r="I194" s="3">
        <f t="shared" si="24"/>
        <v>2.0233846069765469</v>
      </c>
      <c r="J194" s="3">
        <f t="shared" si="25"/>
        <v>12.025810532260579</v>
      </c>
      <c r="K194" s="3">
        <f t="shared" si="26"/>
        <v>-4.9328328491235629</v>
      </c>
      <c r="M194" s="8">
        <v>0.73059360730591827</v>
      </c>
      <c r="N194" s="7">
        <f t="shared" si="27"/>
        <v>7.3059360730591827E-3</v>
      </c>
      <c r="AD194" s="8">
        <v>0.73059360730591827</v>
      </c>
      <c r="AE194" s="8">
        <f t="shared" si="28"/>
        <v>-0.73059360730591827</v>
      </c>
      <c r="AF194" s="8">
        <v>-0.50629447181171905</v>
      </c>
      <c r="AG194" s="7">
        <f t="shared" si="29"/>
        <v>-5.0629447181171905E-3</v>
      </c>
    </row>
    <row r="195" spans="1:33" x14ac:dyDescent="0.35">
      <c r="A195" s="9">
        <v>43900</v>
      </c>
      <c r="B195" s="10">
        <f>Расчеты!G208/360</f>
        <v>1.7583333333333333E-2</v>
      </c>
      <c r="C195" s="11">
        <v>817.2</v>
      </c>
      <c r="D195" s="3">
        <f t="shared" si="20"/>
        <v>5.4451612903225755</v>
      </c>
      <c r="E195" s="3">
        <f t="shared" si="21"/>
        <v>5.4275779569892419</v>
      </c>
      <c r="F195" s="34">
        <v>2498.94</v>
      </c>
      <c r="G195" s="3">
        <f t="shared" si="22"/>
        <v>-8.1106522866251645</v>
      </c>
      <c r="H195" s="3">
        <f t="shared" si="23"/>
        <v>-8.1282356199584971</v>
      </c>
      <c r="I195" s="3">
        <f t="shared" si="24"/>
        <v>29.458602479195513</v>
      </c>
      <c r="J195" s="3">
        <f t="shared" si="25"/>
        <v>66.068214293562093</v>
      </c>
      <c r="K195" s="3">
        <f t="shared" si="26"/>
        <v>-44.116632480101522</v>
      </c>
      <c r="M195" s="8">
        <v>0.7429420505200568</v>
      </c>
      <c r="N195" s="7">
        <f t="shared" si="27"/>
        <v>7.429420505200568E-3</v>
      </c>
      <c r="AD195" s="8">
        <v>0.7429420505200568</v>
      </c>
      <c r="AE195" s="8">
        <f t="shared" si="28"/>
        <v>-0.7429420505200568</v>
      </c>
      <c r="AF195" s="8">
        <v>-0.49211173831236188</v>
      </c>
      <c r="AG195" s="7">
        <f t="shared" si="29"/>
        <v>-4.9211173831236188E-3</v>
      </c>
    </row>
    <row r="196" spans="1:33" x14ac:dyDescent="0.35">
      <c r="A196" s="9">
        <v>43901</v>
      </c>
      <c r="B196" s="10">
        <f>Расчеты!G209/360</f>
        <v>1.6833333333333332E-2</v>
      </c>
      <c r="C196" s="11">
        <v>820.4</v>
      </c>
      <c r="D196" s="3">
        <f t="shared" si="20"/>
        <v>0.39158100832108467</v>
      </c>
      <c r="E196" s="3">
        <f t="shared" si="21"/>
        <v>0.37474767498775136</v>
      </c>
      <c r="F196" s="34">
        <v>2492.88</v>
      </c>
      <c r="G196" s="3">
        <f t="shared" si="22"/>
        <v>-0.24250282119618882</v>
      </c>
      <c r="H196" s="3">
        <f t="shared" si="23"/>
        <v>-0.25933615452952213</v>
      </c>
      <c r="I196" s="3">
        <f t="shared" si="24"/>
        <v>0.14043581990872533</v>
      </c>
      <c r="J196" s="3">
        <f t="shared" si="25"/>
        <v>6.725524104616018E-2</v>
      </c>
      <c r="K196" s="3">
        <f t="shared" si="26"/>
        <v>-9.7185620950202625E-2</v>
      </c>
      <c r="M196" s="8">
        <v>0.7763975155279601</v>
      </c>
      <c r="N196" s="7">
        <f t="shared" si="27"/>
        <v>7.763975155279601E-3</v>
      </c>
      <c r="AD196" s="8">
        <v>0.7763975155279601</v>
      </c>
      <c r="AE196" s="8">
        <f t="shared" si="28"/>
        <v>-0.7763975155279601</v>
      </c>
      <c r="AF196" s="8">
        <v>-0.4761904761904856</v>
      </c>
      <c r="AG196" s="7">
        <f t="shared" si="29"/>
        <v>-4.761904761904856E-3</v>
      </c>
    </row>
    <row r="197" spans="1:33" x14ac:dyDescent="0.35">
      <c r="A197" s="9">
        <v>43902</v>
      </c>
      <c r="B197" s="10">
        <f>Расчеты!G210/360</f>
        <v>1.6666666666666666E-2</v>
      </c>
      <c r="C197" s="11">
        <v>793</v>
      </c>
      <c r="D197" s="3">
        <f t="shared" si="20"/>
        <v>-3.3398342272062398</v>
      </c>
      <c r="E197" s="3">
        <f t="shared" si="21"/>
        <v>-3.3565008938729064</v>
      </c>
      <c r="F197" s="34">
        <v>2286.4</v>
      </c>
      <c r="G197" s="3">
        <f t="shared" si="22"/>
        <v>-8.2827893841661009</v>
      </c>
      <c r="H197" s="3">
        <f t="shared" si="23"/>
        <v>-8.2994560508327684</v>
      </c>
      <c r="I197" s="3">
        <f t="shared" si="24"/>
        <v>11.26609825056962</v>
      </c>
      <c r="J197" s="3">
        <f t="shared" si="25"/>
        <v>68.880970739704651</v>
      </c>
      <c r="K197" s="3">
        <f t="shared" si="26"/>
        <v>27.85713165327909</v>
      </c>
      <c r="M197" s="8">
        <v>0.8168028004667427</v>
      </c>
      <c r="N197" s="7">
        <f t="shared" si="27"/>
        <v>8.168028004667427E-3</v>
      </c>
      <c r="AD197" s="8">
        <v>0.8168028004667427</v>
      </c>
      <c r="AE197" s="8">
        <f t="shared" si="28"/>
        <v>-0.8168028004667427</v>
      </c>
      <c r="AF197" s="8">
        <v>-0.45688178183895811</v>
      </c>
      <c r="AG197" s="7">
        <f t="shared" si="29"/>
        <v>-4.5688178183895811E-3</v>
      </c>
    </row>
    <row r="198" spans="1:33" x14ac:dyDescent="0.35">
      <c r="A198" s="9">
        <v>43903</v>
      </c>
      <c r="B198" s="10">
        <f>Расчеты!G211/360</f>
        <v>1.6055555555555556E-2</v>
      </c>
      <c r="C198" s="11">
        <v>784</v>
      </c>
      <c r="D198" s="3">
        <f t="shared" ref="D198:D254" si="30">(C198/C197-1)*100</f>
        <v>-1.1349306431273631</v>
      </c>
      <c r="E198" s="3">
        <f t="shared" ref="E198:E254" si="31">D198-B198</f>
        <v>-1.1509861986829186</v>
      </c>
      <c r="F198" s="34">
        <v>2316.38</v>
      </c>
      <c r="G198" s="3">
        <f t="shared" ref="G198:G254" si="32">(F198/F197-1)*100</f>
        <v>1.3112316305108562</v>
      </c>
      <c r="H198" s="3">
        <f t="shared" ref="H198:H254" si="33">G198-B198</f>
        <v>1.2951760749553007</v>
      </c>
      <c r="I198" s="3">
        <f t="shared" ref="I198:I254" si="34">E198^2</f>
        <v>1.3247692295585551</v>
      </c>
      <c r="J198" s="3">
        <f t="shared" ref="J198:J254" si="35">H198^2</f>
        <v>1.6774810651366188</v>
      </c>
      <c r="K198" s="3">
        <f t="shared" ref="K198:K254" si="36">E198*H198</f>
        <v>-1.4907297871378644</v>
      </c>
      <c r="M198" s="8">
        <v>0.86455331412103043</v>
      </c>
      <c r="N198" s="7">
        <f t="shared" ref="N198:N254" si="37">M198*$N$4</f>
        <v>8.6455331412103043E-3</v>
      </c>
      <c r="AD198" s="8">
        <v>0.86455331412103043</v>
      </c>
      <c r="AE198" s="8">
        <f t="shared" ref="AE198:AE254" si="38">IF(AD198&lt;0,AD198,AD198*(-1))</f>
        <v>-0.86455331412103043</v>
      </c>
      <c r="AF198" s="8">
        <v>-0.45471303920364692</v>
      </c>
      <c r="AG198" s="7">
        <f t="shared" ref="AG198:AG254" si="39">AF198*$AG$4</f>
        <v>-4.5471303920364692E-3</v>
      </c>
    </row>
    <row r="199" spans="1:33" x14ac:dyDescent="0.35">
      <c r="A199" s="9">
        <v>43906</v>
      </c>
      <c r="B199" s="10">
        <f>Расчеты!G212/360</f>
        <v>1.6083333333333335E-2</v>
      </c>
      <c r="C199" s="11">
        <v>764.6</v>
      </c>
      <c r="D199" s="3">
        <f t="shared" si="30"/>
        <v>-2.4744897959183665</v>
      </c>
      <c r="E199" s="3">
        <f t="shared" si="31"/>
        <v>-2.4905731292516999</v>
      </c>
      <c r="F199" s="34">
        <v>2266.9</v>
      </c>
      <c r="G199" s="3">
        <f t="shared" si="32"/>
        <v>-2.1360916602629954</v>
      </c>
      <c r="H199" s="3">
        <f t="shared" si="33"/>
        <v>-2.1521749935963288</v>
      </c>
      <c r="I199" s="3">
        <f t="shared" si="34"/>
        <v>6.2029545121506047</v>
      </c>
      <c r="J199" s="3">
        <f t="shared" si="35"/>
        <v>4.6318572030613581</v>
      </c>
      <c r="K199" s="3">
        <f t="shared" si="36"/>
        <v>5.3601492084984663</v>
      </c>
      <c r="M199" s="8">
        <v>0.90909090909090384</v>
      </c>
      <c r="N199" s="7">
        <f t="shared" si="37"/>
        <v>9.0909090909090384E-3</v>
      </c>
      <c r="AD199" s="8">
        <v>0.90909090909090384</v>
      </c>
      <c r="AE199" s="8">
        <f t="shared" si="38"/>
        <v>-0.90909090909090384</v>
      </c>
      <c r="AF199" s="8">
        <v>-0.44776119402984982</v>
      </c>
      <c r="AG199" s="7">
        <f t="shared" si="39"/>
        <v>-4.4776119402984982E-3</v>
      </c>
    </row>
    <row r="200" spans="1:33" x14ac:dyDescent="0.35">
      <c r="A200" s="9">
        <v>43907</v>
      </c>
      <c r="B200" s="10">
        <f>Расчеты!G213/360</f>
        <v>1.5972222222222221E-2</v>
      </c>
      <c r="C200" s="11">
        <v>780.8</v>
      </c>
      <c r="D200" s="3">
        <f t="shared" si="30"/>
        <v>2.1187549045252441</v>
      </c>
      <c r="E200" s="3">
        <f t="shared" si="31"/>
        <v>2.102782682303022</v>
      </c>
      <c r="F200" s="34">
        <v>2224.7399999999998</v>
      </c>
      <c r="G200" s="3">
        <f t="shared" si="32"/>
        <v>-1.8598085491199567</v>
      </c>
      <c r="H200" s="3">
        <f t="shared" si="33"/>
        <v>-1.875780771342179</v>
      </c>
      <c r="I200" s="3">
        <f t="shared" si="34"/>
        <v>4.4216950089934919</v>
      </c>
      <c r="J200" s="3">
        <f t="shared" si="35"/>
        <v>3.5185535021370602</v>
      </c>
      <c r="K200" s="3">
        <f t="shared" si="36"/>
        <v>-3.9443593217753388</v>
      </c>
      <c r="M200" s="8">
        <v>0.94308943089429498</v>
      </c>
      <c r="N200" s="7">
        <f t="shared" si="37"/>
        <v>9.4308943089429498E-3</v>
      </c>
      <c r="AD200" s="8">
        <v>0.94308943089429498</v>
      </c>
      <c r="AE200" s="8">
        <f t="shared" si="38"/>
        <v>-0.94308943089429498</v>
      </c>
      <c r="AF200" s="8">
        <v>-0.44333076329993171</v>
      </c>
      <c r="AG200" s="7">
        <f t="shared" si="39"/>
        <v>-4.4333076329993171E-3</v>
      </c>
    </row>
    <row r="201" spans="1:33" x14ac:dyDescent="0.35">
      <c r="A201" s="9">
        <v>43908</v>
      </c>
      <c r="B201" s="10">
        <f>Расчеты!G214/360</f>
        <v>1.6111111111111111E-2</v>
      </c>
      <c r="C201" s="11">
        <v>811</v>
      </c>
      <c r="D201" s="3">
        <f t="shared" si="30"/>
        <v>3.8678278688524692</v>
      </c>
      <c r="E201" s="3">
        <f t="shared" si="31"/>
        <v>3.8517167577413582</v>
      </c>
      <c r="F201" s="34">
        <v>2112.64</v>
      </c>
      <c r="G201" s="3">
        <f t="shared" si="32"/>
        <v>-5.0387910497406434</v>
      </c>
      <c r="H201" s="3">
        <f t="shared" si="33"/>
        <v>-5.0549021608517544</v>
      </c>
      <c r="I201" s="3">
        <f t="shared" si="34"/>
        <v>14.835721981865602</v>
      </c>
      <c r="J201" s="3">
        <f t="shared" si="35"/>
        <v>25.552035855783735</v>
      </c>
      <c r="K201" s="3">
        <f t="shared" si="36"/>
        <v>-19.470051361695706</v>
      </c>
      <c r="M201" s="8">
        <v>0.95471903982542461</v>
      </c>
      <c r="N201" s="7">
        <f t="shared" si="37"/>
        <v>9.5471903982542461E-3</v>
      </c>
      <c r="AD201" s="8">
        <v>0.95471903982542461</v>
      </c>
      <c r="AE201" s="8">
        <f t="shared" si="38"/>
        <v>-0.95471903982542461</v>
      </c>
      <c r="AF201" s="8">
        <v>-0.42926829268292721</v>
      </c>
      <c r="AG201" s="7">
        <f t="shared" si="39"/>
        <v>-4.2926829268292721E-3</v>
      </c>
    </row>
    <row r="202" spans="1:33" x14ac:dyDescent="0.35">
      <c r="A202" s="9">
        <v>43909</v>
      </c>
      <c r="B202" s="10">
        <f>Расчеты!G215/360</f>
        <v>1.6555555555555556E-2</v>
      </c>
      <c r="C202" s="11">
        <v>804</v>
      </c>
      <c r="D202" s="3">
        <f t="shared" si="30"/>
        <v>-0.86313193588162251</v>
      </c>
      <c r="E202" s="3">
        <f t="shared" si="31"/>
        <v>-0.87968749143717806</v>
      </c>
      <c r="F202" s="34">
        <v>2275.6999999999998</v>
      </c>
      <c r="G202" s="3">
        <f t="shared" si="32"/>
        <v>7.7183050590730051</v>
      </c>
      <c r="H202" s="3">
        <f t="shared" si="33"/>
        <v>7.7017495035174495</v>
      </c>
      <c r="I202" s="3">
        <f t="shared" si="34"/>
        <v>0.77385008259103527</v>
      </c>
      <c r="J202" s="3">
        <f t="shared" si="35"/>
        <v>59.316945414931283</v>
      </c>
      <c r="K202" s="3">
        <f t="shared" si="36"/>
        <v>-6.7751327004267967</v>
      </c>
      <c r="M202" s="8">
        <v>0.96705953460261007</v>
      </c>
      <c r="N202" s="7">
        <f t="shared" si="37"/>
        <v>9.6705953460261007E-3</v>
      </c>
      <c r="AD202" s="8">
        <v>0.96705953460261007</v>
      </c>
      <c r="AE202" s="8">
        <f t="shared" si="38"/>
        <v>-0.96705953460261007</v>
      </c>
      <c r="AF202" s="8">
        <v>-0.38314176245211051</v>
      </c>
      <c r="AG202" s="7">
        <f t="shared" si="39"/>
        <v>-3.8314176245211051E-3</v>
      </c>
    </row>
    <row r="203" spans="1:33" x14ac:dyDescent="0.35">
      <c r="A203" s="9">
        <v>43910</v>
      </c>
      <c r="B203" s="10">
        <f>Расчеты!G216/360</f>
        <v>1.6666666666666666E-2</v>
      </c>
      <c r="C203" s="11">
        <v>816.2</v>
      </c>
      <c r="D203" s="3">
        <f t="shared" si="30"/>
        <v>1.5174129353233923</v>
      </c>
      <c r="E203" s="3">
        <f t="shared" si="31"/>
        <v>1.5007462686567257</v>
      </c>
      <c r="F203" s="34">
        <v>2331.61</v>
      </c>
      <c r="G203" s="3">
        <f t="shared" si="32"/>
        <v>2.4568264709759813</v>
      </c>
      <c r="H203" s="3">
        <f t="shared" si="33"/>
        <v>2.4401598043093147</v>
      </c>
      <c r="I203" s="3">
        <f t="shared" si="34"/>
        <v>2.2522393628870852</v>
      </c>
      <c r="J203" s="3">
        <f t="shared" si="35"/>
        <v>5.9543798705668731</v>
      </c>
      <c r="K203" s="3">
        <f t="shared" si="36"/>
        <v>3.6620607212433298</v>
      </c>
      <c r="M203" s="8">
        <v>0.98873304207864887</v>
      </c>
      <c r="N203" s="7">
        <f t="shared" si="37"/>
        <v>9.8873304207864887E-3</v>
      </c>
      <c r="AD203" s="8">
        <v>0.98873304207864887</v>
      </c>
      <c r="AE203" s="8">
        <f t="shared" si="38"/>
        <v>-0.98873304207864887</v>
      </c>
      <c r="AF203" s="8">
        <v>-0.37878787878788955</v>
      </c>
      <c r="AG203" s="7">
        <f t="shared" si="39"/>
        <v>-3.7878787878788955E-3</v>
      </c>
    </row>
    <row r="204" spans="1:33" x14ac:dyDescent="0.35">
      <c r="A204" s="9">
        <v>43913</v>
      </c>
      <c r="B204" s="10">
        <f>Расчеты!G217/360</f>
        <v>1.6638888888888891E-2</v>
      </c>
      <c r="C204" s="11">
        <v>848.6</v>
      </c>
      <c r="D204" s="3">
        <f t="shared" si="30"/>
        <v>3.9696152903700099</v>
      </c>
      <c r="E204" s="3">
        <f t="shared" si="31"/>
        <v>3.9529764014811208</v>
      </c>
      <c r="F204" s="34">
        <v>2253.35</v>
      </c>
      <c r="G204" s="3">
        <f t="shared" si="32"/>
        <v>-3.3564789994896316</v>
      </c>
      <c r="H204" s="3">
        <f t="shared" si="33"/>
        <v>-3.3731178883785207</v>
      </c>
      <c r="I204" s="3">
        <f t="shared" si="34"/>
        <v>15.626022430666632</v>
      </c>
      <c r="J204" s="3">
        <f t="shared" si="35"/>
        <v>11.37792428889917</v>
      </c>
      <c r="K204" s="3">
        <f t="shared" si="36"/>
        <v>-13.333855412174122</v>
      </c>
      <c r="M204" s="8">
        <v>0.99883855981417469</v>
      </c>
      <c r="N204" s="7">
        <f t="shared" si="37"/>
        <v>9.9883855981417469E-3</v>
      </c>
      <c r="AD204" s="8">
        <v>0.99883855981417469</v>
      </c>
      <c r="AE204" s="8">
        <f t="shared" si="38"/>
        <v>-0.99883855981417469</v>
      </c>
      <c r="AF204" s="8">
        <v>-0.36398672519002417</v>
      </c>
      <c r="AG204" s="7">
        <f t="shared" si="39"/>
        <v>-3.6398672519002417E-3</v>
      </c>
    </row>
    <row r="205" spans="1:33" x14ac:dyDescent="0.35">
      <c r="A205" s="9">
        <v>43914</v>
      </c>
      <c r="B205" s="10">
        <f>Расчеты!G218/360</f>
        <v>1.6611111111111111E-2</v>
      </c>
      <c r="C205" s="11">
        <v>868</v>
      </c>
      <c r="D205" s="3">
        <f t="shared" si="30"/>
        <v>2.2861183125147289</v>
      </c>
      <c r="E205" s="3">
        <f t="shared" si="31"/>
        <v>2.2695072014036177</v>
      </c>
      <c r="F205" s="34">
        <v>2415.9699999999998</v>
      </c>
      <c r="G205" s="3">
        <f t="shared" si="32"/>
        <v>7.2168105265493443</v>
      </c>
      <c r="H205" s="3">
        <f t="shared" si="33"/>
        <v>7.2001994154382336</v>
      </c>
      <c r="I205" s="3">
        <f t="shared" si="34"/>
        <v>5.1506629372228812</v>
      </c>
      <c r="J205" s="3">
        <f t="shared" si="35"/>
        <v>51.842871622077084</v>
      </c>
      <c r="K205" s="3">
        <f t="shared" si="36"/>
        <v>16.340904424879191</v>
      </c>
      <c r="M205" s="8">
        <v>1.0065127294256904</v>
      </c>
      <c r="N205" s="7">
        <f t="shared" si="37"/>
        <v>1.0065127294256904E-2</v>
      </c>
      <c r="AD205" s="8">
        <v>1.0065127294256904</v>
      </c>
      <c r="AE205" s="8">
        <f t="shared" si="38"/>
        <v>-1.0065127294256904</v>
      </c>
      <c r="AF205" s="8">
        <v>-0.36111111111111205</v>
      </c>
      <c r="AG205" s="7">
        <f t="shared" si="39"/>
        <v>-3.6111111111111205E-3</v>
      </c>
    </row>
    <row r="206" spans="1:33" x14ac:dyDescent="0.35">
      <c r="A206" s="9">
        <v>43915</v>
      </c>
      <c r="B206" s="10">
        <f>Расчеты!G219/360</f>
        <v>1.6750000000000001E-2</v>
      </c>
      <c r="C206" s="11">
        <v>865.6</v>
      </c>
      <c r="D206" s="3">
        <f t="shared" si="30"/>
        <v>-0.27649769585252892</v>
      </c>
      <c r="E206" s="3">
        <f t="shared" si="31"/>
        <v>-0.29324769585252891</v>
      </c>
      <c r="F206" s="34">
        <v>2452.69</v>
      </c>
      <c r="G206" s="3">
        <f t="shared" si="32"/>
        <v>1.5198864224307496</v>
      </c>
      <c r="H206" s="3">
        <f t="shared" si="33"/>
        <v>1.5031364224307495</v>
      </c>
      <c r="I206" s="3">
        <f t="shared" si="34"/>
        <v>8.5994211122817299E-2</v>
      </c>
      <c r="J206" s="3">
        <f t="shared" si="35"/>
        <v>2.2594191044379128</v>
      </c>
      <c r="K206" s="3">
        <f t="shared" si="36"/>
        <v>-0.44079129242983084</v>
      </c>
      <c r="M206" s="8">
        <v>1.0101010101010166</v>
      </c>
      <c r="N206" s="7">
        <f t="shared" si="37"/>
        <v>1.0101010101010166E-2</v>
      </c>
      <c r="AD206" s="8">
        <v>1.0101010101010166</v>
      </c>
      <c r="AE206" s="8">
        <f t="shared" si="38"/>
        <v>-1.0101010101010166</v>
      </c>
      <c r="AF206" s="8">
        <v>-0.35941387890517928</v>
      </c>
      <c r="AG206" s="7">
        <f t="shared" si="39"/>
        <v>-3.5941387890517928E-3</v>
      </c>
    </row>
    <row r="207" spans="1:33" x14ac:dyDescent="0.35">
      <c r="A207" s="9">
        <v>43916</v>
      </c>
      <c r="B207" s="10">
        <f>Расчеты!G220/360</f>
        <v>1.7055555555555553E-2</v>
      </c>
      <c r="C207" s="11">
        <v>868</v>
      </c>
      <c r="D207" s="3">
        <f t="shared" si="30"/>
        <v>0.27726432532346745</v>
      </c>
      <c r="E207" s="3">
        <f t="shared" si="31"/>
        <v>0.26020876976791191</v>
      </c>
      <c r="F207" s="34">
        <v>2489.9699999999998</v>
      </c>
      <c r="G207" s="3">
        <f t="shared" si="32"/>
        <v>1.5199637948537958</v>
      </c>
      <c r="H207" s="3">
        <f t="shared" si="33"/>
        <v>1.5029082392982402</v>
      </c>
      <c r="I207" s="3">
        <f t="shared" si="34"/>
        <v>6.770860386413019E-2</v>
      </c>
      <c r="J207" s="3">
        <f t="shared" si="35"/>
        <v>2.2587331757505367</v>
      </c>
      <c r="K207" s="3">
        <f t="shared" si="36"/>
        <v>0.39106990402185365</v>
      </c>
      <c r="M207" s="8">
        <v>1.0362694300518172</v>
      </c>
      <c r="N207" s="7">
        <f t="shared" si="37"/>
        <v>1.0362694300518172E-2</v>
      </c>
      <c r="AD207" s="8">
        <v>1.0362694300518172</v>
      </c>
      <c r="AE207" s="8">
        <f t="shared" si="38"/>
        <v>-1.0362694300518172</v>
      </c>
      <c r="AF207" s="8">
        <v>-0.3558718861209953</v>
      </c>
      <c r="AG207" s="7">
        <f t="shared" si="39"/>
        <v>-3.558718861209953E-3</v>
      </c>
    </row>
    <row r="208" spans="1:33" x14ac:dyDescent="0.35">
      <c r="A208" s="9">
        <v>43917</v>
      </c>
      <c r="B208" s="10">
        <f>Расчеты!G221/360</f>
        <v>1.7361111111111112E-2</v>
      </c>
      <c r="C208" s="11">
        <v>887</v>
      </c>
      <c r="D208" s="3">
        <f t="shared" si="30"/>
        <v>2.188940092165903</v>
      </c>
      <c r="E208" s="3">
        <f t="shared" si="31"/>
        <v>2.1715789810547919</v>
      </c>
      <c r="F208" s="34">
        <v>2401.11</v>
      </c>
      <c r="G208" s="3">
        <f t="shared" si="32"/>
        <v>-3.5687176953939082</v>
      </c>
      <c r="H208" s="3">
        <f t="shared" si="33"/>
        <v>-3.5860788065050193</v>
      </c>
      <c r="I208" s="3">
        <f t="shared" si="34"/>
        <v>4.7157552709589678</v>
      </c>
      <c r="J208" s="3">
        <f t="shared" si="35"/>
        <v>12.859961206464464</v>
      </c>
      <c r="K208" s="3">
        <f t="shared" si="36"/>
        <v>-7.7874533606123535</v>
      </c>
      <c r="M208" s="8">
        <v>1.0438413361169019</v>
      </c>
      <c r="N208" s="7">
        <f t="shared" si="37"/>
        <v>1.0438413361169019E-2</v>
      </c>
      <c r="AD208" s="8">
        <v>1.0438413361169019</v>
      </c>
      <c r="AE208" s="8">
        <f t="shared" si="38"/>
        <v>-1.0438413361169019</v>
      </c>
      <c r="AF208" s="8">
        <v>-0.34567189975514001</v>
      </c>
      <c r="AG208" s="7">
        <f t="shared" si="39"/>
        <v>-3.4567189975514001E-3</v>
      </c>
    </row>
    <row r="209" spans="1:33" x14ac:dyDescent="0.35">
      <c r="A209" s="9">
        <v>43920</v>
      </c>
      <c r="B209" s="10">
        <f>Расчеты!G222/360</f>
        <v>1.7208333333333332E-2</v>
      </c>
      <c r="C209" s="11">
        <v>896.4</v>
      </c>
      <c r="D209" s="3">
        <f t="shared" si="30"/>
        <v>1.059751972942502</v>
      </c>
      <c r="E209" s="3">
        <f t="shared" si="31"/>
        <v>1.0425436396091687</v>
      </c>
      <c r="F209" s="34">
        <v>2433.35</v>
      </c>
      <c r="G209" s="3">
        <f t="shared" si="32"/>
        <v>1.3427123288812126</v>
      </c>
      <c r="H209" s="3">
        <f t="shared" si="33"/>
        <v>1.3255039955478793</v>
      </c>
      <c r="I209" s="3">
        <f t="shared" si="34"/>
        <v>1.0868972404895323</v>
      </c>
      <c r="J209" s="3">
        <f t="shared" si="35"/>
        <v>1.7569608422133924</v>
      </c>
      <c r="K209" s="3">
        <f t="shared" si="36"/>
        <v>1.3818957598349815</v>
      </c>
      <c r="M209" s="8">
        <v>1.059751972942502</v>
      </c>
      <c r="N209" s="7">
        <f t="shared" si="37"/>
        <v>1.059751972942502E-2</v>
      </c>
      <c r="AD209" s="8">
        <v>1.059751972942502</v>
      </c>
      <c r="AE209" s="8">
        <f t="shared" si="38"/>
        <v>-1.059751972942502</v>
      </c>
      <c r="AF209" s="8">
        <v>-0.33564814814814881</v>
      </c>
      <c r="AG209" s="7">
        <f t="shared" si="39"/>
        <v>-3.3564814814814881E-3</v>
      </c>
    </row>
    <row r="210" spans="1:33" x14ac:dyDescent="0.35">
      <c r="A210" s="9">
        <v>43921</v>
      </c>
      <c r="B210" s="10">
        <f>Расчеты!G223/360</f>
        <v>1.7208333333333332E-2</v>
      </c>
      <c r="C210" s="11">
        <v>864.8</v>
      </c>
      <c r="D210" s="3">
        <f t="shared" si="30"/>
        <v>-3.5252119589469055</v>
      </c>
      <c r="E210" s="3">
        <f t="shared" si="31"/>
        <v>-3.542420292280239</v>
      </c>
      <c r="F210" s="34">
        <v>2508.81</v>
      </c>
      <c r="G210" s="3">
        <f t="shared" si="32"/>
        <v>3.1010746501736408</v>
      </c>
      <c r="H210" s="3">
        <f t="shared" si="33"/>
        <v>3.0838663168403073</v>
      </c>
      <c r="I210" s="3">
        <f t="shared" si="34"/>
        <v>12.548741527158814</v>
      </c>
      <c r="J210" s="3">
        <f t="shared" si="35"/>
        <v>9.5102314601422027</v>
      </c>
      <c r="K210" s="3">
        <f t="shared" si="36"/>
        <v>-10.924350619454625</v>
      </c>
      <c r="M210" s="8">
        <v>1.0711097887533327</v>
      </c>
      <c r="N210" s="7">
        <f t="shared" si="37"/>
        <v>1.0711097887533327E-2</v>
      </c>
      <c r="AD210" s="8">
        <v>1.0711097887533327</v>
      </c>
      <c r="AE210" s="8">
        <f t="shared" si="38"/>
        <v>-1.0711097887533327</v>
      </c>
      <c r="AF210" s="8">
        <v>-0.31829245459651379</v>
      </c>
      <c r="AG210" s="7">
        <f t="shared" si="39"/>
        <v>-3.1829245459651379E-3</v>
      </c>
    </row>
    <row r="211" spans="1:33" x14ac:dyDescent="0.35">
      <c r="A211" s="9">
        <v>43922</v>
      </c>
      <c r="B211" s="10">
        <f>Расчеты!G224/360</f>
        <v>1.7208333333333332E-2</v>
      </c>
      <c r="C211" s="11">
        <v>860</v>
      </c>
      <c r="D211" s="3">
        <f t="shared" si="30"/>
        <v>-0.55504162812209934</v>
      </c>
      <c r="E211" s="3">
        <f t="shared" si="31"/>
        <v>-0.57224996145543272</v>
      </c>
      <c r="F211" s="34">
        <v>2473.61</v>
      </c>
      <c r="G211" s="3">
        <f t="shared" si="32"/>
        <v>-1.4030556319529874</v>
      </c>
      <c r="H211" s="3">
        <f t="shared" si="33"/>
        <v>-1.4202639652863207</v>
      </c>
      <c r="I211" s="3">
        <f t="shared" si="34"/>
        <v>0.32747001838574424</v>
      </c>
      <c r="J211" s="3">
        <f t="shared" si="35"/>
        <v>2.0171497310908233</v>
      </c>
      <c r="K211" s="3">
        <f t="shared" si="36"/>
        <v>0.81274599939163705</v>
      </c>
      <c r="M211" s="8">
        <v>1.0892586989410091</v>
      </c>
      <c r="N211" s="7">
        <f t="shared" si="37"/>
        <v>1.0892586989410091E-2</v>
      </c>
      <c r="AD211" s="8">
        <v>1.0892586989410091</v>
      </c>
      <c r="AE211" s="8">
        <f t="shared" si="38"/>
        <v>-1.0892586989410091</v>
      </c>
      <c r="AF211" s="8">
        <v>-0.30769230769229772</v>
      </c>
      <c r="AG211" s="7">
        <f t="shared" si="39"/>
        <v>-3.0769230769229772E-3</v>
      </c>
    </row>
    <row r="212" spans="1:33" x14ac:dyDescent="0.35">
      <c r="A212" s="9">
        <v>43923</v>
      </c>
      <c r="B212" s="10">
        <f>Расчеты!G225/360</f>
        <v>1.7208333333333332E-2</v>
      </c>
      <c r="C212" s="11">
        <v>861.6</v>
      </c>
      <c r="D212" s="3">
        <f t="shared" si="30"/>
        <v>0.18604651162790198</v>
      </c>
      <c r="E212" s="3">
        <f t="shared" si="31"/>
        <v>0.16883817829456865</v>
      </c>
      <c r="F212" s="34">
        <v>2545.9499999999998</v>
      </c>
      <c r="G212" s="3">
        <f t="shared" si="32"/>
        <v>2.9244707128447844</v>
      </c>
      <c r="H212" s="3">
        <f t="shared" si="33"/>
        <v>2.9072623795114509</v>
      </c>
      <c r="I212" s="3">
        <f t="shared" si="34"/>
        <v>2.8506330449828553E-2</v>
      </c>
      <c r="J212" s="3">
        <f t="shared" si="35"/>
        <v>8.4521745433225846</v>
      </c>
      <c r="K212" s="3">
        <f t="shared" si="36"/>
        <v>0.49085688398104627</v>
      </c>
      <c r="M212" s="8">
        <v>1.1012542061792585</v>
      </c>
      <c r="N212" s="7">
        <f t="shared" si="37"/>
        <v>1.1012542061792585E-2</v>
      </c>
      <c r="AD212" s="8">
        <v>1.1012542061792585</v>
      </c>
      <c r="AE212" s="8">
        <f t="shared" si="38"/>
        <v>-1.1012542061792585</v>
      </c>
      <c r="AF212" s="8">
        <v>-0.30266998162360448</v>
      </c>
      <c r="AG212" s="7">
        <f t="shared" si="39"/>
        <v>-3.0266998162360448E-3</v>
      </c>
    </row>
    <row r="213" spans="1:33" x14ac:dyDescent="0.35">
      <c r="A213" s="9">
        <v>43924</v>
      </c>
      <c r="B213" s="10">
        <f>Расчеты!G226/360</f>
        <v>1.7208333333333332E-2</v>
      </c>
      <c r="C213" s="11">
        <v>859.4</v>
      </c>
      <c r="D213" s="3">
        <f t="shared" si="30"/>
        <v>-0.25533890436397755</v>
      </c>
      <c r="E213" s="3">
        <f t="shared" si="31"/>
        <v>-0.27254723769731087</v>
      </c>
      <c r="F213" s="34">
        <v>2572.23</v>
      </c>
      <c r="G213" s="3">
        <f t="shared" si="32"/>
        <v>1.0322276556884447</v>
      </c>
      <c r="H213" s="3">
        <f t="shared" si="33"/>
        <v>1.0150193223551114</v>
      </c>
      <c r="I213" s="3">
        <f t="shared" si="34"/>
        <v>7.4281996776434475E-2</v>
      </c>
      <c r="J213" s="3">
        <f t="shared" si="35"/>
        <v>1.0302642247542295</v>
      </c>
      <c r="K213" s="3">
        <f t="shared" si="36"/>
        <v>-0.27664071251728195</v>
      </c>
      <c r="M213" s="8">
        <v>1.1060507482108184</v>
      </c>
      <c r="N213" s="7">
        <f t="shared" si="37"/>
        <v>1.1060507482108184E-2</v>
      </c>
      <c r="AD213" s="8">
        <v>1.1060507482108184</v>
      </c>
      <c r="AE213" s="8">
        <f t="shared" si="38"/>
        <v>-1.1060507482108184</v>
      </c>
      <c r="AF213" s="8">
        <v>-0.30249295921560559</v>
      </c>
      <c r="AG213" s="7">
        <f t="shared" si="39"/>
        <v>-3.0249295921560559E-3</v>
      </c>
    </row>
    <row r="214" spans="1:33" x14ac:dyDescent="0.35">
      <c r="A214" s="9">
        <v>43927</v>
      </c>
      <c r="B214" s="10">
        <f>Расчеты!G227/360</f>
        <v>1.7055555555555553E-2</v>
      </c>
      <c r="C214" s="11">
        <v>862</v>
      </c>
      <c r="D214" s="3">
        <f t="shared" si="30"/>
        <v>0.30253665347916847</v>
      </c>
      <c r="E214" s="3">
        <f t="shared" si="31"/>
        <v>0.28548109792361293</v>
      </c>
      <c r="F214" s="34">
        <v>2622.59</v>
      </c>
      <c r="G214" s="3">
        <f t="shared" si="32"/>
        <v>1.9578342527690085</v>
      </c>
      <c r="H214" s="3">
        <f t="shared" si="33"/>
        <v>1.9407786972134529</v>
      </c>
      <c r="I214" s="3">
        <f t="shared" si="34"/>
        <v>8.1499457271671474E-2</v>
      </c>
      <c r="J214" s="3">
        <f t="shared" si="35"/>
        <v>3.7666219515575472</v>
      </c>
      <c r="K214" s="3">
        <f t="shared" si="36"/>
        <v>0.5540556333072556</v>
      </c>
      <c r="M214" s="8">
        <v>1.1111111111111072</v>
      </c>
      <c r="N214" s="7">
        <f t="shared" si="37"/>
        <v>1.1111111111111072E-2</v>
      </c>
      <c r="AD214" s="8">
        <v>1.1111111111111072</v>
      </c>
      <c r="AE214" s="8">
        <f t="shared" si="38"/>
        <v>-1.1111111111111072</v>
      </c>
      <c r="AF214" s="8">
        <v>-0.29886431560072202</v>
      </c>
      <c r="AG214" s="7">
        <f t="shared" si="39"/>
        <v>-2.9886431560072202E-3</v>
      </c>
    </row>
    <row r="215" spans="1:33" x14ac:dyDescent="0.35">
      <c r="A215" s="9">
        <v>43928</v>
      </c>
      <c r="B215" s="10">
        <f>Расчеты!G228/360</f>
        <v>1.7055555555555553E-2</v>
      </c>
      <c r="C215" s="11">
        <v>859.6</v>
      </c>
      <c r="D215" s="3">
        <f t="shared" si="30"/>
        <v>-0.27842227378189754</v>
      </c>
      <c r="E215" s="3">
        <f t="shared" si="31"/>
        <v>-0.29547782933745309</v>
      </c>
      <c r="F215" s="34">
        <v>2634.74</v>
      </c>
      <c r="G215" s="3">
        <f t="shared" si="32"/>
        <v>0.4632824802961899</v>
      </c>
      <c r="H215" s="3">
        <f t="shared" si="33"/>
        <v>0.44622692474063436</v>
      </c>
      <c r="I215" s="3">
        <f t="shared" si="34"/>
        <v>8.7307147629973048E-2</v>
      </c>
      <c r="J215" s="3">
        <f t="shared" si="35"/>
        <v>0.19911846836348376</v>
      </c>
      <c r="K215" s="3">
        <f t="shared" si="36"/>
        <v>-0.13185016311428968</v>
      </c>
      <c r="M215" s="8">
        <v>1.1460476050543678</v>
      </c>
      <c r="N215" s="7">
        <f t="shared" si="37"/>
        <v>1.1460476050543678E-2</v>
      </c>
      <c r="AD215" s="8">
        <v>1.1460476050543678</v>
      </c>
      <c r="AE215" s="8">
        <f t="shared" si="38"/>
        <v>-1.1460476050543678</v>
      </c>
      <c r="AF215" s="8">
        <v>-0.29581631215664927</v>
      </c>
      <c r="AG215" s="7">
        <f t="shared" si="39"/>
        <v>-2.9581631215664927E-3</v>
      </c>
    </row>
    <row r="216" spans="1:33" x14ac:dyDescent="0.35">
      <c r="A216" s="9">
        <v>43929</v>
      </c>
      <c r="B216" s="10">
        <f>Расчеты!G229/360</f>
        <v>1.7000000000000001E-2</v>
      </c>
      <c r="C216" s="11">
        <v>855.6</v>
      </c>
      <c r="D216" s="3">
        <f t="shared" si="30"/>
        <v>-0.46533271288972111</v>
      </c>
      <c r="E216" s="3">
        <f t="shared" si="31"/>
        <v>-0.48233271288972113</v>
      </c>
      <c r="F216" s="34">
        <v>2670.12</v>
      </c>
      <c r="G216" s="3">
        <f t="shared" si="32"/>
        <v>1.3428269962121542</v>
      </c>
      <c r="H216" s="3">
        <f t="shared" si="33"/>
        <v>1.3258269962121543</v>
      </c>
      <c r="I216" s="3">
        <f t="shared" si="34"/>
        <v>0.23264484592355816</v>
      </c>
      <c r="J216" s="3">
        <f t="shared" si="35"/>
        <v>1.7578172238849437</v>
      </c>
      <c r="K216" s="3">
        <f t="shared" si="36"/>
        <v>-0.63948973190543834</v>
      </c>
      <c r="M216" s="8">
        <v>1.1482607227288</v>
      </c>
      <c r="N216" s="7">
        <f t="shared" si="37"/>
        <v>1.1482607227288E-2</v>
      </c>
      <c r="AD216" s="8">
        <v>1.1482607227288</v>
      </c>
      <c r="AE216" s="8">
        <f t="shared" si="38"/>
        <v>-1.1482607227288</v>
      </c>
      <c r="AF216" s="8">
        <v>-0.29577464788731467</v>
      </c>
      <c r="AG216" s="7">
        <f t="shared" si="39"/>
        <v>-2.9577464788731467E-3</v>
      </c>
    </row>
    <row r="217" spans="1:33" x14ac:dyDescent="0.35">
      <c r="A217" s="9">
        <v>43930</v>
      </c>
      <c r="B217" s="10">
        <f>Расчеты!G230/360</f>
        <v>1.6833333333333332E-2</v>
      </c>
      <c r="C217" s="11">
        <v>849.6</v>
      </c>
      <c r="D217" s="3">
        <f t="shared" si="30"/>
        <v>-0.70126227208976433</v>
      </c>
      <c r="E217" s="3">
        <f t="shared" si="31"/>
        <v>-0.71809560542309769</v>
      </c>
      <c r="F217" s="34">
        <v>2701.77</v>
      </c>
      <c r="G217" s="3">
        <f t="shared" si="32"/>
        <v>1.185339984719791</v>
      </c>
      <c r="H217" s="3">
        <f t="shared" si="33"/>
        <v>1.1685066513864577</v>
      </c>
      <c r="I217" s="3">
        <f t="shared" si="34"/>
        <v>0.51566129852796516</v>
      </c>
      <c r="J217" s="3">
        <f t="shared" si="35"/>
        <v>1.3654077943343925</v>
      </c>
      <c r="K217" s="3">
        <f t="shared" si="36"/>
        <v>-0.83909949126827488</v>
      </c>
      <c r="M217" s="8">
        <v>1.1865984178687672</v>
      </c>
      <c r="N217" s="7">
        <f t="shared" si="37"/>
        <v>1.1865984178687672E-2</v>
      </c>
      <c r="AD217" s="8">
        <v>1.1865984178687672</v>
      </c>
      <c r="AE217" s="8">
        <f t="shared" si="38"/>
        <v>-1.1865984178687672</v>
      </c>
      <c r="AF217" s="8">
        <v>-0.29354207436398383</v>
      </c>
      <c r="AG217" s="7">
        <f t="shared" si="39"/>
        <v>-2.9354207436398383E-3</v>
      </c>
    </row>
    <row r="218" spans="1:33" x14ac:dyDescent="0.35">
      <c r="A218" s="9">
        <v>43931</v>
      </c>
      <c r="B218" s="10">
        <f>Расчеты!G231/360</f>
        <v>1.7277777777777777E-2</v>
      </c>
      <c r="C218" s="11">
        <v>861</v>
      </c>
      <c r="D218" s="3">
        <f t="shared" si="30"/>
        <v>1.3418079096045199</v>
      </c>
      <c r="E218" s="3">
        <f t="shared" si="31"/>
        <v>1.3245301318267422</v>
      </c>
      <c r="F218" s="34">
        <v>2677.86</v>
      </c>
      <c r="G218" s="3">
        <f t="shared" si="32"/>
        <v>-0.88497540501226712</v>
      </c>
      <c r="H218" s="3">
        <f t="shared" si="33"/>
        <v>-0.90225318279004485</v>
      </c>
      <c r="I218" s="3">
        <f t="shared" si="34"/>
        <v>1.7543800701169669</v>
      </c>
      <c r="J218" s="3">
        <f t="shared" si="35"/>
        <v>0.81406080585476603</v>
      </c>
      <c r="K218" s="3">
        <f t="shared" si="36"/>
        <v>-1.1950615271419958</v>
      </c>
      <c r="M218" s="8">
        <v>1.2496367335076863</v>
      </c>
      <c r="N218" s="7">
        <f t="shared" si="37"/>
        <v>1.2496367335076863E-2</v>
      </c>
      <c r="AD218" s="8">
        <v>1.2496367335076863</v>
      </c>
      <c r="AE218" s="8">
        <f t="shared" si="38"/>
        <v>-1.2496367335076863</v>
      </c>
      <c r="AF218" s="8">
        <v>-0.29069767441860517</v>
      </c>
      <c r="AG218" s="7">
        <f t="shared" si="39"/>
        <v>-2.9069767441860517E-3</v>
      </c>
    </row>
    <row r="219" spans="1:33" x14ac:dyDescent="0.35">
      <c r="A219" s="9">
        <v>43934</v>
      </c>
      <c r="B219" s="10">
        <f>Расчеты!G232/360</f>
        <v>1.7000000000000001E-2</v>
      </c>
      <c r="C219" s="11">
        <v>869.6</v>
      </c>
      <c r="D219" s="3">
        <f t="shared" si="30"/>
        <v>0.99883855981417469</v>
      </c>
      <c r="E219" s="3">
        <f t="shared" si="31"/>
        <v>0.98183855981417467</v>
      </c>
      <c r="F219" s="34">
        <v>2628.85</v>
      </c>
      <c r="G219" s="3">
        <f t="shared" si="32"/>
        <v>-1.8301927658652906</v>
      </c>
      <c r="H219" s="3">
        <f t="shared" si="33"/>
        <v>-1.8471927658652905</v>
      </c>
      <c r="I219" s="3">
        <f t="shared" si="34"/>
        <v>0.96400695753797261</v>
      </c>
      <c r="J219" s="3">
        <f t="shared" si="35"/>
        <v>3.4121211142650618</v>
      </c>
      <c r="K219" s="3">
        <f t="shared" si="36"/>
        <v>-1.8136450849363388</v>
      </c>
      <c r="M219" s="8">
        <v>1.2788521522145935</v>
      </c>
      <c r="N219" s="7">
        <f t="shared" si="37"/>
        <v>1.2788521522145935E-2</v>
      </c>
      <c r="AD219" s="8">
        <v>1.2788521522145935</v>
      </c>
      <c r="AE219" s="8">
        <f t="shared" si="38"/>
        <v>-1.2788521522145935</v>
      </c>
      <c r="AF219" s="8">
        <v>-0.28818443804032867</v>
      </c>
      <c r="AG219" s="7">
        <f t="shared" si="39"/>
        <v>-2.8818443804032867E-3</v>
      </c>
    </row>
    <row r="220" spans="1:33" x14ac:dyDescent="0.35">
      <c r="A220" s="9">
        <v>43935</v>
      </c>
      <c r="B220" s="10">
        <f>Расчеты!G233/360</f>
        <v>1.6972222222222222E-2</v>
      </c>
      <c r="C220" s="11">
        <v>870</v>
      </c>
      <c r="D220" s="3">
        <f t="shared" si="30"/>
        <v>4.5998160073601468E-2</v>
      </c>
      <c r="E220" s="3">
        <f t="shared" si="31"/>
        <v>2.9025937851379247E-2</v>
      </c>
      <c r="F220" s="34">
        <v>2631.83</v>
      </c>
      <c r="G220" s="3">
        <f t="shared" si="32"/>
        <v>0.11335755178119022</v>
      </c>
      <c r="H220" s="3">
        <f t="shared" si="33"/>
        <v>9.6385329558968003E-2</v>
      </c>
      <c r="I220" s="3">
        <f t="shared" si="34"/>
        <v>8.4250506815213044E-4</v>
      </c>
      <c r="J220" s="3">
        <f t="shared" si="35"/>
        <v>9.2901317541908713E-3</v>
      </c>
      <c r="K220" s="3">
        <f t="shared" si="36"/>
        <v>2.7976745855633122E-3</v>
      </c>
      <c r="M220" s="8">
        <v>1.2892561983470996</v>
      </c>
      <c r="N220" s="7">
        <f t="shared" si="37"/>
        <v>1.2892561983470996E-2</v>
      </c>
      <c r="AD220" s="8">
        <v>1.2892561983470996</v>
      </c>
      <c r="AE220" s="8">
        <f t="shared" si="38"/>
        <v>-1.2892561983470996</v>
      </c>
      <c r="AF220" s="8">
        <v>-0.26923076923077716</v>
      </c>
      <c r="AG220" s="7">
        <f t="shared" si="39"/>
        <v>-2.6923076923077716E-3</v>
      </c>
    </row>
    <row r="221" spans="1:33" x14ac:dyDescent="0.35">
      <c r="A221" s="9">
        <v>43936</v>
      </c>
      <c r="B221" s="10">
        <f>Расчеты!G234/360</f>
        <v>1.7027777777777777E-2</v>
      </c>
      <c r="C221" s="11">
        <v>883.6</v>
      </c>
      <c r="D221" s="3">
        <f t="shared" si="30"/>
        <v>1.5632183908045993</v>
      </c>
      <c r="E221" s="3">
        <f t="shared" si="31"/>
        <v>1.5461906130268215</v>
      </c>
      <c r="F221" s="34">
        <v>2498.94</v>
      </c>
      <c r="G221" s="3">
        <f t="shared" si="32"/>
        <v>-5.0493382931268265</v>
      </c>
      <c r="H221" s="3">
        <f t="shared" si="33"/>
        <v>-5.0663660709046043</v>
      </c>
      <c r="I221" s="3">
        <f t="shared" si="34"/>
        <v>2.3907054118122582</v>
      </c>
      <c r="J221" s="3">
        <f t="shared" si="35"/>
        <v>25.66806516441336</v>
      </c>
      <c r="K221" s="3">
        <f t="shared" si="36"/>
        <v>-7.8335676609902789</v>
      </c>
      <c r="M221" s="8">
        <v>1.3418079096045199</v>
      </c>
      <c r="N221" s="7">
        <f t="shared" si="37"/>
        <v>1.3418079096045199E-2</v>
      </c>
      <c r="AD221" s="8">
        <v>1.3418079096045199</v>
      </c>
      <c r="AE221" s="8">
        <f t="shared" si="38"/>
        <v>-1.3418079096045199</v>
      </c>
      <c r="AF221" s="8">
        <v>-0.25834230355221699</v>
      </c>
      <c r="AG221" s="7">
        <f t="shared" si="39"/>
        <v>-2.5834230355221699E-3</v>
      </c>
    </row>
    <row r="222" spans="1:33" x14ac:dyDescent="0.35">
      <c r="A222" s="9">
        <v>43937</v>
      </c>
      <c r="B222" s="10">
        <f>Расчеты!G235/360</f>
        <v>1.7305555555555557E-2</v>
      </c>
      <c r="C222" s="11">
        <v>880</v>
      </c>
      <c r="D222" s="3">
        <f t="shared" si="30"/>
        <v>-0.40742417383431428</v>
      </c>
      <c r="E222" s="3">
        <f t="shared" si="31"/>
        <v>-0.42472972938986986</v>
      </c>
      <c r="F222" s="34">
        <v>2515.0500000000002</v>
      </c>
      <c r="G222" s="3">
        <f t="shared" si="32"/>
        <v>0.64467334149680422</v>
      </c>
      <c r="H222" s="3">
        <f t="shared" si="33"/>
        <v>0.62736778594124865</v>
      </c>
      <c r="I222" s="3">
        <f t="shared" si="34"/>
        <v>0.18039534302759208</v>
      </c>
      <c r="J222" s="3">
        <f t="shared" si="35"/>
        <v>0.39359033883682437</v>
      </c>
      <c r="K222" s="3">
        <f t="shared" si="36"/>
        <v>-0.26646174995074834</v>
      </c>
      <c r="M222" s="8">
        <v>1.3441700531416023</v>
      </c>
      <c r="N222" s="7">
        <f t="shared" si="37"/>
        <v>1.3441700531416023E-2</v>
      </c>
      <c r="AD222" s="8">
        <v>1.3441700531416023</v>
      </c>
      <c r="AE222" s="8">
        <f t="shared" si="38"/>
        <v>-1.3441700531416023</v>
      </c>
      <c r="AF222" s="8">
        <v>-0.25000000000001688</v>
      </c>
      <c r="AG222" s="7">
        <f t="shared" si="39"/>
        <v>-2.5000000000001688E-3</v>
      </c>
    </row>
    <row r="223" spans="1:33" x14ac:dyDescent="0.35">
      <c r="A223" s="9">
        <v>43938</v>
      </c>
      <c r="B223" s="10">
        <f>Расчеты!G236/360</f>
        <v>1.7472222222222222E-2</v>
      </c>
      <c r="C223" s="11">
        <v>861</v>
      </c>
      <c r="D223" s="3">
        <f t="shared" si="30"/>
        <v>-2.1590909090909105</v>
      </c>
      <c r="E223" s="3">
        <f t="shared" si="31"/>
        <v>-2.1765631313131326</v>
      </c>
      <c r="F223" s="34">
        <v>2534.9699999999998</v>
      </c>
      <c r="G223" s="3">
        <f t="shared" si="32"/>
        <v>0.79203196755530669</v>
      </c>
      <c r="H223" s="3">
        <f t="shared" si="33"/>
        <v>0.77455974533308447</v>
      </c>
      <c r="I223" s="3">
        <f t="shared" si="34"/>
        <v>4.7374270645916292</v>
      </c>
      <c r="J223" s="3">
        <f t="shared" si="35"/>
        <v>0.59994279909045267</v>
      </c>
      <c r="K223" s="3">
        <f t="shared" si="36"/>
        <v>-1.6858781846912809</v>
      </c>
      <c r="M223" s="8">
        <v>1.3558515699334084</v>
      </c>
      <c r="N223" s="7">
        <f t="shared" si="37"/>
        <v>1.3558515699334084E-2</v>
      </c>
      <c r="AD223" s="8">
        <v>1.3558515699334084</v>
      </c>
      <c r="AE223" s="8">
        <f t="shared" si="38"/>
        <v>-1.3558515699334084</v>
      </c>
      <c r="AF223" s="8">
        <v>-0.24312698709556546</v>
      </c>
      <c r="AG223" s="7">
        <f t="shared" si="39"/>
        <v>-2.4312698709556546E-3</v>
      </c>
    </row>
    <row r="224" spans="1:33" x14ac:dyDescent="0.35">
      <c r="A224" s="9">
        <v>43941</v>
      </c>
      <c r="B224" s="10">
        <f>Расчеты!G237/360</f>
        <v>1.7555555555555557E-2</v>
      </c>
      <c r="C224" s="11">
        <v>865</v>
      </c>
      <c r="D224" s="3">
        <f t="shared" si="30"/>
        <v>0.46457607433216808</v>
      </c>
      <c r="E224" s="3">
        <f t="shared" si="31"/>
        <v>0.44702051877661253</v>
      </c>
      <c r="F224" s="34">
        <v>2525.9699999999998</v>
      </c>
      <c r="G224" s="3">
        <f t="shared" si="32"/>
        <v>-0.35503378738209745</v>
      </c>
      <c r="H224" s="3">
        <f t="shared" si="33"/>
        <v>-0.372589342937653</v>
      </c>
      <c r="I224" s="3">
        <f t="shared" si="34"/>
        <v>0.1998273442073118</v>
      </c>
      <c r="J224" s="3">
        <f t="shared" si="35"/>
        <v>0.13882281847071198</v>
      </c>
      <c r="K224" s="3">
        <f t="shared" si="36"/>
        <v>-0.16655508137062683</v>
      </c>
      <c r="M224" s="8">
        <v>1.4397905759162333</v>
      </c>
      <c r="N224" s="7">
        <f t="shared" si="37"/>
        <v>1.4397905759162333E-2</v>
      </c>
      <c r="AD224" s="8">
        <v>1.4397905759162333</v>
      </c>
      <c r="AE224" s="8">
        <f t="shared" si="38"/>
        <v>-1.4397905759162333</v>
      </c>
      <c r="AF224" s="8">
        <v>-0.23807059310629874</v>
      </c>
      <c r="AG224" s="7">
        <f t="shared" si="39"/>
        <v>-2.3807059310629874E-3</v>
      </c>
    </row>
    <row r="225" spans="1:33" x14ac:dyDescent="0.35">
      <c r="A225" s="9">
        <v>43942</v>
      </c>
      <c r="B225" s="10">
        <f>Расчеты!G238/360</f>
        <v>1.7638888888888888E-2</v>
      </c>
      <c r="C225" s="11">
        <v>892.4</v>
      </c>
      <c r="D225" s="3">
        <f t="shared" si="30"/>
        <v>3.1676300578034722</v>
      </c>
      <c r="E225" s="3">
        <f t="shared" si="31"/>
        <v>3.1499911689145832</v>
      </c>
      <c r="F225" s="34">
        <v>2488.02</v>
      </c>
      <c r="G225" s="3">
        <f t="shared" si="32"/>
        <v>-1.5023931400610424</v>
      </c>
      <c r="H225" s="3">
        <f t="shared" si="33"/>
        <v>-1.5200320289499314</v>
      </c>
      <c r="I225" s="3">
        <f t="shared" si="34"/>
        <v>9.9224443642398619</v>
      </c>
      <c r="J225" s="3">
        <f t="shared" si="35"/>
        <v>2.3104973690336452</v>
      </c>
      <c r="K225" s="3">
        <f t="shared" si="36"/>
        <v>-4.7880874676595999</v>
      </c>
      <c r="M225" s="8">
        <v>1.4521452145214386</v>
      </c>
      <c r="N225" s="7">
        <f t="shared" si="37"/>
        <v>1.4521452145214386E-2</v>
      </c>
      <c r="AD225" s="8">
        <v>1.4521452145214386</v>
      </c>
      <c r="AE225" s="8">
        <f t="shared" si="38"/>
        <v>-1.4521452145214386</v>
      </c>
      <c r="AF225" s="8">
        <v>-0.23752969121141332</v>
      </c>
      <c r="AG225" s="7">
        <f t="shared" si="39"/>
        <v>-2.3752969121141332E-3</v>
      </c>
    </row>
    <row r="226" spans="1:33" x14ac:dyDescent="0.35">
      <c r="A226" s="9">
        <v>43943</v>
      </c>
      <c r="B226" s="10">
        <f>Расчеты!G239/360</f>
        <v>1.7638888888888888E-2</v>
      </c>
      <c r="C226" s="11">
        <v>892</v>
      </c>
      <c r="D226" s="3">
        <f t="shared" si="30"/>
        <v>-4.4822949350065144E-2</v>
      </c>
      <c r="E226" s="3">
        <f t="shared" si="31"/>
        <v>-6.2461838238954029E-2</v>
      </c>
      <c r="F226" s="34">
        <v>2573.41</v>
      </c>
      <c r="G226" s="3">
        <f t="shared" si="32"/>
        <v>3.4320463661867695</v>
      </c>
      <c r="H226" s="3">
        <f t="shared" si="33"/>
        <v>3.4144074772978805</v>
      </c>
      <c r="I226" s="3">
        <f t="shared" si="34"/>
        <v>3.9014812361892596E-3</v>
      </c>
      <c r="J226" s="3">
        <f t="shared" si="35"/>
        <v>11.658178421027676</v>
      </c>
      <c r="K226" s="3">
        <f t="shared" si="36"/>
        <v>-0.2132701675288553</v>
      </c>
      <c r="M226" s="8">
        <v>1.5044247787610709</v>
      </c>
      <c r="N226" s="7">
        <f t="shared" si="37"/>
        <v>1.5044247787610709E-2</v>
      </c>
      <c r="AD226" s="8">
        <v>1.5044247787610709</v>
      </c>
      <c r="AE226" s="8">
        <f t="shared" si="38"/>
        <v>-1.5044247787610709</v>
      </c>
      <c r="AF226" s="8">
        <v>-0.2276916404640561</v>
      </c>
      <c r="AG226" s="7">
        <f t="shared" si="39"/>
        <v>-2.276916404640561E-3</v>
      </c>
    </row>
    <row r="227" spans="1:33" x14ac:dyDescent="0.35">
      <c r="A227" s="9">
        <v>43944</v>
      </c>
      <c r="B227" s="10">
        <f>Расчеты!G240/360</f>
        <v>1.7638888888888888E-2</v>
      </c>
      <c r="C227" s="11">
        <v>885.4</v>
      </c>
      <c r="D227" s="3">
        <f t="shared" si="30"/>
        <v>-0.73991031390134854</v>
      </c>
      <c r="E227" s="3">
        <f t="shared" si="31"/>
        <v>-0.75754920279023741</v>
      </c>
      <c r="F227" s="34">
        <v>2599.41</v>
      </c>
      <c r="G227" s="3">
        <f t="shared" si="32"/>
        <v>1.0103325937180552</v>
      </c>
      <c r="H227" s="3">
        <f t="shared" si="33"/>
        <v>0.9926937048291663</v>
      </c>
      <c r="I227" s="3">
        <f t="shared" si="34"/>
        <v>0.57388079464812425</v>
      </c>
      <c r="J227" s="3">
        <f t="shared" si="35"/>
        <v>0.9854407916074559</v>
      </c>
      <c r="K227" s="3">
        <f t="shared" si="36"/>
        <v>-0.75201432470822216</v>
      </c>
      <c r="M227" s="8">
        <v>1.504629629629628</v>
      </c>
      <c r="N227" s="7">
        <f t="shared" si="37"/>
        <v>1.504629629629628E-2</v>
      </c>
      <c r="AD227" s="8">
        <v>1.504629629629628</v>
      </c>
      <c r="AE227" s="8">
        <f t="shared" si="38"/>
        <v>-1.504629629629628</v>
      </c>
      <c r="AF227" s="8">
        <v>-0.21821067248564141</v>
      </c>
      <c r="AG227" s="7">
        <f t="shared" si="39"/>
        <v>-2.1821067248564141E-3</v>
      </c>
    </row>
    <row r="228" spans="1:33" x14ac:dyDescent="0.35">
      <c r="A228" s="9">
        <v>43945</v>
      </c>
      <c r="B228" s="10">
        <f>Расчеты!G241/360</f>
        <v>1.7416666666666667E-2</v>
      </c>
      <c r="C228" s="11">
        <v>878</v>
      </c>
      <c r="D228" s="3">
        <f t="shared" si="30"/>
        <v>-0.83578043822001291</v>
      </c>
      <c r="E228" s="3">
        <f t="shared" si="31"/>
        <v>-0.85319710488667955</v>
      </c>
      <c r="F228" s="34">
        <v>2562.0300000000002</v>
      </c>
      <c r="G228" s="3">
        <f t="shared" si="32"/>
        <v>-1.438018627303872</v>
      </c>
      <c r="H228" s="3">
        <f t="shared" si="33"/>
        <v>-1.4554352939705386</v>
      </c>
      <c r="I228" s="3">
        <f t="shared" si="34"/>
        <v>0.72794529978701161</v>
      </c>
      <c r="J228" s="3">
        <f t="shared" si="35"/>
        <v>2.1182918949351079</v>
      </c>
      <c r="K228" s="3">
        <f t="shared" si="36"/>
        <v>1.2417731791655569</v>
      </c>
      <c r="M228" s="8">
        <v>1.5174129353233923</v>
      </c>
      <c r="N228" s="7">
        <f t="shared" si="37"/>
        <v>1.5174129353233923E-2</v>
      </c>
      <c r="AD228" s="8">
        <v>1.5174129353233923</v>
      </c>
      <c r="AE228" s="8">
        <f t="shared" si="38"/>
        <v>-1.5174129353233923</v>
      </c>
      <c r="AF228" s="8">
        <v>-0.20596205962060132</v>
      </c>
      <c r="AG228" s="7">
        <f t="shared" si="39"/>
        <v>-2.0596205962060132E-3</v>
      </c>
    </row>
    <row r="229" spans="1:33" x14ac:dyDescent="0.35">
      <c r="A229" s="9">
        <v>43948</v>
      </c>
      <c r="B229" s="10">
        <f>Расчеты!G242/360</f>
        <v>1.6027777777777776E-2</v>
      </c>
      <c r="C229" s="11">
        <v>878.4</v>
      </c>
      <c r="D229" s="3">
        <f t="shared" si="30"/>
        <v>4.5558086560371081E-2</v>
      </c>
      <c r="E229" s="3">
        <f t="shared" si="31"/>
        <v>2.9530308782593304E-2</v>
      </c>
      <c r="F229" s="34">
        <v>2570.91</v>
      </c>
      <c r="G229" s="3">
        <f t="shared" si="32"/>
        <v>0.34660015690681778</v>
      </c>
      <c r="H229" s="3">
        <f t="shared" si="33"/>
        <v>0.33057237912904003</v>
      </c>
      <c r="I229" s="3">
        <f t="shared" si="34"/>
        <v>8.720391367953072E-4</v>
      </c>
      <c r="J229" s="3">
        <f t="shared" si="35"/>
        <v>0.10927809784303377</v>
      </c>
      <c r="K229" s="3">
        <f t="shared" si="36"/>
        <v>9.7619044306770549E-3</v>
      </c>
      <c r="M229" s="8">
        <v>1.5361445783132588</v>
      </c>
      <c r="N229" s="7">
        <f t="shared" si="37"/>
        <v>1.5361445783132588E-2</v>
      </c>
      <c r="AD229" s="8">
        <v>1.5361445783132588</v>
      </c>
      <c r="AE229" s="8">
        <f t="shared" si="38"/>
        <v>-1.5361445783132588</v>
      </c>
      <c r="AF229" s="8">
        <v>-0.20220588235293491</v>
      </c>
      <c r="AG229" s="7">
        <f t="shared" si="39"/>
        <v>-2.0220588235293491E-3</v>
      </c>
    </row>
    <row r="230" spans="1:33" x14ac:dyDescent="0.35">
      <c r="A230" s="9">
        <v>43949</v>
      </c>
      <c r="B230" s="10">
        <f>Расчеты!G243/360</f>
        <v>1.6027777777777776E-2</v>
      </c>
      <c r="C230" s="11">
        <v>869.4</v>
      </c>
      <c r="D230" s="3">
        <f t="shared" si="30"/>
        <v>-1.0245901639344246</v>
      </c>
      <c r="E230" s="3">
        <f t="shared" si="31"/>
        <v>-1.0406179417122023</v>
      </c>
      <c r="F230" s="34">
        <v>2612.2399999999998</v>
      </c>
      <c r="G230" s="3">
        <f t="shared" si="32"/>
        <v>1.6076019775099093</v>
      </c>
      <c r="H230" s="3">
        <f t="shared" si="33"/>
        <v>1.5915741997321315</v>
      </c>
      <c r="I230" s="3">
        <f t="shared" si="34"/>
        <v>1.0828857006133406</v>
      </c>
      <c r="J230" s="3">
        <f t="shared" si="35"/>
        <v>2.5331084332529747</v>
      </c>
      <c r="K230" s="3">
        <f t="shared" si="36"/>
        <v>-1.6562206678074964</v>
      </c>
      <c r="M230" s="8">
        <v>1.5367103016505457</v>
      </c>
      <c r="N230" s="7">
        <f t="shared" si="37"/>
        <v>1.5367103016505457E-2</v>
      </c>
      <c r="AD230" s="8">
        <v>1.5367103016505457</v>
      </c>
      <c r="AE230" s="8">
        <f t="shared" si="38"/>
        <v>-1.5367103016505457</v>
      </c>
      <c r="AF230" s="8">
        <v>-0.19200000000001438</v>
      </c>
      <c r="AG230" s="7">
        <f t="shared" si="39"/>
        <v>-1.9200000000001438E-3</v>
      </c>
    </row>
    <row r="231" spans="1:33" x14ac:dyDescent="0.35">
      <c r="A231" s="9">
        <v>43950</v>
      </c>
      <c r="B231" s="10">
        <f>Расчеты!G244/360</f>
        <v>1.6111111111111111E-2</v>
      </c>
      <c r="C231" s="11">
        <v>857</v>
      </c>
      <c r="D231" s="3">
        <f t="shared" si="30"/>
        <v>-1.4262709914883764</v>
      </c>
      <c r="E231" s="3">
        <f t="shared" si="31"/>
        <v>-1.4423821025994876</v>
      </c>
      <c r="F231" s="34">
        <v>2663.14</v>
      </c>
      <c r="G231" s="3">
        <f t="shared" si="32"/>
        <v>1.9485192784736594</v>
      </c>
      <c r="H231" s="3">
        <f t="shared" si="33"/>
        <v>1.9324081673625482</v>
      </c>
      <c r="I231" s="3">
        <f t="shared" si="34"/>
        <v>2.0804661298993188</v>
      </c>
      <c r="J231" s="3">
        <f t="shared" si="35"/>
        <v>3.7342013252894821</v>
      </c>
      <c r="K231" s="3">
        <f t="shared" si="36"/>
        <v>-2.7872709555208148</v>
      </c>
      <c r="M231" s="8">
        <v>1.5432980851671996</v>
      </c>
      <c r="N231" s="7">
        <f t="shared" si="37"/>
        <v>1.5432980851671996E-2</v>
      </c>
      <c r="AD231" s="8">
        <v>1.5432980851671996</v>
      </c>
      <c r="AE231" s="8">
        <f t="shared" si="38"/>
        <v>-1.5432980851671996</v>
      </c>
      <c r="AF231" s="8">
        <v>-0.18953200174951501</v>
      </c>
      <c r="AG231" s="7">
        <f t="shared" si="39"/>
        <v>-1.8953200174951501E-3</v>
      </c>
    </row>
    <row r="232" spans="1:33" x14ac:dyDescent="0.35">
      <c r="A232" s="9">
        <v>43951</v>
      </c>
      <c r="B232" s="10">
        <f>Расчеты!G245/360</f>
        <v>1.6500000000000001E-2</v>
      </c>
      <c r="C232" s="11">
        <v>864</v>
      </c>
      <c r="D232" s="3">
        <f t="shared" si="30"/>
        <v>0.8168028004667427</v>
      </c>
      <c r="E232" s="3">
        <f t="shared" si="31"/>
        <v>0.80030280046674274</v>
      </c>
      <c r="F232" s="34">
        <v>2650.56</v>
      </c>
      <c r="G232" s="3">
        <f t="shared" si="32"/>
        <v>-0.47237471556133004</v>
      </c>
      <c r="H232" s="3">
        <f t="shared" si="33"/>
        <v>-0.48887471556133005</v>
      </c>
      <c r="I232" s="3">
        <f t="shared" si="34"/>
        <v>0.64048457243491108</v>
      </c>
      <c r="J232" s="3">
        <f t="shared" si="35"/>
        <v>0.23899848751517136</v>
      </c>
      <c r="K232" s="3">
        <f t="shared" si="36"/>
        <v>-0.39124780394111475</v>
      </c>
      <c r="M232" s="8">
        <v>1.5445184736523343</v>
      </c>
      <c r="N232" s="7">
        <f t="shared" si="37"/>
        <v>1.5445184736523343E-2</v>
      </c>
      <c r="AD232" s="8">
        <v>1.5445184736523343</v>
      </c>
      <c r="AE232" s="8">
        <f t="shared" si="38"/>
        <v>-1.5445184736523343</v>
      </c>
      <c r="AF232" s="8">
        <v>-0.18765246762995069</v>
      </c>
      <c r="AG232" s="7">
        <f t="shared" si="39"/>
        <v>-1.8765246762995069E-3</v>
      </c>
    </row>
    <row r="233" spans="1:33" x14ac:dyDescent="0.35">
      <c r="A233" s="9">
        <v>43955</v>
      </c>
      <c r="B233" s="10">
        <f>Расчеты!G246/360</f>
        <v>1.6319444444444445E-2</v>
      </c>
      <c r="C233" s="11">
        <v>877</v>
      </c>
      <c r="D233" s="3">
        <f t="shared" si="30"/>
        <v>1.504629629629628</v>
      </c>
      <c r="E233" s="3">
        <f t="shared" si="31"/>
        <v>1.4883101851851834</v>
      </c>
      <c r="F233" s="34">
        <v>2624.64</v>
      </c>
      <c r="G233" s="3">
        <f t="shared" si="32"/>
        <v>-0.97790655559579776</v>
      </c>
      <c r="H233" s="3">
        <f t="shared" si="33"/>
        <v>-0.9942260000402422</v>
      </c>
      <c r="I233" s="3">
        <f t="shared" si="34"/>
        <v>2.215067207325955</v>
      </c>
      <c r="J233" s="3">
        <f t="shared" si="35"/>
        <v>0.98848533915601966</v>
      </c>
      <c r="K233" s="3">
        <f t="shared" si="36"/>
        <v>-1.479716682235817</v>
      </c>
      <c r="M233" s="8">
        <v>1.5632183908045993</v>
      </c>
      <c r="N233" s="7">
        <f t="shared" si="37"/>
        <v>1.5632183908045993E-2</v>
      </c>
      <c r="AD233" s="8">
        <v>1.5632183908045993</v>
      </c>
      <c r="AE233" s="8">
        <f t="shared" si="38"/>
        <v>-1.5632183908045993</v>
      </c>
      <c r="AF233" s="8">
        <v>-0.18656716417910779</v>
      </c>
      <c r="AG233" s="7">
        <f t="shared" si="39"/>
        <v>-1.8656716417910779E-3</v>
      </c>
    </row>
    <row r="234" spans="1:33" x14ac:dyDescent="0.35">
      <c r="A234" s="9">
        <v>43956</v>
      </c>
      <c r="B234" s="10">
        <f>Расчеты!G247/360</f>
        <v>1.6319444444444445E-2</v>
      </c>
      <c r="C234" s="11">
        <v>861</v>
      </c>
      <c r="D234" s="3">
        <f t="shared" si="30"/>
        <v>-1.8244013683010207</v>
      </c>
      <c r="E234" s="3">
        <f t="shared" si="31"/>
        <v>-1.8407208127454653</v>
      </c>
      <c r="F234" s="34">
        <v>2653.51</v>
      </c>
      <c r="G234" s="3">
        <f t="shared" si="32"/>
        <v>1.099960375518183</v>
      </c>
      <c r="H234" s="3">
        <f t="shared" si="33"/>
        <v>1.0836409310737385</v>
      </c>
      <c r="I234" s="3">
        <f t="shared" si="34"/>
        <v>3.3882531104743263</v>
      </c>
      <c r="J234" s="3">
        <f t="shared" si="35"/>
        <v>1.1742776674983588</v>
      </c>
      <c r="K234" s="3">
        <f t="shared" si="36"/>
        <v>-1.9946804153703046</v>
      </c>
      <c r="M234" s="8">
        <v>1.6465053763440762</v>
      </c>
      <c r="N234" s="7">
        <f t="shared" si="37"/>
        <v>1.6465053763440762E-2</v>
      </c>
      <c r="AD234" s="8">
        <v>1.6465053763440762</v>
      </c>
      <c r="AE234" s="8">
        <f t="shared" si="38"/>
        <v>-1.6465053763440762</v>
      </c>
      <c r="AF234" s="8">
        <v>-0.18621973929237035</v>
      </c>
      <c r="AG234" s="7">
        <f t="shared" si="39"/>
        <v>-1.8621973929237035E-3</v>
      </c>
    </row>
    <row r="235" spans="1:33" x14ac:dyDescent="0.35">
      <c r="A235" s="9">
        <v>43957</v>
      </c>
      <c r="B235" s="10">
        <f>Расчеты!G248/360</f>
        <v>1.6138888888888887E-2</v>
      </c>
      <c r="C235" s="11">
        <v>862</v>
      </c>
      <c r="D235" s="3">
        <f t="shared" si="30"/>
        <v>0.11614401858304202</v>
      </c>
      <c r="E235" s="3">
        <f t="shared" si="31"/>
        <v>0.10000512969415314</v>
      </c>
      <c r="F235" s="34">
        <v>2632.1</v>
      </c>
      <c r="G235" s="3">
        <f t="shared" si="32"/>
        <v>-0.80685582492624475</v>
      </c>
      <c r="H235" s="3">
        <f t="shared" si="33"/>
        <v>-0.82299471381513367</v>
      </c>
      <c r="I235" s="3">
        <f t="shared" si="34"/>
        <v>1.000102596514439E-2</v>
      </c>
      <c r="J235" s="3">
        <f t="shared" si="35"/>
        <v>0.67732029896765378</v>
      </c>
      <c r="K235" s="3">
        <f t="shared" si="36"/>
        <v>-8.2303693092684885E-2</v>
      </c>
      <c r="M235" s="8">
        <v>1.740139211136893</v>
      </c>
      <c r="N235" s="7">
        <f t="shared" si="37"/>
        <v>1.740139211136893E-2</v>
      </c>
      <c r="AD235" s="8">
        <v>1.740139211136893</v>
      </c>
      <c r="AE235" s="8">
        <f t="shared" si="38"/>
        <v>-1.740139211136893</v>
      </c>
      <c r="AF235" s="8">
        <v>-0.17656351640182866</v>
      </c>
      <c r="AG235" s="7">
        <f t="shared" si="39"/>
        <v>-1.7656351640182866E-3</v>
      </c>
    </row>
    <row r="236" spans="1:33" x14ac:dyDescent="0.35">
      <c r="A236" s="9">
        <v>43958</v>
      </c>
      <c r="B236" s="10">
        <f>Расчеты!G249/360</f>
        <v>1.575E-2</v>
      </c>
      <c r="C236" s="11">
        <v>863.2</v>
      </c>
      <c r="D236" s="3">
        <f t="shared" si="30"/>
        <v>0.13921113689094877</v>
      </c>
      <c r="E236" s="3">
        <f t="shared" si="31"/>
        <v>0.12346113689094877</v>
      </c>
      <c r="F236" s="34">
        <v>2634</v>
      </c>
      <c r="G236" s="3">
        <f t="shared" si="32"/>
        <v>7.218570722997697E-2</v>
      </c>
      <c r="H236" s="3">
        <f t="shared" si="33"/>
        <v>5.643570722997697E-2</v>
      </c>
      <c r="I236" s="3">
        <f t="shared" si="34"/>
        <v>1.5242652322405592E-2</v>
      </c>
      <c r="J236" s="3">
        <f t="shared" si="35"/>
        <v>3.1849890505476746E-3</v>
      </c>
      <c r="K236" s="3">
        <f t="shared" si="36"/>
        <v>6.9676165758576943E-3</v>
      </c>
      <c r="M236" s="8">
        <v>1.7937219730941534</v>
      </c>
      <c r="N236" s="7">
        <f t="shared" si="37"/>
        <v>1.7937219730941534E-2</v>
      </c>
      <c r="AD236" s="8">
        <v>1.7937219730941534</v>
      </c>
      <c r="AE236" s="8">
        <f t="shared" si="38"/>
        <v>-1.7937219730941534</v>
      </c>
      <c r="AF236" s="8">
        <v>-0.14749262536872809</v>
      </c>
      <c r="AG236" s="7">
        <f t="shared" si="39"/>
        <v>-1.4749262536872809E-3</v>
      </c>
    </row>
    <row r="237" spans="1:33" x14ac:dyDescent="0.35">
      <c r="A237" s="9">
        <v>43959</v>
      </c>
      <c r="B237" s="10">
        <f>Расчеты!G250/360</f>
        <v>1.5000000000000001E-2</v>
      </c>
      <c r="C237" s="11">
        <v>862.8</v>
      </c>
      <c r="D237" s="3">
        <f t="shared" si="30"/>
        <v>-4.6339202965717252E-2</v>
      </c>
      <c r="E237" s="3">
        <f t="shared" si="31"/>
        <v>-6.1339202965717252E-2</v>
      </c>
      <c r="F237" s="34">
        <v>2641.55</v>
      </c>
      <c r="G237" s="3">
        <f t="shared" si="32"/>
        <v>0.28663629460896622</v>
      </c>
      <c r="H237" s="3">
        <f t="shared" si="33"/>
        <v>0.27163629460896621</v>
      </c>
      <c r="I237" s="3">
        <f t="shared" si="34"/>
        <v>3.7624978204694559E-3</v>
      </c>
      <c r="J237" s="3">
        <f t="shared" si="35"/>
        <v>7.3786276548889085E-2</v>
      </c>
      <c r="K237" s="3">
        <f t="shared" si="36"/>
        <v>-1.6661953807874746E-2</v>
      </c>
      <c r="M237" s="8">
        <v>1.7994100294985271</v>
      </c>
      <c r="N237" s="7">
        <f t="shared" si="37"/>
        <v>1.7994100294985271E-2</v>
      </c>
      <c r="AD237" s="8">
        <v>1.7994100294985271</v>
      </c>
      <c r="AE237" s="8">
        <f t="shared" si="38"/>
        <v>-1.7994100294985271</v>
      </c>
      <c r="AF237" s="8">
        <v>-0.13422818791946067</v>
      </c>
      <c r="AG237" s="7">
        <f t="shared" si="39"/>
        <v>-1.3422818791946067E-3</v>
      </c>
    </row>
    <row r="238" spans="1:33" x14ac:dyDescent="0.35">
      <c r="A238" s="9">
        <v>43963</v>
      </c>
      <c r="B238" s="10">
        <f>Расчеты!G251/360</f>
        <v>1.5583333333333334E-2</v>
      </c>
      <c r="C238" s="11">
        <v>859.6</v>
      </c>
      <c r="D238" s="3">
        <f t="shared" si="30"/>
        <v>-0.37088548910523267</v>
      </c>
      <c r="E238" s="3">
        <f t="shared" si="31"/>
        <v>-0.38646882243856601</v>
      </c>
      <c r="F238" s="34">
        <v>2642.04</v>
      </c>
      <c r="G238" s="3">
        <f t="shared" si="32"/>
        <v>1.854971512935677E-2</v>
      </c>
      <c r="H238" s="3">
        <f t="shared" si="33"/>
        <v>2.9663817960234352E-3</v>
      </c>
      <c r="I238" s="3">
        <f t="shared" si="34"/>
        <v>0.14935815071705186</v>
      </c>
      <c r="J238" s="3">
        <f t="shared" si="35"/>
        <v>8.7994209597792215E-6</v>
      </c>
      <c r="K238" s="3">
        <f t="shared" si="36"/>
        <v>-1.1464140796123756E-3</v>
      </c>
      <c r="M238" s="8">
        <v>1.9017882486517035</v>
      </c>
      <c r="N238" s="7">
        <f t="shared" si="37"/>
        <v>1.9017882486517035E-2</v>
      </c>
      <c r="AD238" s="8">
        <v>1.9017882486517035</v>
      </c>
      <c r="AE238" s="8">
        <f t="shared" si="38"/>
        <v>-1.9017882486517035</v>
      </c>
      <c r="AF238" s="8">
        <v>-0.13315579227697327</v>
      </c>
      <c r="AG238" s="7">
        <f t="shared" si="39"/>
        <v>-1.3315579227697327E-3</v>
      </c>
    </row>
    <row r="239" spans="1:33" x14ac:dyDescent="0.35">
      <c r="A239" s="9">
        <v>43964</v>
      </c>
      <c r="B239" s="10">
        <f>Расчеты!G252/360</f>
        <v>1.5777777777777776E-2</v>
      </c>
      <c r="C239" s="11">
        <v>869.8</v>
      </c>
      <c r="D239" s="3">
        <f t="shared" si="30"/>
        <v>1.1865984178687672</v>
      </c>
      <c r="E239" s="3">
        <f t="shared" si="31"/>
        <v>1.1708206400909895</v>
      </c>
      <c r="F239" s="34">
        <v>2604.98</v>
      </c>
      <c r="G239" s="3">
        <f t="shared" si="32"/>
        <v>-1.402703971173791</v>
      </c>
      <c r="H239" s="3">
        <f t="shared" si="33"/>
        <v>-1.4184817489515686</v>
      </c>
      <c r="I239" s="3">
        <f t="shared" si="34"/>
        <v>1.3708209712630743</v>
      </c>
      <c r="J239" s="3">
        <f t="shared" si="35"/>
        <v>2.0120904721087012</v>
      </c>
      <c r="K239" s="3">
        <f t="shared" si="36"/>
        <v>-1.660787709264862</v>
      </c>
      <c r="M239" s="8">
        <v>2.1187549045252441</v>
      </c>
      <c r="N239" s="7">
        <f t="shared" si="37"/>
        <v>2.1187549045252441E-2</v>
      </c>
      <c r="AD239" s="8">
        <v>2.1187549045252441</v>
      </c>
      <c r="AE239" s="8">
        <f t="shared" si="38"/>
        <v>-2.1187549045252441</v>
      </c>
      <c r="AF239" s="8">
        <v>-0.11507479861909697</v>
      </c>
      <c r="AG239" s="7">
        <f t="shared" si="39"/>
        <v>-1.1507479861909697E-3</v>
      </c>
    </row>
    <row r="240" spans="1:33" x14ac:dyDescent="0.35">
      <c r="A240" s="9">
        <v>43965</v>
      </c>
      <c r="B240" s="10">
        <f>Расчеты!G253/360</f>
        <v>1.5722222222222224E-2</v>
      </c>
      <c r="C240" s="11">
        <v>878.4</v>
      </c>
      <c r="D240" s="3">
        <f t="shared" si="30"/>
        <v>0.98873304207864887</v>
      </c>
      <c r="E240" s="3">
        <f t="shared" si="31"/>
        <v>0.97301081985642668</v>
      </c>
      <c r="F240" s="34">
        <v>2590.31</v>
      </c>
      <c r="G240" s="3">
        <f t="shared" si="32"/>
        <v>-0.56315211633103379</v>
      </c>
      <c r="H240" s="3">
        <f t="shared" si="33"/>
        <v>-0.57887433855325598</v>
      </c>
      <c r="I240" s="3">
        <f t="shared" si="34"/>
        <v>0.94675005555767566</v>
      </c>
      <c r="J240" s="3">
        <f t="shared" si="35"/>
        <v>0.3350954998354696</v>
      </c>
      <c r="K240" s="3">
        <f t="shared" si="36"/>
        <v>-0.56325099474955032</v>
      </c>
      <c r="M240" s="8">
        <v>2.188940092165903</v>
      </c>
      <c r="N240" s="7">
        <f t="shared" si="37"/>
        <v>2.188940092165903E-2</v>
      </c>
      <c r="AD240" s="8">
        <v>2.188940092165903</v>
      </c>
      <c r="AE240" s="8">
        <f t="shared" si="38"/>
        <v>-2.188940092165903</v>
      </c>
      <c r="AF240" s="8">
        <v>-0.1138952164009055</v>
      </c>
      <c r="AG240" s="7">
        <f t="shared" si="39"/>
        <v>-1.138952164009055E-3</v>
      </c>
    </row>
    <row r="241" spans="1:33" x14ac:dyDescent="0.35">
      <c r="A241" s="9">
        <v>43966</v>
      </c>
      <c r="B241" s="10">
        <f>Расчеты!G254/360</f>
        <v>1.5611111111111112E-2</v>
      </c>
      <c r="C241" s="11">
        <v>881.8</v>
      </c>
      <c r="D241" s="3">
        <f t="shared" si="30"/>
        <v>0.38706739526410683</v>
      </c>
      <c r="E241" s="3">
        <f t="shared" si="31"/>
        <v>0.3714562841529957</v>
      </c>
      <c r="F241" s="34">
        <v>2593.91</v>
      </c>
      <c r="G241" s="3">
        <f t="shared" si="32"/>
        <v>0.1389795043836406</v>
      </c>
      <c r="H241" s="3">
        <f t="shared" si="33"/>
        <v>0.12336839327252948</v>
      </c>
      <c r="I241" s="3">
        <f t="shared" si="34"/>
        <v>0.13797977103675108</v>
      </c>
      <c r="J241" s="3">
        <f t="shared" si="35"/>
        <v>1.5219760458645497E-2</v>
      </c>
      <c r="K241" s="3">
        <f t="shared" si="36"/>
        <v>4.5825964946939232E-2</v>
      </c>
      <c r="M241" s="8">
        <v>2.1940667490729204</v>
      </c>
      <c r="N241" s="7">
        <f t="shared" si="37"/>
        <v>2.1940667490729204E-2</v>
      </c>
      <c r="AD241" s="8">
        <v>2.1940667490729204</v>
      </c>
      <c r="AE241" s="8">
        <f t="shared" si="38"/>
        <v>-2.1940667490729204</v>
      </c>
      <c r="AF241" s="8">
        <v>-0.11265490048816273</v>
      </c>
      <c r="AG241" s="7">
        <f t="shared" si="39"/>
        <v>-1.1265490048816273E-3</v>
      </c>
    </row>
    <row r="242" spans="1:33" x14ac:dyDescent="0.35">
      <c r="A242" s="9">
        <v>43969</v>
      </c>
      <c r="B242" s="10">
        <f>Расчеты!G255/360</f>
        <v>1.5555555555555555E-2</v>
      </c>
      <c r="C242" s="11">
        <v>861.8</v>
      </c>
      <c r="D242" s="3">
        <f t="shared" si="30"/>
        <v>-2.2680880018144722</v>
      </c>
      <c r="E242" s="3">
        <f t="shared" si="31"/>
        <v>-2.283643557370028</v>
      </c>
      <c r="F242" s="34">
        <v>2694.25</v>
      </c>
      <c r="G242" s="3">
        <f t="shared" si="32"/>
        <v>3.8682914981630123</v>
      </c>
      <c r="H242" s="3">
        <f t="shared" si="33"/>
        <v>3.8527359426074566</v>
      </c>
      <c r="I242" s="3">
        <f t="shared" si="34"/>
        <v>5.2150278971176363</v>
      </c>
      <c r="J242" s="3">
        <f t="shared" si="35"/>
        <v>14.843574243459367</v>
      </c>
      <c r="K242" s="3">
        <f t="shared" si="36"/>
        <v>-8.7982756135834599</v>
      </c>
      <c r="M242" s="8">
        <v>2.2861183125147289</v>
      </c>
      <c r="N242" s="7">
        <f t="shared" si="37"/>
        <v>2.2861183125147289E-2</v>
      </c>
      <c r="AD242" s="8">
        <v>2.2861183125147289</v>
      </c>
      <c r="AE242" s="8">
        <f t="shared" si="38"/>
        <v>-2.2861183125147289</v>
      </c>
      <c r="AF242" s="8">
        <v>-0.11210762331839152</v>
      </c>
      <c r="AG242" s="7">
        <f t="shared" si="39"/>
        <v>-1.1210762331839152E-3</v>
      </c>
    </row>
    <row r="243" spans="1:33" x14ac:dyDescent="0.35">
      <c r="A243" s="9">
        <v>43970</v>
      </c>
      <c r="B243" s="10">
        <f>Расчеты!G256/360</f>
        <v>1.5611111111111112E-2</v>
      </c>
      <c r="C243" s="11">
        <v>867.2</v>
      </c>
      <c r="D243" s="3">
        <f t="shared" si="30"/>
        <v>0.62659549779531254</v>
      </c>
      <c r="E243" s="3">
        <f t="shared" si="31"/>
        <v>0.61098438668420141</v>
      </c>
      <c r="F243" s="34">
        <v>2711.72</v>
      </c>
      <c r="G243" s="3">
        <f t="shared" si="32"/>
        <v>0.64841792706689105</v>
      </c>
      <c r="H243" s="3">
        <f t="shared" si="33"/>
        <v>0.63280681595577992</v>
      </c>
      <c r="I243" s="3">
        <f t="shared" si="34"/>
        <v>0.37330192077186974</v>
      </c>
      <c r="J243" s="3">
        <f t="shared" si="35"/>
        <v>0.40044446632009234</v>
      </c>
      <c r="K243" s="3">
        <f t="shared" si="36"/>
        <v>0.38663508433632449</v>
      </c>
      <c r="M243" s="8">
        <v>2.3467292461132327</v>
      </c>
      <c r="N243" s="7">
        <f t="shared" si="37"/>
        <v>2.3467292461132327E-2</v>
      </c>
      <c r="AD243" s="8">
        <v>2.3467292461132327</v>
      </c>
      <c r="AE243" s="8">
        <f t="shared" si="38"/>
        <v>-2.3467292461132327</v>
      </c>
      <c r="AF243" s="8">
        <v>-0.10752688172044333</v>
      </c>
      <c r="AG243" s="7">
        <f t="shared" si="39"/>
        <v>-1.0752688172044333E-3</v>
      </c>
    </row>
    <row r="244" spans="1:33" x14ac:dyDescent="0.35">
      <c r="A244" s="9">
        <v>43971</v>
      </c>
      <c r="B244" s="10">
        <f>Расчеты!G257/360</f>
        <v>1.5611111111111112E-2</v>
      </c>
      <c r="C244" s="11">
        <v>859.4</v>
      </c>
      <c r="D244" s="3">
        <f t="shared" si="30"/>
        <v>-0.89944649446495051</v>
      </c>
      <c r="E244" s="3">
        <f t="shared" si="31"/>
        <v>-0.91505760557606164</v>
      </c>
      <c r="F244" s="34">
        <v>2770.79</v>
      </c>
      <c r="G244" s="3">
        <f t="shared" si="32"/>
        <v>2.1783222456595919</v>
      </c>
      <c r="H244" s="3">
        <f t="shared" si="33"/>
        <v>2.1627111345484806</v>
      </c>
      <c r="I244" s="3">
        <f t="shared" si="34"/>
        <v>0.83733042152259518</v>
      </c>
      <c r="J244" s="3">
        <f t="shared" si="35"/>
        <v>4.6773194514999759</v>
      </c>
      <c r="K244" s="3">
        <f t="shared" si="36"/>
        <v>-1.9790052723326204</v>
      </c>
      <c r="M244" s="8">
        <v>2.421736562315413</v>
      </c>
      <c r="N244" s="7">
        <f t="shared" si="37"/>
        <v>2.421736562315413E-2</v>
      </c>
      <c r="AD244" s="8">
        <v>2.421736562315413</v>
      </c>
      <c r="AE244" s="8">
        <f t="shared" si="38"/>
        <v>-2.421736562315413</v>
      </c>
      <c r="AF244" s="8">
        <v>-0.10741138560687036</v>
      </c>
      <c r="AG244" s="7">
        <f t="shared" si="39"/>
        <v>-1.0741138560687036E-3</v>
      </c>
    </row>
    <row r="245" spans="1:33" x14ac:dyDescent="0.35">
      <c r="A245" s="9">
        <v>43972</v>
      </c>
      <c r="B245" s="10">
        <f>Расчеты!G258/360</f>
        <v>1.5555555555555555E-2</v>
      </c>
      <c r="C245" s="11">
        <v>840.8</v>
      </c>
      <c r="D245" s="3">
        <f t="shared" si="30"/>
        <v>-2.1643006748894633</v>
      </c>
      <c r="E245" s="3">
        <f t="shared" si="31"/>
        <v>-2.1798562304450191</v>
      </c>
      <c r="F245" s="34">
        <v>2718.67</v>
      </c>
      <c r="G245" s="3">
        <f t="shared" si="32"/>
        <v>-1.8810519743466592</v>
      </c>
      <c r="H245" s="3">
        <f t="shared" si="33"/>
        <v>-1.8966075299022147</v>
      </c>
      <c r="I245" s="3">
        <f t="shared" si="34"/>
        <v>4.7517731854099683</v>
      </c>
      <c r="J245" s="3">
        <f t="shared" si="35"/>
        <v>3.5971201224817801</v>
      </c>
      <c r="K245" s="3">
        <f t="shared" si="36"/>
        <v>4.1343317407662807</v>
      </c>
      <c r="M245" s="8">
        <v>2.4779735682819437</v>
      </c>
      <c r="N245" s="7">
        <f t="shared" si="37"/>
        <v>2.4779735682819437E-2</v>
      </c>
      <c r="AD245" s="8">
        <v>2.4779735682819437</v>
      </c>
      <c r="AE245" s="8">
        <f t="shared" si="38"/>
        <v>-2.4779735682819437</v>
      </c>
      <c r="AF245" s="8">
        <v>-9.9304865938443232E-2</v>
      </c>
      <c r="AG245" s="7">
        <f t="shared" si="39"/>
        <v>-9.9304865938443232E-4</v>
      </c>
    </row>
    <row r="246" spans="1:33" x14ac:dyDescent="0.35">
      <c r="A246" s="9">
        <v>43973</v>
      </c>
      <c r="B246" s="10">
        <f>Расчеты!G259/360</f>
        <v>1.5611111111111112E-2</v>
      </c>
      <c r="C246" s="11">
        <v>852.2</v>
      </c>
      <c r="D246" s="3">
        <f t="shared" si="30"/>
        <v>1.3558515699334084</v>
      </c>
      <c r="E246" s="3">
        <f t="shared" si="31"/>
        <v>1.3402404588222974</v>
      </c>
      <c r="F246" s="34">
        <v>2709.38</v>
      </c>
      <c r="G246" s="3">
        <f t="shared" si="32"/>
        <v>-0.34171120437567204</v>
      </c>
      <c r="H246" s="3">
        <f t="shared" si="33"/>
        <v>-0.35732231548678317</v>
      </c>
      <c r="I246" s="3">
        <f t="shared" si="34"/>
        <v>1.7962444874642021</v>
      </c>
      <c r="J246" s="3">
        <f t="shared" si="35"/>
        <v>0.1276792371448362</v>
      </c>
      <c r="K246" s="3">
        <f t="shared" si="36"/>
        <v>-0.47889782405545195</v>
      </c>
      <c r="M246" s="8">
        <v>2.5142173002095092</v>
      </c>
      <c r="N246" s="7">
        <f t="shared" si="37"/>
        <v>2.5142173002095092E-2</v>
      </c>
      <c r="AD246" s="8">
        <v>2.5142173002095092</v>
      </c>
      <c r="AE246" s="8">
        <f t="shared" si="38"/>
        <v>-2.5142173002095092</v>
      </c>
      <c r="AF246" s="8">
        <v>-8.2872928176802585E-2</v>
      </c>
      <c r="AG246" s="7">
        <f t="shared" si="39"/>
        <v>-8.2872928176802585E-4</v>
      </c>
    </row>
    <row r="247" spans="1:33" x14ac:dyDescent="0.35">
      <c r="A247" s="9">
        <v>43976</v>
      </c>
      <c r="B247" s="10">
        <f>Расчеты!G260/360</f>
        <v>1.5694444444444445E-2</v>
      </c>
      <c r="C247" s="11">
        <v>850</v>
      </c>
      <c r="D247" s="3">
        <f t="shared" si="30"/>
        <v>-0.25815536259095051</v>
      </c>
      <c r="E247" s="3">
        <f t="shared" si="31"/>
        <v>-0.27384980703539497</v>
      </c>
      <c r="F247" s="34">
        <v>2757.93</v>
      </c>
      <c r="G247" s="3">
        <f t="shared" si="32"/>
        <v>1.7919228753441541</v>
      </c>
      <c r="H247" s="3">
        <f t="shared" si="33"/>
        <v>1.7762284308997096</v>
      </c>
      <c r="I247" s="3">
        <f t="shared" si="34"/>
        <v>7.4993716813323064E-2</v>
      </c>
      <c r="J247" s="3">
        <f t="shared" si="35"/>
        <v>3.1549874387364443</v>
      </c>
      <c r="K247" s="3">
        <f t="shared" si="36"/>
        <v>-0.48641981305266785</v>
      </c>
      <c r="M247" s="8">
        <v>2.5503355704697972</v>
      </c>
      <c r="N247" s="7">
        <f t="shared" si="37"/>
        <v>2.5503355704697972E-2</v>
      </c>
      <c r="AD247" s="8">
        <v>2.5503355704697972</v>
      </c>
      <c r="AE247" s="8">
        <f t="shared" si="38"/>
        <v>-2.5503355704697972</v>
      </c>
      <c r="AF247" s="8">
        <v>-7.5987841945290846E-2</v>
      </c>
      <c r="AG247" s="7">
        <f t="shared" si="39"/>
        <v>-7.5987841945290846E-4</v>
      </c>
    </row>
    <row r="248" spans="1:33" x14ac:dyDescent="0.35">
      <c r="A248" s="9">
        <v>43977</v>
      </c>
      <c r="B248" s="10">
        <f>Расчеты!G261/360</f>
        <v>1.5722222222222224E-2</v>
      </c>
      <c r="C248" s="11">
        <v>834.4</v>
      </c>
      <c r="D248" s="3">
        <f t="shared" si="30"/>
        <v>-1.8352941176470572</v>
      </c>
      <c r="E248" s="3">
        <f t="shared" si="31"/>
        <v>-1.8510163398692794</v>
      </c>
      <c r="F248" s="34">
        <v>2754.04</v>
      </c>
      <c r="G248" s="3">
        <f t="shared" si="32"/>
        <v>-0.14104781484663986</v>
      </c>
      <c r="H248" s="3">
        <f t="shared" si="33"/>
        <v>-0.15677003706886208</v>
      </c>
      <c r="I248" s="3">
        <f t="shared" si="34"/>
        <v>3.4262614904630637</v>
      </c>
      <c r="J248" s="3">
        <f t="shared" si="35"/>
        <v>2.4576844522572392E-2</v>
      </c>
      <c r="K248" s="3">
        <f t="shared" si="36"/>
        <v>0.29018390021637636</v>
      </c>
      <c r="M248" s="8">
        <v>2.7769483427888986</v>
      </c>
      <c r="N248" s="7">
        <f t="shared" si="37"/>
        <v>2.7769483427888986E-2</v>
      </c>
      <c r="AD248" s="8">
        <v>2.7769483427888986</v>
      </c>
      <c r="AE248" s="8">
        <f t="shared" si="38"/>
        <v>-2.7769483427888986</v>
      </c>
      <c r="AF248" s="8">
        <v>-7.3909830007390376E-2</v>
      </c>
      <c r="AG248" s="7">
        <f t="shared" si="39"/>
        <v>-7.3909830007390376E-4</v>
      </c>
    </row>
    <row r="249" spans="1:33" x14ac:dyDescent="0.35">
      <c r="A249" s="9">
        <v>43978</v>
      </c>
      <c r="B249" s="10">
        <f>Расчеты!G262/360</f>
        <v>1.5722222222222224E-2</v>
      </c>
      <c r="C249" s="11">
        <v>833</v>
      </c>
      <c r="D249" s="3">
        <f t="shared" si="30"/>
        <v>-0.16778523489933139</v>
      </c>
      <c r="E249" s="3">
        <f t="shared" si="31"/>
        <v>-0.18350745712155361</v>
      </c>
      <c r="F249" s="34">
        <v>2741.02</v>
      </c>
      <c r="G249" s="3">
        <f t="shared" si="32"/>
        <v>-0.47276001800991008</v>
      </c>
      <c r="H249" s="3">
        <f t="shared" si="33"/>
        <v>-0.48848224023213233</v>
      </c>
      <c r="I249" s="3">
        <f t="shared" si="34"/>
        <v>3.3674986819218836E-2</v>
      </c>
      <c r="J249" s="3">
        <f t="shared" si="35"/>
        <v>0.23861489902220265</v>
      </c>
      <c r="K249" s="3">
        <f t="shared" si="36"/>
        <v>8.9640133754038467E-2</v>
      </c>
      <c r="M249" s="8">
        <v>3.1676300578034722</v>
      </c>
      <c r="N249" s="7">
        <f t="shared" si="37"/>
        <v>3.1676300578034722E-2</v>
      </c>
      <c r="AD249" s="8">
        <v>3.1676300578034722</v>
      </c>
      <c r="AE249" s="8">
        <f t="shared" si="38"/>
        <v>-3.1676300578034722</v>
      </c>
      <c r="AF249" s="8">
        <v>-7.3015541879639656E-2</v>
      </c>
      <c r="AG249" s="7">
        <f t="shared" si="39"/>
        <v>-7.3015541879639656E-4</v>
      </c>
    </row>
    <row r="250" spans="1:33" x14ac:dyDescent="0.35">
      <c r="A250" s="9">
        <v>43979</v>
      </c>
      <c r="B250" s="10">
        <f>Расчеты!G263/360</f>
        <v>1.5805555555555555E-2</v>
      </c>
      <c r="C250" s="11">
        <v>834</v>
      </c>
      <c r="D250" s="3">
        <f t="shared" si="30"/>
        <v>0.12004801920768582</v>
      </c>
      <c r="E250" s="3">
        <f t="shared" si="31"/>
        <v>0.10424246365213026</v>
      </c>
      <c r="F250" s="34">
        <v>2779.98</v>
      </c>
      <c r="G250" s="3">
        <f t="shared" si="32"/>
        <v>1.421368687568858</v>
      </c>
      <c r="H250" s="3">
        <f t="shared" si="33"/>
        <v>1.4055631320133024</v>
      </c>
      <c r="I250" s="3">
        <f t="shared" si="34"/>
        <v>1.0866491228265699E-2</v>
      </c>
      <c r="J250" s="3">
        <f t="shared" si="35"/>
        <v>1.9756077180750442</v>
      </c>
      <c r="K250" s="3">
        <f t="shared" si="36"/>
        <v>0.14651936369967103</v>
      </c>
      <c r="M250" s="8">
        <v>3.3670955379140555</v>
      </c>
      <c r="N250" s="7">
        <f t="shared" si="37"/>
        <v>3.3670955379140555E-2</v>
      </c>
      <c r="AD250" s="8">
        <v>3.3670955379140555</v>
      </c>
      <c r="AE250" s="8">
        <f t="shared" si="38"/>
        <v>-3.3670955379140555</v>
      </c>
      <c r="AF250" s="8">
        <v>-7.2689511941836926E-2</v>
      </c>
      <c r="AG250" s="7">
        <f t="shared" si="39"/>
        <v>-7.2689511941836926E-4</v>
      </c>
    </row>
    <row r="251" spans="1:33" x14ac:dyDescent="0.35">
      <c r="A251" s="9">
        <v>43980</v>
      </c>
      <c r="B251" s="10">
        <f>Расчеты!G264/360</f>
        <v>1.5805555555555555E-2</v>
      </c>
      <c r="C251" s="11">
        <v>840</v>
      </c>
      <c r="D251" s="3">
        <f t="shared" si="30"/>
        <v>0.7194244604316502</v>
      </c>
      <c r="E251" s="3">
        <f t="shared" si="31"/>
        <v>0.70361890487609469</v>
      </c>
      <c r="F251" s="34">
        <v>2734.83</v>
      </c>
      <c r="G251" s="3">
        <f t="shared" si="32"/>
        <v>-1.6241124036863619</v>
      </c>
      <c r="H251" s="3">
        <f t="shared" si="33"/>
        <v>-1.6399179592419175</v>
      </c>
      <c r="I251" s="3">
        <f t="shared" si="34"/>
        <v>0.4950795632990348</v>
      </c>
      <c r="J251" s="3">
        <f t="shared" si="35"/>
        <v>2.6893309130441754</v>
      </c>
      <c r="K251" s="3">
        <f t="shared" si="36"/>
        <v>-1.1538772785684381</v>
      </c>
      <c r="M251" s="8">
        <v>3.8678278688524692</v>
      </c>
      <c r="N251" s="7">
        <f t="shared" si="37"/>
        <v>3.8678278688524692E-2</v>
      </c>
      <c r="AD251" s="8">
        <v>3.8678278688524692</v>
      </c>
      <c r="AE251" s="8">
        <f t="shared" si="38"/>
        <v>-3.8678278688524692</v>
      </c>
      <c r="AF251" s="8">
        <v>-3.7671877943123988E-2</v>
      </c>
      <c r="AG251" s="7">
        <f t="shared" si="39"/>
        <v>-3.7671877943123988E-4</v>
      </c>
    </row>
    <row r="252" spans="1:33" x14ac:dyDescent="0.35">
      <c r="A252" s="9">
        <v>43983</v>
      </c>
      <c r="B252" s="10">
        <f>Расчеты!G265/360</f>
        <v>1.575E-2</v>
      </c>
      <c r="C252" s="11">
        <v>829.6</v>
      </c>
      <c r="D252" s="3">
        <f t="shared" si="30"/>
        <v>-1.2380952380952381</v>
      </c>
      <c r="E252" s="3">
        <f t="shared" si="31"/>
        <v>-1.2538452380952381</v>
      </c>
      <c r="F252" s="34">
        <v>2750.24</v>
      </c>
      <c r="G252" s="3">
        <f t="shared" si="32"/>
        <v>0.56347195255279647</v>
      </c>
      <c r="H252" s="3">
        <f t="shared" si="33"/>
        <v>0.54772195255279643</v>
      </c>
      <c r="I252" s="3">
        <f t="shared" si="34"/>
        <v>1.5721278810941042</v>
      </c>
      <c r="J252" s="3">
        <f t="shared" si="35"/>
        <v>0.29999933730824779</v>
      </c>
      <c r="K252" s="3">
        <f t="shared" si="36"/>
        <v>-0.68675856200854968</v>
      </c>
      <c r="M252" s="8">
        <v>3.9696152903700099</v>
      </c>
      <c r="N252" s="7">
        <f t="shared" si="37"/>
        <v>3.9696152903700099E-2</v>
      </c>
      <c r="AD252" s="8">
        <v>3.9696152903700099</v>
      </c>
      <c r="AE252" s="8">
        <f t="shared" si="38"/>
        <v>-3.9696152903700099</v>
      </c>
      <c r="AF252" s="8">
        <v>-2.0699648105981794E-2</v>
      </c>
      <c r="AG252" s="7">
        <f t="shared" si="39"/>
        <v>-2.0699648105981794E-4</v>
      </c>
    </row>
    <row r="253" spans="1:33" x14ac:dyDescent="0.35">
      <c r="A253" s="9">
        <v>43984</v>
      </c>
      <c r="B253" s="10">
        <f>Расчеты!G266/360</f>
        <v>1.5666666666666666E-2</v>
      </c>
      <c r="C253" s="11">
        <v>821</v>
      </c>
      <c r="D253" s="3">
        <f t="shared" si="30"/>
        <v>-1.0366441658630654</v>
      </c>
      <c r="E253" s="3">
        <f t="shared" si="31"/>
        <v>-1.0523108325297321</v>
      </c>
      <c r="F253" s="34">
        <v>2796.51</v>
      </c>
      <c r="G253" s="3">
        <f t="shared" si="32"/>
        <v>1.6823986270289248</v>
      </c>
      <c r="H253" s="3">
        <f t="shared" si="33"/>
        <v>1.6667319603622581</v>
      </c>
      <c r="I253" s="3">
        <f t="shared" si="34"/>
        <v>1.1073580882594178</v>
      </c>
      <c r="J253" s="3">
        <f t="shared" si="35"/>
        <v>2.7779954276930159</v>
      </c>
      <c r="K253" s="3">
        <f t="shared" si="36"/>
        <v>-1.7539200968127204</v>
      </c>
      <c r="M253" s="8">
        <v>4.3408873284391802</v>
      </c>
      <c r="N253" s="7">
        <f t="shared" si="37"/>
        <v>4.3408873284391802E-2</v>
      </c>
      <c r="AD253" s="8">
        <v>4.3408873284391802</v>
      </c>
      <c r="AE253" s="8">
        <f t="shared" si="38"/>
        <v>-4.3408873284391802</v>
      </c>
      <c r="AF253" s="8">
        <v>0</v>
      </c>
      <c r="AG253" s="7">
        <f t="shared" si="39"/>
        <v>0</v>
      </c>
    </row>
    <row r="254" spans="1:33" x14ac:dyDescent="0.35">
      <c r="A254" s="9">
        <v>43985</v>
      </c>
      <c r="B254" s="10">
        <f>Расчеты!G267/360</f>
        <v>1.5738095238095239E-2</v>
      </c>
      <c r="C254" s="11">
        <v>813</v>
      </c>
      <c r="D254" s="3">
        <f t="shared" si="30"/>
        <v>-0.974421437271622</v>
      </c>
      <c r="E254" s="3">
        <f t="shared" si="31"/>
        <v>-0.99015953250971722</v>
      </c>
      <c r="F254" s="34">
        <v>2801.77</v>
      </c>
      <c r="G254" s="3">
        <f t="shared" si="32"/>
        <v>0.18809158558346084</v>
      </c>
      <c r="H254" s="3">
        <f t="shared" si="33"/>
        <v>0.1723534903453656</v>
      </c>
      <c r="I254" s="3">
        <f t="shared" si="34"/>
        <v>0.98041589981986177</v>
      </c>
      <c r="J254" s="3">
        <f t="shared" si="35"/>
        <v>2.9705725634230032E-2</v>
      </c>
      <c r="K254" s="3">
        <f t="shared" si="36"/>
        <v>-0.17065745142678526</v>
      </c>
      <c r="M254" s="8">
        <v>5.4451612903225755</v>
      </c>
      <c r="N254" s="7">
        <f t="shared" si="37"/>
        <v>5.4451612903225755E-2</v>
      </c>
      <c r="AD254" s="8">
        <v>5.4451612903225755</v>
      </c>
      <c r="AE254" s="8">
        <f t="shared" si="38"/>
        <v>-5.4451612903225755</v>
      </c>
      <c r="AF254" s="8">
        <v>0</v>
      </c>
      <c r="AG254" s="7">
        <f t="shared" si="39"/>
        <v>0</v>
      </c>
    </row>
    <row r="255" spans="1:33" x14ac:dyDescent="0.35">
      <c r="A255" s="4" t="s">
        <v>3</v>
      </c>
      <c r="B255" s="2"/>
      <c r="C255" s="2"/>
      <c r="D255" s="2"/>
      <c r="E255" s="5">
        <f>SUM(E5:E254)</f>
        <v>27.372119652729758</v>
      </c>
      <c r="F255" s="2"/>
      <c r="G255" s="2"/>
      <c r="H255" s="5">
        <f>SUM(H5:H254)</f>
        <v>1.9905879446998178</v>
      </c>
      <c r="I255" s="5">
        <f>SUM(I5:I254)</f>
        <v>374.12904486812414</v>
      </c>
      <c r="J255" s="5">
        <f>SUM(J5:J254)</f>
        <v>594.19370640923</v>
      </c>
      <c r="K255" s="5">
        <f>SUM(K5:K254)</f>
        <v>-143.94791110453517</v>
      </c>
    </row>
    <row r="256" spans="1:33" x14ac:dyDescent="0.35">
      <c r="D256" s="8"/>
    </row>
    <row r="259" spans="1:6" x14ac:dyDescent="0.35">
      <c r="A259" s="70" t="s">
        <v>6</v>
      </c>
      <c r="B259" s="70"/>
      <c r="C259" s="70"/>
      <c r="D259" s="70"/>
      <c r="E259" s="2">
        <v>250</v>
      </c>
    </row>
    <row r="260" spans="1:6" x14ac:dyDescent="0.35">
      <c r="A260" s="70" t="s">
        <v>7</v>
      </c>
      <c r="B260" s="70"/>
      <c r="C260" s="70"/>
      <c r="D260" s="70"/>
      <c r="E260" s="3">
        <f>((E259*K255)-(E255*H255))/(E259*J255-H255^2)</f>
        <v>-0.24263081489353444</v>
      </c>
      <c r="F260" t="s">
        <v>52</v>
      </c>
    </row>
    <row r="261" spans="1:6" x14ac:dyDescent="0.35">
      <c r="A261" s="70" t="s">
        <v>8</v>
      </c>
      <c r="B261" s="70"/>
      <c r="C261" s="70"/>
      <c r="D261" s="70"/>
      <c r="E261" s="3">
        <f>E255/E259-E260*H255/E259</f>
        <v>0.11142039051147809</v>
      </c>
      <c r="F261" t="s">
        <v>15</v>
      </c>
    </row>
    <row r="262" spans="1:6" x14ac:dyDescent="0.35">
      <c r="A262" s="70" t="s">
        <v>9</v>
      </c>
      <c r="B262" s="70"/>
      <c r="C262" s="70"/>
      <c r="D262" s="70"/>
      <c r="E262" s="3">
        <f>((I255-E261*E255-E260*K255)/(E259-2))^0.5</f>
        <v>1.1642404308309127</v>
      </c>
      <c r="F262" t="s">
        <v>16</v>
      </c>
    </row>
    <row r="263" spans="1:6" x14ac:dyDescent="0.35">
      <c r="A263" s="70" t="s">
        <v>10</v>
      </c>
      <c r="B263" s="70"/>
      <c r="C263" s="70"/>
      <c r="D263" s="70"/>
      <c r="E263" s="3">
        <f>E262/(J255-H255^2/E259)^0.5</f>
        <v>4.7762213503709641E-2</v>
      </c>
    </row>
    <row r="264" spans="1:6" x14ac:dyDescent="0.35">
      <c r="A264" s="70" t="s">
        <v>11</v>
      </c>
      <c r="B264" s="70"/>
      <c r="C264" s="70"/>
      <c r="D264" s="70"/>
      <c r="E264" s="3">
        <f>E262/(E259-(H255)^2/J255)^0.5</f>
        <v>7.3634012187777861E-2</v>
      </c>
    </row>
    <row r="265" spans="1:6" x14ac:dyDescent="0.35">
      <c r="A265" s="70" t="s">
        <v>12</v>
      </c>
      <c r="B265" s="70"/>
      <c r="C265" s="70"/>
      <c r="D265" s="70"/>
      <c r="E265" s="3">
        <f>CORREL(E5:E254,H5:H254)</f>
        <v>-0.30700109255583974</v>
      </c>
      <c r="F265" t="s">
        <v>53</v>
      </c>
    </row>
    <row r="266" spans="1:6" x14ac:dyDescent="0.35">
      <c r="A266" s="70" t="s">
        <v>13</v>
      </c>
      <c r="B266" s="70"/>
      <c r="C266" s="70"/>
      <c r="D266" s="70"/>
      <c r="E266" s="3">
        <f>E265^2</f>
        <v>9.4249670830479276E-2</v>
      </c>
      <c r="F266" t="s">
        <v>128</v>
      </c>
    </row>
    <row r="267" spans="1:6" x14ac:dyDescent="0.35">
      <c r="A267" s="70" t="s">
        <v>14</v>
      </c>
      <c r="B267" s="70"/>
      <c r="C267" s="70"/>
      <c r="D267" s="70"/>
      <c r="E267" s="3">
        <f>1-E266</f>
        <v>0.9057503291695207</v>
      </c>
      <c r="F267" t="s">
        <v>127</v>
      </c>
    </row>
    <row r="270" spans="1:6" x14ac:dyDescent="0.35">
      <c r="A270" s="67" t="s">
        <v>72</v>
      </c>
      <c r="B270" s="67"/>
      <c r="C270" s="67"/>
      <c r="D270" s="67"/>
      <c r="E270" s="39">
        <f>AVERAGE(D5:D254)</f>
        <v>0.1280409309918713</v>
      </c>
    </row>
    <row r="271" spans="1:6" x14ac:dyDescent="0.35">
      <c r="A271" s="68"/>
      <c r="B271" s="68"/>
      <c r="C271" s="68"/>
      <c r="D271" s="68"/>
    </row>
    <row r="272" spans="1:6" x14ac:dyDescent="0.35">
      <c r="A272" s="68"/>
      <c r="B272" s="68"/>
      <c r="C272" s="68"/>
      <c r="D272" s="68"/>
    </row>
    <row r="280" spans="6:7" x14ac:dyDescent="0.35">
      <c r="F280" t="s">
        <v>76</v>
      </c>
    </row>
    <row r="281" spans="6:7" ht="15" thickBot="1" x14ac:dyDescent="0.4"/>
    <row r="282" spans="6:7" x14ac:dyDescent="0.35">
      <c r="F282" s="46" t="s">
        <v>77</v>
      </c>
      <c r="G282" s="46"/>
    </row>
    <row r="283" spans="6:7" x14ac:dyDescent="0.35">
      <c r="F283" s="43" t="s">
        <v>78</v>
      </c>
      <c r="G283" s="47">
        <v>0.30700109255583974</v>
      </c>
    </row>
    <row r="284" spans="6:7" x14ac:dyDescent="0.35">
      <c r="F284" s="43" t="s">
        <v>79</v>
      </c>
      <c r="G284" s="47">
        <v>9.4249670830479262E-2</v>
      </c>
    </row>
    <row r="285" spans="6:7" x14ac:dyDescent="0.35">
      <c r="F285" s="43" t="s">
        <v>80</v>
      </c>
      <c r="G285" s="43">
        <v>9.0597451761247325E-2</v>
      </c>
    </row>
    <row r="286" spans="6:7" x14ac:dyDescent="0.35">
      <c r="F286" s="43" t="s">
        <v>81</v>
      </c>
      <c r="G286" s="47">
        <v>1.1642404308309124</v>
      </c>
    </row>
    <row r="287" spans="6:7" ht="15" thickBot="1" x14ac:dyDescent="0.4">
      <c r="F287" s="44" t="s">
        <v>82</v>
      </c>
      <c r="G287" s="44">
        <v>250</v>
      </c>
    </row>
    <row r="289" spans="6:14" ht="15" thickBot="1" x14ac:dyDescent="0.4">
      <c r="F289" t="s">
        <v>83</v>
      </c>
    </row>
    <row r="290" spans="6:14" x14ac:dyDescent="0.35">
      <c r="F290" s="45"/>
      <c r="G290" s="45" t="s">
        <v>88</v>
      </c>
      <c r="H290" s="45" t="s">
        <v>89</v>
      </c>
      <c r="I290" s="45" t="s">
        <v>90</v>
      </c>
      <c r="J290" s="45" t="s">
        <v>91</v>
      </c>
      <c r="K290" s="45" t="s">
        <v>92</v>
      </c>
    </row>
    <row r="291" spans="6:14" x14ac:dyDescent="0.35">
      <c r="F291" s="43" t="s">
        <v>84</v>
      </c>
      <c r="G291" s="43">
        <v>1</v>
      </c>
      <c r="H291" s="43">
        <v>34.979079497216048</v>
      </c>
      <c r="I291" s="43">
        <v>34.979079497216048</v>
      </c>
      <c r="J291" s="43">
        <v>25.806138417184258</v>
      </c>
      <c r="K291" s="43">
        <v>7.4276070092372602E-7</v>
      </c>
    </row>
    <row r="292" spans="6:14" x14ac:dyDescent="0.35">
      <c r="F292" s="43" t="s">
        <v>85</v>
      </c>
      <c r="G292" s="43">
        <v>248</v>
      </c>
      <c r="H292" s="43">
        <v>336.1530336337745</v>
      </c>
      <c r="I292" s="43">
        <v>1.3554557807813488</v>
      </c>
      <c r="J292" s="43"/>
      <c r="K292" s="43"/>
    </row>
    <row r="293" spans="6:14" ht="15" thickBot="1" x14ac:dyDescent="0.4">
      <c r="F293" s="44" t="s">
        <v>86</v>
      </c>
      <c r="G293" s="44">
        <v>249</v>
      </c>
      <c r="H293" s="44">
        <v>371.13211313099055</v>
      </c>
      <c r="I293" s="44"/>
      <c r="J293" s="44"/>
      <c r="K293" s="44"/>
    </row>
    <row r="294" spans="6:14" ht="15" thickBot="1" x14ac:dyDescent="0.4"/>
    <row r="295" spans="6:14" x14ac:dyDescent="0.35">
      <c r="F295" s="45"/>
      <c r="G295" s="45" t="s">
        <v>93</v>
      </c>
      <c r="H295" s="45" t="s">
        <v>81</v>
      </c>
      <c r="I295" s="45" t="s">
        <v>94</v>
      </c>
      <c r="J295" s="45" t="s">
        <v>95</v>
      </c>
      <c r="K295" s="45" t="s">
        <v>96</v>
      </c>
      <c r="L295" s="45" t="s">
        <v>97</v>
      </c>
      <c r="M295" s="45" t="s">
        <v>98</v>
      </c>
      <c r="N295" s="45" t="s">
        <v>99</v>
      </c>
    </row>
    <row r="296" spans="6:14" x14ac:dyDescent="0.35">
      <c r="F296" s="43" t="s">
        <v>87</v>
      </c>
      <c r="G296" s="43">
        <v>0.11142039051147809</v>
      </c>
      <c r="H296" s="43">
        <v>7.3634012187777848E-2</v>
      </c>
      <c r="I296" s="43">
        <v>1.5131647346247992</v>
      </c>
      <c r="J296" s="43">
        <v>0.13151113037035805</v>
      </c>
      <c r="K296" s="43">
        <v>-3.3607367172376834E-2</v>
      </c>
      <c r="L296" s="43">
        <v>0.25644814819533301</v>
      </c>
      <c r="M296" s="43">
        <v>-3.3607367172376834E-2</v>
      </c>
      <c r="N296" s="43">
        <v>0.25644814819533301</v>
      </c>
    </row>
    <row r="297" spans="6:14" ht="15" thickBot="1" x14ac:dyDescent="0.4">
      <c r="F297" s="44" t="s">
        <v>100</v>
      </c>
      <c r="G297" s="48">
        <v>-0.24263081489353464</v>
      </c>
      <c r="H297" s="44">
        <v>4.7762213503709648E-2</v>
      </c>
      <c r="I297" s="44">
        <v>-5.0799742535946271</v>
      </c>
      <c r="J297" s="44">
        <v>7.4276070092372602E-7</v>
      </c>
      <c r="K297" s="44">
        <v>-0.33670210777373299</v>
      </c>
      <c r="L297" s="44">
        <v>-0.14855952201333628</v>
      </c>
      <c r="M297" s="44">
        <v>-0.33670210777373299</v>
      </c>
      <c r="N297" s="44">
        <v>-0.14855952201333628</v>
      </c>
    </row>
  </sheetData>
  <sortState xmlns:xlrd2="http://schemas.microsoft.com/office/spreadsheetml/2017/richdata2" ref="AF5:AF254">
    <sortCondition ref="AF5"/>
  </sortState>
  <mergeCells count="15">
    <mergeCell ref="X3:AA3"/>
    <mergeCell ref="AI3:AL3"/>
    <mergeCell ref="A259:D259"/>
    <mergeCell ref="A260:D260"/>
    <mergeCell ref="A261:D261"/>
    <mergeCell ref="A270:D270"/>
    <mergeCell ref="A271:D271"/>
    <mergeCell ref="A272:D272"/>
    <mergeCell ref="A267:D267"/>
    <mergeCell ref="P3:S3"/>
    <mergeCell ref="A262:D262"/>
    <mergeCell ref="A263:D263"/>
    <mergeCell ref="A264:D264"/>
    <mergeCell ref="A265:D265"/>
    <mergeCell ref="A266:D26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6A70-B42A-4E8F-B110-A2768892DC99}">
  <dimension ref="A1:L115"/>
  <sheetViews>
    <sheetView workbookViewId="0">
      <selection activeCell="L9" sqref="L9"/>
    </sheetView>
  </sheetViews>
  <sheetFormatPr defaultRowHeight="14.5" x14ac:dyDescent="0.35"/>
  <cols>
    <col min="1" max="1" width="14.26953125" bestFit="1" customWidth="1"/>
    <col min="2" max="2" width="10.26953125" customWidth="1"/>
    <col min="3" max="3" width="22.7265625" bestFit="1" customWidth="1"/>
    <col min="4" max="4" width="14.54296875" bestFit="1" customWidth="1"/>
    <col min="5" max="5" width="30.1796875" style="37" bestFit="1" customWidth="1"/>
    <col min="6" max="6" width="28" bestFit="1" customWidth="1"/>
    <col min="7" max="7" width="19.1796875" customWidth="1"/>
    <col min="8" max="8" width="13.26953125" customWidth="1"/>
    <col min="9" max="9" width="12.81640625" customWidth="1"/>
    <col min="10" max="10" width="22.453125" customWidth="1"/>
    <col min="11" max="11" width="28" bestFit="1" customWidth="1"/>
    <col min="12" max="12" width="14.54296875" bestFit="1" customWidth="1"/>
  </cols>
  <sheetData>
    <row r="1" spans="1:12" x14ac:dyDescent="0.35">
      <c r="A1" s="41" t="s">
        <v>67</v>
      </c>
      <c r="B1" s="41" t="s">
        <v>68</v>
      </c>
      <c r="C1" s="2" t="s">
        <v>70</v>
      </c>
      <c r="D1" s="2" t="s">
        <v>101</v>
      </c>
      <c r="E1" s="41" t="s">
        <v>103</v>
      </c>
      <c r="F1" s="59" t="s">
        <v>105</v>
      </c>
      <c r="G1" s="58"/>
    </row>
    <row r="2" spans="1:12" x14ac:dyDescent="0.35">
      <c r="A2" s="54">
        <v>1</v>
      </c>
      <c r="B2" s="54">
        <f>1-A2</f>
        <v>0</v>
      </c>
      <c r="C2" s="42">
        <f t="shared" ref="C2:C33" si="0">A2*$B$107+B2*$C$107</f>
        <v>0.23180000000000001</v>
      </c>
      <c r="D2" s="55">
        <f>A2*$B$108+B2*$C$108</f>
        <v>1.25</v>
      </c>
      <c r="E2" s="42">
        <f>Расчеты!L19*Расчеты!$M$19</f>
        <v>9.5386425832702917E-2</v>
      </c>
      <c r="F2" s="42">
        <f>SQRT(E2)</f>
        <v>0.30884692945325348</v>
      </c>
      <c r="G2" s="7"/>
      <c r="K2" s="22"/>
    </row>
    <row r="3" spans="1:12" x14ac:dyDescent="0.35">
      <c r="A3" s="54">
        <v>0.99</v>
      </c>
      <c r="B3" s="54">
        <f t="shared" ref="B3:B66" si="1">1-A3</f>
        <v>1.0000000000000009E-2</v>
      </c>
      <c r="C3" s="42">
        <f t="shared" si="0"/>
        <v>0.23076199999999999</v>
      </c>
      <c r="D3" s="55">
        <f t="shared" ref="D3:D66" si="2">A3*$B$108+B3*$C$108</f>
        <v>1.2351000000000001</v>
      </c>
      <c r="E3" s="42">
        <f>Расчеты!L20*Расчеты!$M$19</f>
        <v>9.3341882131213097E-2</v>
      </c>
      <c r="F3" s="42">
        <f t="shared" ref="F3:F66" si="3">SQRT(E3)</f>
        <v>0.30551903726480467</v>
      </c>
      <c r="G3" s="7"/>
    </row>
    <row r="4" spans="1:12" x14ac:dyDescent="0.35">
      <c r="A4" s="54">
        <v>0.98</v>
      </c>
      <c r="B4" s="54">
        <f t="shared" si="1"/>
        <v>2.0000000000000018E-2</v>
      </c>
      <c r="C4" s="42">
        <f t="shared" si="0"/>
        <v>0.22972400000000001</v>
      </c>
      <c r="D4" s="55">
        <f t="shared" si="2"/>
        <v>1.2202000000000002</v>
      </c>
      <c r="E4" s="42">
        <f>Расчеты!L21*Расчеты!$M$19</f>
        <v>9.1322371491021501E-2</v>
      </c>
      <c r="F4" s="42">
        <f t="shared" si="3"/>
        <v>0.30219591574179405</v>
      </c>
      <c r="G4" s="7"/>
      <c r="H4" t="s">
        <v>106</v>
      </c>
    </row>
    <row r="5" spans="1:12" x14ac:dyDescent="0.35">
      <c r="A5" s="54">
        <v>0.97</v>
      </c>
      <c r="B5" s="54">
        <f t="shared" si="1"/>
        <v>3.0000000000000027E-2</v>
      </c>
      <c r="C5" s="42">
        <f t="shared" si="0"/>
        <v>0.228686</v>
      </c>
      <c r="D5" s="55">
        <f t="shared" si="2"/>
        <v>1.2052999999999998</v>
      </c>
      <c r="E5" s="42">
        <f>Расчеты!L22*Расчеты!$M$19</f>
        <v>8.9327893912128073E-2</v>
      </c>
      <c r="F5" s="42">
        <f t="shared" si="3"/>
        <v>0.29887772401456764</v>
      </c>
      <c r="G5" s="7"/>
      <c r="H5" t="s">
        <v>107</v>
      </c>
    </row>
    <row r="6" spans="1:12" x14ac:dyDescent="0.35">
      <c r="A6" s="54">
        <v>0.96</v>
      </c>
      <c r="B6" s="54">
        <f t="shared" si="1"/>
        <v>4.0000000000000036E-2</v>
      </c>
      <c r="C6" s="42">
        <f t="shared" si="0"/>
        <v>0.22764800000000002</v>
      </c>
      <c r="D6" s="55">
        <f t="shared" si="2"/>
        <v>1.1903999999999999</v>
      </c>
      <c r="E6" s="42">
        <f>Расчеты!L23*Расчеты!$M$19</f>
        <v>8.7358449394532842E-2</v>
      </c>
      <c r="F6" s="42">
        <f t="shared" si="3"/>
        <v>0.29556462811800205</v>
      </c>
      <c r="G6" s="7"/>
      <c r="H6" s="56" t="s">
        <v>108</v>
      </c>
    </row>
    <row r="7" spans="1:12" x14ac:dyDescent="0.35">
      <c r="A7" s="54">
        <v>0.95</v>
      </c>
      <c r="B7" s="54">
        <f t="shared" si="1"/>
        <v>5.0000000000000044E-2</v>
      </c>
      <c r="C7" s="42">
        <f t="shared" si="0"/>
        <v>0.22661000000000001</v>
      </c>
      <c r="D7" s="55">
        <f t="shared" si="2"/>
        <v>1.1755</v>
      </c>
      <c r="E7" s="42">
        <f>Расчеты!L24*Расчеты!$M$19</f>
        <v>8.5414037938235765E-2</v>
      </c>
      <c r="F7" s="42">
        <f t="shared" si="3"/>
        <v>0.29225680135496551</v>
      </c>
      <c r="G7" s="7"/>
      <c r="H7" s="41" t="s">
        <v>67</v>
      </c>
      <c r="I7" s="41" t="s">
        <v>68</v>
      </c>
      <c r="J7" s="41" t="s">
        <v>70</v>
      </c>
      <c r="K7" s="41" t="s">
        <v>105</v>
      </c>
      <c r="L7" s="41" t="s">
        <v>101</v>
      </c>
    </row>
    <row r="8" spans="1:12" x14ac:dyDescent="0.35">
      <c r="A8" s="54">
        <v>0.94</v>
      </c>
      <c r="B8" s="54">
        <f t="shared" si="1"/>
        <v>6.0000000000000053E-2</v>
      </c>
      <c r="C8" s="42">
        <f t="shared" si="0"/>
        <v>0.22557200000000002</v>
      </c>
      <c r="D8" s="55">
        <f t="shared" si="2"/>
        <v>1.1605999999999999</v>
      </c>
      <c r="E8" s="42">
        <f>Расчеты!L25*Расчеты!$M$19</f>
        <v>8.3494659543236913E-2</v>
      </c>
      <c r="F8" s="42">
        <f t="shared" si="3"/>
        <v>0.28895442468188115</v>
      </c>
      <c r="G8" s="7"/>
      <c r="H8" s="57">
        <v>0.82053055388965579</v>
      </c>
      <c r="I8" s="57">
        <v>0.17946944611034432</v>
      </c>
      <c r="J8" s="42">
        <f>H8*B107+I8*C107</f>
        <v>0.21317107149374631</v>
      </c>
      <c r="K8" s="55">
        <f>SQRT((H8^2)*(B114)+(I8^2)*(C115)+2*H8*I8*B115)*10</f>
        <v>24.999992889846233</v>
      </c>
      <c r="L8" s="55">
        <f>H8*$B$108+I8*$C$108</f>
        <v>0.98259052529558721</v>
      </c>
    </row>
    <row r="9" spans="1:12" x14ac:dyDescent="0.35">
      <c r="A9" s="54">
        <v>0.93</v>
      </c>
      <c r="B9" s="54">
        <f t="shared" si="1"/>
        <v>6.9999999999999951E-2</v>
      </c>
      <c r="C9" s="42">
        <f t="shared" si="0"/>
        <v>0.22453400000000001</v>
      </c>
      <c r="D9" s="55">
        <f t="shared" si="2"/>
        <v>1.1457000000000002</v>
      </c>
      <c r="E9" s="42">
        <f>Расчеты!L26*Расчеты!$M$19</f>
        <v>8.1600314209536229E-2</v>
      </c>
      <c r="F9" s="42">
        <f t="shared" si="3"/>
        <v>0.28565768711787931</v>
      </c>
      <c r="G9" s="7"/>
    </row>
    <row r="10" spans="1:12" x14ac:dyDescent="0.35">
      <c r="A10" s="54">
        <v>0.92</v>
      </c>
      <c r="B10" s="54">
        <f t="shared" si="1"/>
        <v>7.999999999999996E-2</v>
      </c>
      <c r="C10" s="42">
        <f t="shared" si="0"/>
        <v>0.223496</v>
      </c>
      <c r="D10" s="55">
        <f t="shared" si="2"/>
        <v>1.1308000000000002</v>
      </c>
      <c r="E10" s="42">
        <f>Расчеты!L27*Расчеты!$M$19</f>
        <v>7.9731001937133755E-2</v>
      </c>
      <c r="F10" s="42">
        <f t="shared" si="3"/>
        <v>0.28236678617913574</v>
      </c>
      <c r="G10" s="7"/>
      <c r="H10" s="7">
        <f>H8+I8</f>
        <v>1</v>
      </c>
      <c r="J10" s="7">
        <v>0.2132</v>
      </c>
      <c r="K10" s="22">
        <v>0.25</v>
      </c>
    </row>
    <row r="11" spans="1:12" x14ac:dyDescent="0.35">
      <c r="A11" s="54">
        <v>0.91</v>
      </c>
      <c r="B11" s="54">
        <f t="shared" si="1"/>
        <v>8.9999999999999969E-2</v>
      </c>
      <c r="C11" s="42">
        <f t="shared" si="0"/>
        <v>0.22245800000000002</v>
      </c>
      <c r="D11" s="55">
        <f t="shared" si="2"/>
        <v>1.1158999999999999</v>
      </c>
      <c r="E11" s="42">
        <f>Расчеты!L28*Расчеты!$M$19</f>
        <v>7.7886722726029436E-2</v>
      </c>
      <c r="F11" s="42">
        <f t="shared" si="3"/>
        <v>0.27908192834010132</v>
      </c>
      <c r="G11" s="7"/>
    </row>
    <row r="12" spans="1:12" x14ac:dyDescent="0.35">
      <c r="A12" s="54">
        <v>0.9</v>
      </c>
      <c r="B12" s="54">
        <f t="shared" si="1"/>
        <v>9.9999999999999978E-2</v>
      </c>
      <c r="C12" s="42">
        <f t="shared" si="0"/>
        <v>0.22142000000000001</v>
      </c>
      <c r="D12" s="55">
        <f t="shared" si="2"/>
        <v>1.101</v>
      </c>
      <c r="E12" s="42">
        <f>Расчеты!L29*Расчеты!$M$19</f>
        <v>7.6067476576223328E-2</v>
      </c>
      <c r="F12" s="42">
        <f t="shared" si="3"/>
        <v>0.27580332952345465</v>
      </c>
      <c r="G12" s="7"/>
    </row>
    <row r="13" spans="1:12" x14ac:dyDescent="0.35">
      <c r="A13" s="54">
        <v>0.89</v>
      </c>
      <c r="B13" s="54">
        <f t="shared" si="1"/>
        <v>0.10999999999999999</v>
      </c>
      <c r="C13" s="42">
        <f t="shared" si="0"/>
        <v>0.22038200000000002</v>
      </c>
      <c r="D13" s="55">
        <f t="shared" si="2"/>
        <v>1.0861000000000001</v>
      </c>
      <c r="E13" s="42">
        <f>Расчеты!L30*Расчеты!$M$19</f>
        <v>7.4273263487715402E-2</v>
      </c>
      <c r="F13" s="42">
        <f t="shared" si="3"/>
        <v>0.27253121562073473</v>
      </c>
      <c r="G13" s="7"/>
    </row>
    <row r="14" spans="1:12" x14ac:dyDescent="0.35">
      <c r="A14" s="54">
        <v>0.88</v>
      </c>
      <c r="B14" s="54">
        <f t="shared" si="1"/>
        <v>0.12</v>
      </c>
      <c r="C14" s="42">
        <f t="shared" si="0"/>
        <v>0.21934400000000001</v>
      </c>
      <c r="D14" s="55">
        <f t="shared" si="2"/>
        <v>1.0712000000000002</v>
      </c>
      <c r="E14" s="42">
        <f>Расчеты!L31*Расчеты!$M$19</f>
        <v>7.2504083460505658E-2</v>
      </c>
      <c r="F14" s="42">
        <f t="shared" si="3"/>
        <v>0.26926582304575092</v>
      </c>
      <c r="G14" s="7"/>
    </row>
    <row r="15" spans="1:12" x14ac:dyDescent="0.35">
      <c r="A15" s="54">
        <v>0.87</v>
      </c>
      <c r="B15" s="54">
        <f t="shared" si="1"/>
        <v>0.13</v>
      </c>
      <c r="C15" s="42">
        <f t="shared" si="0"/>
        <v>0.218306</v>
      </c>
      <c r="D15" s="55">
        <f t="shared" si="2"/>
        <v>1.0563</v>
      </c>
      <c r="E15" s="42">
        <f>Расчеты!L32*Расчеты!$M$19</f>
        <v>7.0759936494594097E-2</v>
      </c>
      <c r="F15" s="42">
        <f t="shared" si="3"/>
        <v>0.26600739932301526</v>
      </c>
      <c r="G15" s="7"/>
    </row>
    <row r="16" spans="1:12" x14ac:dyDescent="0.35">
      <c r="A16" s="54">
        <v>0.86</v>
      </c>
      <c r="B16" s="54">
        <f t="shared" si="1"/>
        <v>0.14000000000000001</v>
      </c>
      <c r="C16" s="42">
        <f t="shared" si="0"/>
        <v>0.21726799999999999</v>
      </c>
      <c r="D16" s="55">
        <f t="shared" si="2"/>
        <v>1.0413999999999999</v>
      </c>
      <c r="E16" s="42">
        <f>Расчеты!L33*Расчеты!$M$19</f>
        <v>6.9040822589980733E-2</v>
      </c>
      <c r="F16" s="42">
        <f t="shared" si="3"/>
        <v>0.26275620371359593</v>
      </c>
      <c r="G16" s="7"/>
    </row>
    <row r="17" spans="1:7" x14ac:dyDescent="0.35">
      <c r="A17" s="54">
        <v>0.85</v>
      </c>
      <c r="B17" s="54">
        <f t="shared" si="1"/>
        <v>0.15000000000000002</v>
      </c>
      <c r="C17" s="42">
        <f t="shared" si="0"/>
        <v>0.21623000000000001</v>
      </c>
      <c r="D17" s="55">
        <f t="shared" si="2"/>
        <v>1.0265</v>
      </c>
      <c r="E17" s="42">
        <f>Расчеты!L34*Расчеты!$M$19</f>
        <v>6.7346741746665564E-2</v>
      </c>
      <c r="F17" s="42">
        <f t="shared" si="3"/>
        <v>0.25951250788096047</v>
      </c>
      <c r="G17" s="7">
        <f>MIN(F2:F102)</f>
        <v>0.10425276438455204</v>
      </c>
    </row>
    <row r="18" spans="1:7" x14ac:dyDescent="0.35">
      <c r="A18" s="54">
        <v>0.84</v>
      </c>
      <c r="B18" s="54">
        <f t="shared" si="1"/>
        <v>0.16000000000000003</v>
      </c>
      <c r="C18" s="42">
        <f t="shared" si="0"/>
        <v>0.21519199999999999</v>
      </c>
      <c r="D18" s="55">
        <f t="shared" si="2"/>
        <v>1.0116000000000001</v>
      </c>
      <c r="E18" s="42">
        <f>Расчеты!L35*Расчеты!$M$19</f>
        <v>6.5677693964648565E-2</v>
      </c>
      <c r="F18" s="42">
        <f t="shared" si="3"/>
        <v>0.25627659659955015</v>
      </c>
      <c r="G18" s="7">
        <f>MAX(F2:F102)</f>
        <v>0.30884692945325348</v>
      </c>
    </row>
    <row r="19" spans="1:7" x14ac:dyDescent="0.35">
      <c r="A19" s="54">
        <v>0.83</v>
      </c>
      <c r="B19" s="54">
        <f t="shared" si="1"/>
        <v>0.17000000000000004</v>
      </c>
      <c r="C19" s="42">
        <f t="shared" si="0"/>
        <v>0.21415400000000001</v>
      </c>
      <c r="D19" s="55">
        <f t="shared" si="2"/>
        <v>0.99669999999999981</v>
      </c>
      <c r="E19" s="42">
        <f>Расчеты!L36*Расчеты!$M$19</f>
        <v>6.4033679243929775E-2</v>
      </c>
      <c r="F19" s="42">
        <f t="shared" si="3"/>
        <v>0.25304876850901642</v>
      </c>
      <c r="G19" s="7"/>
    </row>
    <row r="20" spans="1:7" x14ac:dyDescent="0.35">
      <c r="A20" s="54">
        <v>0.82</v>
      </c>
      <c r="B20" s="54">
        <f t="shared" si="1"/>
        <v>0.18000000000000005</v>
      </c>
      <c r="C20" s="42">
        <f t="shared" si="0"/>
        <v>0.213116</v>
      </c>
      <c r="D20" s="55">
        <f t="shared" si="2"/>
        <v>0.9817999999999999</v>
      </c>
      <c r="E20" s="42">
        <f>Расчеты!L37*Расчеты!$M$19</f>
        <v>6.2414697584509161E-2</v>
      </c>
      <c r="F20" s="42">
        <f t="shared" si="3"/>
        <v>0.24982933691724268</v>
      </c>
      <c r="G20" s="7"/>
    </row>
    <row r="21" spans="1:7" x14ac:dyDescent="0.35">
      <c r="A21" s="54">
        <v>0.81</v>
      </c>
      <c r="B21" s="54">
        <f t="shared" si="1"/>
        <v>0.18999999999999995</v>
      </c>
      <c r="C21" s="42">
        <f t="shared" si="0"/>
        <v>0.21207799999999999</v>
      </c>
      <c r="D21" s="55">
        <f t="shared" si="2"/>
        <v>0.9669000000000002</v>
      </c>
      <c r="E21" s="42">
        <f>Расчеты!L38*Расчеты!$M$19</f>
        <v>6.0820748986386758E-2</v>
      </c>
      <c r="F21" s="42">
        <f t="shared" si="3"/>
        <v>0.24661863065548548</v>
      </c>
      <c r="G21" s="7"/>
    </row>
    <row r="22" spans="1:7" x14ac:dyDescent="0.35">
      <c r="A22" s="54">
        <v>0.8</v>
      </c>
      <c r="B22" s="54">
        <f t="shared" si="1"/>
        <v>0.19999999999999996</v>
      </c>
      <c r="C22" s="42">
        <f t="shared" si="0"/>
        <v>0.21104000000000001</v>
      </c>
      <c r="D22" s="55">
        <f t="shared" si="2"/>
        <v>0.95199999999999996</v>
      </c>
      <c r="E22" s="42">
        <f>Расчеты!L39*Расчеты!$M$19</f>
        <v>5.9251833449562516E-2</v>
      </c>
      <c r="F22" s="42">
        <f t="shared" si="3"/>
        <v>0.24341699498918007</v>
      </c>
      <c r="G22" s="7"/>
    </row>
    <row r="23" spans="1:7" x14ac:dyDescent="0.35">
      <c r="A23" s="54">
        <v>0.79</v>
      </c>
      <c r="B23" s="54">
        <f t="shared" si="1"/>
        <v>0.20999999999999996</v>
      </c>
      <c r="C23" s="42">
        <f t="shared" si="0"/>
        <v>0.21000199999999999</v>
      </c>
      <c r="D23" s="55">
        <f t="shared" si="2"/>
        <v>0.93710000000000004</v>
      </c>
      <c r="E23" s="42">
        <f>Расчеты!L40*Расчеты!$M$19</f>
        <v>5.770795097403647E-2</v>
      </c>
      <c r="F23" s="42">
        <f t="shared" si="3"/>
        <v>0.24022479258818494</v>
      </c>
      <c r="G23" s="7"/>
    </row>
    <row r="24" spans="1:7" x14ac:dyDescent="0.35">
      <c r="A24" s="54">
        <v>0.78</v>
      </c>
      <c r="B24" s="54">
        <f t="shared" si="1"/>
        <v>0.21999999999999997</v>
      </c>
      <c r="C24" s="42">
        <f t="shared" si="0"/>
        <v>0.20896400000000001</v>
      </c>
      <c r="D24" s="55">
        <f t="shared" si="2"/>
        <v>0.92220000000000013</v>
      </c>
      <c r="E24" s="42">
        <f>Расчеты!L41*Расчеты!$M$19</f>
        <v>5.6189101559808614E-2</v>
      </c>
      <c r="F24" s="42">
        <f t="shared" si="3"/>
        <v>0.23704240456046807</v>
      </c>
      <c r="G24" s="7"/>
    </row>
    <row r="25" spans="1:7" x14ac:dyDescent="0.35">
      <c r="A25" s="54">
        <v>0.77</v>
      </c>
      <c r="B25" s="54">
        <f t="shared" si="1"/>
        <v>0.22999999999999998</v>
      </c>
      <c r="C25" s="42">
        <f t="shared" si="0"/>
        <v>0.207926</v>
      </c>
      <c r="D25" s="55">
        <f t="shared" si="2"/>
        <v>0.9073</v>
      </c>
      <c r="E25" s="42">
        <f>Расчеты!L42*Расчеты!$M$19</f>
        <v>5.4695285206878934E-2</v>
      </c>
      <c r="F25" s="42">
        <f t="shared" si="3"/>
        <v>0.23387023155348124</v>
      </c>
      <c r="G25" s="7"/>
    </row>
    <row r="26" spans="1:7" x14ac:dyDescent="0.35">
      <c r="A26" s="54">
        <v>0.76</v>
      </c>
      <c r="B26" s="54">
        <f t="shared" si="1"/>
        <v>0.24</v>
      </c>
      <c r="C26" s="42">
        <f t="shared" si="0"/>
        <v>0.20688800000000002</v>
      </c>
      <c r="D26" s="55">
        <f t="shared" si="2"/>
        <v>0.89239999999999997</v>
      </c>
      <c r="E26" s="42">
        <f>Расчеты!L43*Расчеты!$M$19</f>
        <v>5.322650191524745E-2</v>
      </c>
      <c r="F26" s="42">
        <f t="shared" si="3"/>
        <v>0.23070869492771062</v>
      </c>
      <c r="G26" s="7"/>
    </row>
    <row r="27" spans="1:7" x14ac:dyDescent="0.35">
      <c r="A27" s="54">
        <v>0.75</v>
      </c>
      <c r="B27" s="54">
        <f t="shared" si="1"/>
        <v>0.25</v>
      </c>
      <c r="C27" s="42">
        <f t="shared" si="0"/>
        <v>0.20585000000000001</v>
      </c>
      <c r="D27" s="55">
        <f t="shared" si="2"/>
        <v>0.87749999999999995</v>
      </c>
      <c r="E27" s="42">
        <f>Расчеты!L44*Расчеты!$M$19</f>
        <v>5.1782751684914155E-2</v>
      </c>
      <c r="F27" s="42">
        <f t="shared" si="3"/>
        <v>0.22755823800713995</v>
      </c>
      <c r="G27" s="7"/>
    </row>
    <row r="28" spans="1:7" x14ac:dyDescent="0.35">
      <c r="A28" s="54">
        <v>0.74</v>
      </c>
      <c r="B28" s="54">
        <f t="shared" si="1"/>
        <v>0.26</v>
      </c>
      <c r="C28" s="42">
        <f t="shared" si="0"/>
        <v>0.20481199999999999</v>
      </c>
      <c r="D28" s="55">
        <f t="shared" si="2"/>
        <v>0.86260000000000003</v>
      </c>
      <c r="E28" s="42">
        <f>Расчеты!L45*Расчеты!$M$19</f>
        <v>5.036403451587905E-2</v>
      </c>
      <c r="F28" s="42">
        <f t="shared" si="3"/>
        <v>0.22441932741160919</v>
      </c>
      <c r="G28" s="7"/>
    </row>
    <row r="29" spans="1:7" x14ac:dyDescent="0.35">
      <c r="A29" s="54">
        <v>0.73</v>
      </c>
      <c r="B29" s="54">
        <f t="shared" si="1"/>
        <v>0.27</v>
      </c>
      <c r="C29" s="42">
        <f t="shared" si="0"/>
        <v>0.20377400000000001</v>
      </c>
      <c r="D29" s="55">
        <f t="shared" si="2"/>
        <v>0.84770000000000001</v>
      </c>
      <c r="E29" s="42">
        <f>Расчеты!L46*Расчеты!$M$19</f>
        <v>4.8970350408142134E-2</v>
      </c>
      <c r="F29" s="42">
        <f t="shared" si="3"/>
        <v>0.22129245447629284</v>
      </c>
      <c r="G29" s="7"/>
    </row>
    <row r="30" spans="1:7" x14ac:dyDescent="0.35">
      <c r="A30" s="54">
        <v>0.72</v>
      </c>
      <c r="B30" s="54">
        <f t="shared" si="1"/>
        <v>0.28000000000000003</v>
      </c>
      <c r="C30" s="42">
        <f t="shared" si="0"/>
        <v>0.202736</v>
      </c>
      <c r="D30" s="55">
        <f t="shared" si="2"/>
        <v>0.83279999999999987</v>
      </c>
      <c r="E30" s="42">
        <f>Расчеты!L47*Расчеты!$M$19</f>
        <v>4.7601699361703387E-2</v>
      </c>
      <c r="F30" s="42">
        <f t="shared" si="3"/>
        <v>0.21817813676375408</v>
      </c>
      <c r="G30" s="7"/>
    </row>
    <row r="31" spans="1:7" x14ac:dyDescent="0.35">
      <c r="A31" s="54">
        <v>0.71</v>
      </c>
      <c r="B31" s="54">
        <f t="shared" si="1"/>
        <v>0.29000000000000004</v>
      </c>
      <c r="C31" s="42">
        <f t="shared" si="0"/>
        <v>0.20169800000000002</v>
      </c>
      <c r="D31" s="55">
        <f t="shared" si="2"/>
        <v>0.81789999999999996</v>
      </c>
      <c r="E31" s="42">
        <f>Расчеты!L48*Расчеты!$M$19</f>
        <v>4.6258081376562857E-2</v>
      </c>
      <c r="F31" s="42">
        <f t="shared" si="3"/>
        <v>0.21507691967424783</v>
      </c>
      <c r="G31" s="7"/>
    </row>
    <row r="32" spans="1:7" x14ac:dyDescent="0.35">
      <c r="A32" s="54">
        <v>0.7</v>
      </c>
      <c r="B32" s="54">
        <f t="shared" si="1"/>
        <v>0.30000000000000004</v>
      </c>
      <c r="C32" s="42">
        <f t="shared" si="0"/>
        <v>0.20066000000000001</v>
      </c>
      <c r="D32" s="55">
        <f t="shared" si="2"/>
        <v>0.80299999999999994</v>
      </c>
      <c r="E32" s="42">
        <f>Расчеты!L49*Расчеты!$M$19</f>
        <v>4.4939496452720488E-2</v>
      </c>
      <c r="F32" s="42">
        <f t="shared" si="3"/>
        <v>0.21198937816013444</v>
      </c>
      <c r="G32" s="7"/>
    </row>
    <row r="33" spans="1:9" x14ac:dyDescent="0.35">
      <c r="A33" s="54">
        <v>0.69</v>
      </c>
      <c r="B33" s="54">
        <f t="shared" si="1"/>
        <v>0.31000000000000005</v>
      </c>
      <c r="C33" s="42">
        <f t="shared" si="0"/>
        <v>0.19962200000000002</v>
      </c>
      <c r="D33" s="55">
        <f t="shared" si="2"/>
        <v>0.78809999999999991</v>
      </c>
      <c r="E33" s="42">
        <f>Расчеты!L50*Расчеты!$M$19</f>
        <v>4.3645944590176317E-2</v>
      </c>
      <c r="F33" s="42">
        <f t="shared" si="3"/>
        <v>0.2089161185504276</v>
      </c>
      <c r="G33" s="7"/>
    </row>
    <row r="34" spans="1:9" x14ac:dyDescent="0.35">
      <c r="A34" s="54">
        <v>0.68</v>
      </c>
      <c r="B34" s="54">
        <f t="shared" si="1"/>
        <v>0.31999999999999995</v>
      </c>
      <c r="C34" s="42">
        <f t="shared" ref="C34:C65" si="4">A34*$B$107+B34*$C$107</f>
        <v>0.19858400000000001</v>
      </c>
      <c r="D34" s="55">
        <f t="shared" si="2"/>
        <v>0.77320000000000011</v>
      </c>
      <c r="E34" s="42">
        <f>Расчеты!L51*Расчеты!$M$19</f>
        <v>4.2377425788930355E-2</v>
      </c>
      <c r="F34" s="42">
        <f t="shared" si="3"/>
        <v>0.20585778049160627</v>
      </c>
      <c r="G34" s="7"/>
    </row>
    <row r="35" spans="1:9" x14ac:dyDescent="0.35">
      <c r="A35" s="54">
        <v>0.67</v>
      </c>
      <c r="B35" s="54">
        <f t="shared" si="1"/>
        <v>0.32999999999999996</v>
      </c>
      <c r="C35" s="42">
        <f t="shared" si="4"/>
        <v>0.197546</v>
      </c>
      <c r="D35" s="55">
        <f t="shared" si="2"/>
        <v>0.75829999999999997</v>
      </c>
      <c r="E35" s="42">
        <f>Расчеты!L52*Расчеты!$M$19</f>
        <v>4.1133940048982569E-2</v>
      </c>
      <c r="F35" s="42">
        <f t="shared" si="3"/>
        <v>0.20281503901087455</v>
      </c>
      <c r="G35" s="7"/>
    </row>
    <row r="36" spans="1:9" x14ac:dyDescent="0.35">
      <c r="A36" s="54">
        <v>0.66</v>
      </c>
      <c r="B36" s="54">
        <f t="shared" si="1"/>
        <v>0.33999999999999997</v>
      </c>
      <c r="C36" s="42">
        <f t="shared" si="4"/>
        <v>0.19650800000000002</v>
      </c>
      <c r="D36" s="55">
        <f t="shared" si="2"/>
        <v>0.74340000000000006</v>
      </c>
      <c r="E36" s="42">
        <f>Расчеты!L53*Расчеты!$M$19</f>
        <v>3.9915487370332958E-2</v>
      </c>
      <c r="F36" s="42">
        <f t="shared" si="3"/>
        <v>0.19978860670802268</v>
      </c>
      <c r="G36" s="7"/>
    </row>
    <row r="37" spans="1:9" x14ac:dyDescent="0.35">
      <c r="A37" s="54">
        <v>0.65</v>
      </c>
      <c r="B37" s="54">
        <f t="shared" si="1"/>
        <v>0.35</v>
      </c>
      <c r="C37" s="42">
        <f t="shared" si="4"/>
        <v>0.19547</v>
      </c>
      <c r="D37" s="55">
        <f t="shared" si="2"/>
        <v>0.72850000000000004</v>
      </c>
      <c r="E37" s="42">
        <f>Расчеты!L54*Расчеты!$M$19</f>
        <v>3.8722067752981551E-2</v>
      </c>
      <c r="F37" s="42">
        <f t="shared" si="3"/>
        <v>0.19677923608191375</v>
      </c>
      <c r="G37" s="7"/>
    </row>
    <row r="38" spans="1:9" x14ac:dyDescent="0.35">
      <c r="A38" s="54">
        <v>0.64</v>
      </c>
      <c r="B38" s="54">
        <f t="shared" si="1"/>
        <v>0.36</v>
      </c>
      <c r="C38" s="42">
        <f t="shared" si="4"/>
        <v>0.19443199999999999</v>
      </c>
      <c r="D38" s="55">
        <f t="shared" si="2"/>
        <v>0.71360000000000001</v>
      </c>
      <c r="E38" s="42">
        <f>Расчеты!L55*Расчеты!$M$19</f>
        <v>3.7553681196928312E-2</v>
      </c>
      <c r="F38" s="42">
        <f t="shared" si="3"/>
        <v>0.19378772199736574</v>
      </c>
      <c r="G38" s="7"/>
    </row>
    <row r="39" spans="1:9" x14ac:dyDescent="0.35">
      <c r="A39" s="54">
        <v>0.63</v>
      </c>
      <c r="B39" s="54">
        <f t="shared" si="1"/>
        <v>0.37</v>
      </c>
      <c r="C39" s="42">
        <f t="shared" si="4"/>
        <v>0.19339400000000001</v>
      </c>
      <c r="D39" s="55">
        <f t="shared" si="2"/>
        <v>0.69869999999999999</v>
      </c>
      <c r="E39" s="42">
        <f>Расчеты!L56*Расчеты!$M$19</f>
        <v>3.641032770217327E-2</v>
      </c>
      <c r="F39" s="42">
        <f t="shared" si="3"/>
        <v>0.19081490429778611</v>
      </c>
      <c r="G39" s="7"/>
      <c r="I39" t="s">
        <v>109</v>
      </c>
    </row>
    <row r="40" spans="1:9" x14ac:dyDescent="0.35">
      <c r="A40" s="54">
        <v>0.62</v>
      </c>
      <c r="B40" s="54">
        <f t="shared" si="1"/>
        <v>0.38</v>
      </c>
      <c r="C40" s="42">
        <f t="shared" si="4"/>
        <v>0.19235600000000003</v>
      </c>
      <c r="D40" s="55">
        <f t="shared" si="2"/>
        <v>0.68379999999999996</v>
      </c>
      <c r="E40" s="42">
        <f>Расчеты!L57*Расчеты!$M$19</f>
        <v>3.5292007268716417E-2</v>
      </c>
      <c r="F40" s="42">
        <f t="shared" si="3"/>
        <v>0.18786167056831049</v>
      </c>
      <c r="G40" s="7"/>
      <c r="I40" t="s">
        <v>110</v>
      </c>
    </row>
    <row r="41" spans="1:9" x14ac:dyDescent="0.35">
      <c r="A41" s="54">
        <v>0.61</v>
      </c>
      <c r="B41" s="54">
        <f t="shared" si="1"/>
        <v>0.39</v>
      </c>
      <c r="C41" s="42">
        <f t="shared" si="4"/>
        <v>0.19131799999999999</v>
      </c>
      <c r="D41" s="55">
        <f t="shared" si="2"/>
        <v>0.66889999999999994</v>
      </c>
      <c r="E41" s="42">
        <f>Расчеты!L58*Расчеты!$M$19</f>
        <v>3.4198719896557747E-2</v>
      </c>
      <c r="F41" s="42">
        <f t="shared" si="3"/>
        <v>0.1849289590533558</v>
      </c>
      <c r="G41" s="7"/>
    </row>
    <row r="42" spans="1:9" x14ac:dyDescent="0.35">
      <c r="A42" s="54">
        <v>0.6</v>
      </c>
      <c r="B42" s="54">
        <f t="shared" si="1"/>
        <v>0.4</v>
      </c>
      <c r="C42" s="42">
        <f t="shared" si="4"/>
        <v>0.19028</v>
      </c>
      <c r="D42" s="55">
        <f t="shared" si="2"/>
        <v>0.65400000000000003</v>
      </c>
      <c r="E42" s="42">
        <f>Расчеты!L59*Расчеты!$M$19</f>
        <v>3.3130465585697266E-2</v>
      </c>
      <c r="F42" s="42">
        <f t="shared" si="3"/>
        <v>0.18201776173136858</v>
      </c>
      <c r="G42" s="7"/>
    </row>
    <row r="43" spans="1:9" x14ac:dyDescent="0.35">
      <c r="A43" s="54">
        <v>0.59</v>
      </c>
      <c r="B43" s="54">
        <f t="shared" si="1"/>
        <v>0.41000000000000003</v>
      </c>
      <c r="C43" s="42">
        <f t="shared" si="4"/>
        <v>0.18924199999999999</v>
      </c>
      <c r="D43" s="55">
        <f t="shared" si="2"/>
        <v>0.63909999999999989</v>
      </c>
      <c r="E43" s="42">
        <f>Расчеты!L60*Расчеты!$M$19</f>
        <v>3.2087244336134982E-2</v>
      </c>
      <c r="F43" s="42">
        <f t="shared" si="3"/>
        <v>0.17912912754807628</v>
      </c>
      <c r="G43" s="7"/>
    </row>
    <row r="44" spans="1:9" x14ac:dyDescent="0.35">
      <c r="A44" s="54">
        <v>0.57999999999999996</v>
      </c>
      <c r="B44" s="54">
        <f t="shared" si="1"/>
        <v>0.42000000000000004</v>
      </c>
      <c r="C44" s="42">
        <f t="shared" si="4"/>
        <v>0.18820400000000001</v>
      </c>
      <c r="D44" s="55">
        <f t="shared" si="2"/>
        <v>0.62419999999999998</v>
      </c>
      <c r="E44" s="42">
        <f>Расчеты!L61*Расчеты!$M$19</f>
        <v>3.1069056147870883E-2</v>
      </c>
      <c r="F44" s="42">
        <f t="shared" si="3"/>
        <v>0.17626416580766177</v>
      </c>
      <c r="G44" s="7"/>
    </row>
    <row r="45" spans="1:9" x14ac:dyDescent="0.35">
      <c r="A45" s="54">
        <v>0.56999999999999995</v>
      </c>
      <c r="B45" s="54">
        <f t="shared" si="1"/>
        <v>0.43000000000000005</v>
      </c>
      <c r="C45" s="42">
        <f t="shared" si="4"/>
        <v>0.187166</v>
      </c>
      <c r="D45" s="55">
        <f t="shared" si="2"/>
        <v>0.60929999999999995</v>
      </c>
      <c r="E45" s="42">
        <f>Расчеты!L62*Расчеты!$M$19</f>
        <v>3.0075901020904971E-2</v>
      </c>
      <c r="F45" s="42">
        <f t="shared" si="3"/>
        <v>0.17342404971890424</v>
      </c>
      <c r="G45" s="7"/>
    </row>
    <row r="46" spans="1:9" x14ac:dyDescent="0.35">
      <c r="A46" s="54">
        <v>0.56000000000000005</v>
      </c>
      <c r="B46" s="54">
        <f t="shared" si="1"/>
        <v>0.43999999999999995</v>
      </c>
      <c r="C46" s="42">
        <f t="shared" si="4"/>
        <v>0.18612800000000002</v>
      </c>
      <c r="D46" s="55">
        <f t="shared" si="2"/>
        <v>0.59440000000000004</v>
      </c>
      <c r="E46" s="42">
        <f>Расчеты!L63*Расчеты!$M$19</f>
        <v>2.9107778955237251E-2</v>
      </c>
      <c r="F46" s="42">
        <f t="shared" si="3"/>
        <v>0.17061002009037232</v>
      </c>
      <c r="G46" s="7"/>
    </row>
    <row r="47" spans="1:9" x14ac:dyDescent="0.35">
      <c r="A47" s="54">
        <v>0.55000000000000004</v>
      </c>
      <c r="B47" s="54">
        <f t="shared" si="1"/>
        <v>0.44999999999999996</v>
      </c>
      <c r="C47" s="42">
        <f t="shared" si="4"/>
        <v>0.18509000000000003</v>
      </c>
      <c r="D47" s="55">
        <f t="shared" si="2"/>
        <v>0.57950000000000002</v>
      </c>
      <c r="E47" s="42">
        <f>Расчеты!L64*Расчеты!$M$19</f>
        <v>2.8164689950867707E-2</v>
      </c>
      <c r="F47" s="42">
        <f t="shared" si="3"/>
        <v>0.16782338916512116</v>
      </c>
      <c r="G47" s="7"/>
    </row>
    <row r="48" spans="1:9" x14ac:dyDescent="0.35">
      <c r="A48" s="54">
        <v>0.54</v>
      </c>
      <c r="B48" s="54">
        <f t="shared" si="1"/>
        <v>0.45999999999999996</v>
      </c>
      <c r="C48" s="42">
        <f t="shared" si="4"/>
        <v>0.18405199999999999</v>
      </c>
      <c r="D48" s="55">
        <f t="shared" si="2"/>
        <v>0.5646000000000001</v>
      </c>
      <c r="E48" s="42">
        <f>Расчеты!L65*Расчеты!$M$19</f>
        <v>2.724663400779636E-2</v>
      </c>
      <c r="F48" s="42">
        <f t="shared" si="3"/>
        <v>0.16506554458092204</v>
      </c>
      <c r="G48" s="7"/>
    </row>
    <row r="49" spans="1:7" x14ac:dyDescent="0.35">
      <c r="A49" s="54">
        <v>0.53</v>
      </c>
      <c r="B49" s="54">
        <f t="shared" si="1"/>
        <v>0.47</v>
      </c>
      <c r="C49" s="42">
        <f t="shared" si="4"/>
        <v>0.18301400000000001</v>
      </c>
      <c r="D49" s="55">
        <f t="shared" si="2"/>
        <v>0.54970000000000008</v>
      </c>
      <c r="E49" s="42">
        <f>Расчеты!L66*Расчеты!$M$19</f>
        <v>2.6353611126023201E-2</v>
      </c>
      <c r="F49" s="42">
        <f t="shared" si="3"/>
        <v>0.16233795343672164</v>
      </c>
      <c r="G49" s="7"/>
    </row>
    <row r="50" spans="1:7" x14ac:dyDescent="0.35">
      <c r="A50" s="54">
        <v>0.52</v>
      </c>
      <c r="B50" s="54">
        <f t="shared" si="1"/>
        <v>0.48</v>
      </c>
      <c r="C50" s="42">
        <f t="shared" si="4"/>
        <v>0.181976</v>
      </c>
      <c r="D50" s="55">
        <f t="shared" si="2"/>
        <v>0.53480000000000005</v>
      </c>
      <c r="E50" s="42">
        <f>Расчеты!L67*Расчеты!$M$19</f>
        <v>2.5485621305548226E-2</v>
      </c>
      <c r="F50" s="42">
        <f t="shared" si="3"/>
        <v>0.15964216643966037</v>
      </c>
      <c r="G50" s="7"/>
    </row>
    <row r="51" spans="1:7" x14ac:dyDescent="0.35">
      <c r="A51" s="54">
        <v>0.51</v>
      </c>
      <c r="B51" s="54">
        <f t="shared" si="1"/>
        <v>0.49</v>
      </c>
      <c r="C51" s="42">
        <f t="shared" si="4"/>
        <v>0.18093799999999999</v>
      </c>
      <c r="D51" s="55">
        <f t="shared" si="2"/>
        <v>0.51989999999999992</v>
      </c>
      <c r="E51" s="42">
        <f>Расчеты!L68*Расчеты!$M$19</f>
        <v>2.4642664546371432E-2</v>
      </c>
      <c r="F51" s="42">
        <f t="shared" si="3"/>
        <v>0.15697982209943873</v>
      </c>
      <c r="G51" s="7"/>
    </row>
    <row r="52" spans="1:7" x14ac:dyDescent="0.35">
      <c r="A52" s="54">
        <v>0.5</v>
      </c>
      <c r="B52" s="54">
        <f t="shared" si="1"/>
        <v>0.5</v>
      </c>
      <c r="C52" s="42">
        <f t="shared" si="4"/>
        <v>0.1799</v>
      </c>
      <c r="D52" s="55">
        <f t="shared" si="2"/>
        <v>0.505</v>
      </c>
      <c r="E52" s="42">
        <f>Расчеты!L69*Расчеты!$M$19</f>
        <v>2.3824740848492842E-2</v>
      </c>
      <c r="F52" s="42">
        <f t="shared" si="3"/>
        <v>0.15435265092797351</v>
      </c>
      <c r="G52" s="7"/>
    </row>
    <row r="53" spans="1:7" x14ac:dyDescent="0.35">
      <c r="A53" s="54">
        <v>0.49</v>
      </c>
      <c r="B53" s="54">
        <f t="shared" si="1"/>
        <v>0.51</v>
      </c>
      <c r="C53" s="42">
        <f t="shared" si="4"/>
        <v>0.17886200000000002</v>
      </c>
      <c r="D53" s="55">
        <f t="shared" si="2"/>
        <v>0.49010000000000004</v>
      </c>
      <c r="E53" s="42">
        <f>Расчеты!L70*Расчеты!$M$19</f>
        <v>2.3031850211912425E-2</v>
      </c>
      <c r="F53" s="42">
        <f t="shared" si="3"/>
        <v>0.15176247959200068</v>
      </c>
      <c r="G53" s="7"/>
    </row>
    <row r="54" spans="1:7" x14ac:dyDescent="0.35">
      <c r="A54" s="54">
        <v>0.48</v>
      </c>
      <c r="B54" s="54">
        <f t="shared" si="1"/>
        <v>0.52</v>
      </c>
      <c r="C54" s="42">
        <f t="shared" si="4"/>
        <v>0.17782400000000001</v>
      </c>
      <c r="D54" s="55">
        <f t="shared" si="2"/>
        <v>0.47519999999999996</v>
      </c>
      <c r="E54" s="42">
        <f>Расчеты!L71*Расчеты!$M$19</f>
        <v>2.226399263663021E-2</v>
      </c>
      <c r="F54" s="42">
        <f t="shared" si="3"/>
        <v>0.14921123495444372</v>
      </c>
      <c r="G54" s="7"/>
    </row>
    <row r="55" spans="1:7" x14ac:dyDescent="0.35">
      <c r="A55" s="54">
        <v>0.47</v>
      </c>
      <c r="B55" s="54">
        <f t="shared" si="1"/>
        <v>0.53</v>
      </c>
      <c r="C55" s="42">
        <f t="shared" si="4"/>
        <v>0.176786</v>
      </c>
      <c r="D55" s="55">
        <f t="shared" si="2"/>
        <v>0.46029999999999993</v>
      </c>
      <c r="E55" s="42">
        <f>Расчеты!L72*Расчеты!$M$19</f>
        <v>2.1521168122646175E-2</v>
      </c>
      <c r="F55" s="42">
        <f t="shared" si="3"/>
        <v>0.14670094792688346</v>
      </c>
      <c r="G55" s="7"/>
    </row>
    <row r="56" spans="1:7" x14ac:dyDescent="0.35">
      <c r="A56" s="54">
        <v>0.46</v>
      </c>
      <c r="B56" s="54">
        <f t="shared" si="1"/>
        <v>0.54</v>
      </c>
      <c r="C56" s="42">
        <f t="shared" si="4"/>
        <v>0.17574800000000002</v>
      </c>
      <c r="D56" s="55">
        <f t="shared" si="2"/>
        <v>0.44540000000000007</v>
      </c>
      <c r="E56" s="42">
        <f>Расчеты!L73*Расчеты!$M$19</f>
        <v>2.0803376669960329E-2</v>
      </c>
      <c r="F56" s="42">
        <f t="shared" si="3"/>
        <v>0.14423375704030014</v>
      </c>
      <c r="G56" s="7"/>
    </row>
    <row r="57" spans="1:7" x14ac:dyDescent="0.35">
      <c r="A57" s="54">
        <v>0.45</v>
      </c>
      <c r="B57" s="54">
        <f t="shared" si="1"/>
        <v>0.55000000000000004</v>
      </c>
      <c r="C57" s="42">
        <f t="shared" si="4"/>
        <v>0.17471</v>
      </c>
      <c r="D57" s="55">
        <f t="shared" si="2"/>
        <v>0.43049999999999999</v>
      </c>
      <c r="E57" s="42">
        <f>Расчеты!L74*Расчеты!$M$19</f>
        <v>2.0110618278572669E-2</v>
      </c>
      <c r="F57" s="42">
        <f t="shared" si="3"/>
        <v>0.14181191162442128</v>
      </c>
      <c r="G57" s="7"/>
    </row>
    <row r="58" spans="1:7" x14ac:dyDescent="0.35">
      <c r="A58" s="54">
        <v>0.44</v>
      </c>
      <c r="B58" s="54">
        <f t="shared" si="1"/>
        <v>0.56000000000000005</v>
      </c>
      <c r="C58" s="42">
        <f t="shared" si="4"/>
        <v>0.17367199999999999</v>
      </c>
      <c r="D58" s="55">
        <f t="shared" si="2"/>
        <v>0.41560000000000002</v>
      </c>
      <c r="E58" s="42">
        <f>Расчеты!L75*Расчеты!$M$19</f>
        <v>1.9442892948483198E-2</v>
      </c>
      <c r="F58" s="42">
        <f t="shared" si="3"/>
        <v>0.13943777446762121</v>
      </c>
      <c r="G58" s="7"/>
    </row>
    <row r="59" spans="1:7" x14ac:dyDescent="0.35">
      <c r="A59" s="54">
        <v>0.42999999999999899</v>
      </c>
      <c r="B59" s="54">
        <f t="shared" si="1"/>
        <v>0.57000000000000095</v>
      </c>
      <c r="C59" s="42">
        <f t="shared" si="4"/>
        <v>0.1726339999999999</v>
      </c>
      <c r="D59" s="55">
        <f t="shared" si="2"/>
        <v>0.4006999999999985</v>
      </c>
      <c r="E59" s="42">
        <f>Расчеты!L76*Расчеты!$M$19</f>
        <v>1.8800200679691854E-2</v>
      </c>
      <c r="F59" s="42">
        <f t="shared" si="3"/>
        <v>0.13711382380960666</v>
      </c>
      <c r="G59" s="7"/>
    </row>
    <row r="60" spans="1:7" x14ac:dyDescent="0.35">
      <c r="A60" s="54">
        <v>0.41999999999999899</v>
      </c>
      <c r="B60" s="54">
        <f t="shared" si="1"/>
        <v>0.58000000000000096</v>
      </c>
      <c r="C60" s="42">
        <f t="shared" si="4"/>
        <v>0.17159599999999989</v>
      </c>
      <c r="D60" s="55">
        <f t="shared" si="2"/>
        <v>0.38579999999999848</v>
      </c>
      <c r="E60" s="42">
        <f>Расчеты!L77*Расчеты!$M$19</f>
        <v>1.8182541472198759E-2</v>
      </c>
      <c r="F60" s="42">
        <f t="shared" si="3"/>
        <v>0.13484265449848856</v>
      </c>
      <c r="G60" s="7"/>
    </row>
    <row r="61" spans="1:7" x14ac:dyDescent="0.35">
      <c r="A61" s="54">
        <v>0.40999999999999898</v>
      </c>
      <c r="B61" s="54">
        <f t="shared" si="1"/>
        <v>0.59000000000000097</v>
      </c>
      <c r="C61" s="42">
        <f t="shared" si="4"/>
        <v>0.17055799999999988</v>
      </c>
      <c r="D61" s="55">
        <f t="shared" si="2"/>
        <v>0.37089999999999851</v>
      </c>
      <c r="E61" s="42">
        <f>Расчеты!L78*Расчеты!$M$19</f>
        <v>1.7589915326003853E-2</v>
      </c>
      <c r="F61" s="42">
        <f t="shared" si="3"/>
        <v>0.13262697812286856</v>
      </c>
      <c r="G61" s="7"/>
    </row>
    <row r="62" spans="1:7" x14ac:dyDescent="0.35">
      <c r="A62" s="54">
        <v>0.39999999999999902</v>
      </c>
      <c r="B62" s="54">
        <f t="shared" si="1"/>
        <v>0.60000000000000098</v>
      </c>
      <c r="C62" s="42">
        <f t="shared" si="4"/>
        <v>0.16951999999999989</v>
      </c>
      <c r="D62" s="55">
        <f t="shared" si="2"/>
        <v>0.35599999999999854</v>
      </c>
      <c r="E62" s="42">
        <f>Расчеты!L79*Расчеты!$M$19</f>
        <v>1.7022322241107141E-2</v>
      </c>
      <c r="F62" s="42">
        <f t="shared" si="3"/>
        <v>0.13046962190911393</v>
      </c>
      <c r="G62" s="7"/>
    </row>
    <row r="63" spans="1:7" x14ac:dyDescent="0.35">
      <c r="A63" s="54">
        <v>0.38999999999999901</v>
      </c>
      <c r="B63" s="54">
        <f t="shared" si="1"/>
        <v>0.61000000000000099</v>
      </c>
      <c r="C63" s="42">
        <f t="shared" si="4"/>
        <v>0.16848199999999991</v>
      </c>
      <c r="D63" s="55">
        <f t="shared" si="2"/>
        <v>0.34109999999999852</v>
      </c>
      <c r="E63" s="42">
        <f>Расчеты!L80*Расчеты!$M$19</f>
        <v>1.647976221750861E-2</v>
      </c>
      <c r="F63" s="42">
        <f t="shared" si="3"/>
        <v>0.12837352615515635</v>
      </c>
      <c r="G63" s="7"/>
    </row>
    <row r="64" spans="1:7" x14ac:dyDescent="0.35">
      <c r="A64" s="54">
        <v>0.37999999999999901</v>
      </c>
      <c r="B64" s="54">
        <f t="shared" si="1"/>
        <v>0.62000000000000099</v>
      </c>
      <c r="C64" s="42">
        <f t="shared" si="4"/>
        <v>0.1674439999999999</v>
      </c>
      <c r="D64" s="55">
        <f t="shared" si="2"/>
        <v>0.32619999999999849</v>
      </c>
      <c r="E64" s="42">
        <f>Расчеты!L81*Расчеты!$M$19</f>
        <v>1.5962235255208273E-2</v>
      </c>
      <c r="F64" s="42">
        <f t="shared" si="3"/>
        <v>0.12634173995639078</v>
      </c>
      <c r="G64" s="7"/>
    </row>
    <row r="65" spans="1:7" x14ac:dyDescent="0.35">
      <c r="A65" s="54">
        <v>0.369999999999999</v>
      </c>
      <c r="B65" s="54">
        <f t="shared" si="1"/>
        <v>0.630000000000001</v>
      </c>
      <c r="C65" s="42">
        <f t="shared" si="4"/>
        <v>0.16640599999999989</v>
      </c>
      <c r="D65" s="55">
        <f t="shared" si="2"/>
        <v>0.31129999999999852</v>
      </c>
      <c r="E65" s="42">
        <f>Расчеты!L82*Расчеты!$M$19</f>
        <v>1.5469741354206118E-2</v>
      </c>
      <c r="F65" s="42">
        <f t="shared" si="3"/>
        <v>0.12437741496833787</v>
      </c>
      <c r="G65" s="7"/>
    </row>
    <row r="66" spans="1:7" x14ac:dyDescent="0.35">
      <c r="A66" s="54">
        <v>0.35999999999999899</v>
      </c>
      <c r="B66" s="54">
        <f t="shared" si="1"/>
        <v>0.64000000000000101</v>
      </c>
      <c r="C66" s="42">
        <f t="shared" ref="C66:C97" si="5">A66*$B$107+B66*$C$107</f>
        <v>0.1653679999999999</v>
      </c>
      <c r="D66" s="55">
        <f t="shared" si="2"/>
        <v>0.2963999999999985</v>
      </c>
      <c r="E66" s="42">
        <f>Расчеты!L83*Расчеты!$M$19</f>
        <v>1.5002280514502154E-2</v>
      </c>
      <c r="F66" s="42">
        <f t="shared" si="3"/>
        <v>0.12248379694678865</v>
      </c>
      <c r="G66" s="7"/>
    </row>
    <row r="67" spans="1:7" x14ac:dyDescent="0.35">
      <c r="A67" s="54">
        <v>0.34999999999999898</v>
      </c>
      <c r="B67" s="54">
        <f t="shared" ref="B67:B102" si="6">1-A67</f>
        <v>0.65000000000000102</v>
      </c>
      <c r="C67" s="42">
        <f t="shared" si="5"/>
        <v>0.16432999999999992</v>
      </c>
      <c r="D67" s="55">
        <f t="shared" ref="D67:D102" si="7">A67*$B$108+B67*$C$108</f>
        <v>0.28149999999999847</v>
      </c>
      <c r="E67" s="42">
        <f>Расчеты!L84*Расчеты!$M$19</f>
        <v>1.4559852736096376E-2</v>
      </c>
      <c r="F67" s="42">
        <f t="shared" ref="F67:F102" si="8">SQRT(E67)</f>
        <v>0.12066421481158519</v>
      </c>
      <c r="G67" s="7"/>
    </row>
    <row r="68" spans="1:7" x14ac:dyDescent="0.35">
      <c r="A68" s="54">
        <v>0.33999999999999903</v>
      </c>
      <c r="B68" s="54">
        <f t="shared" si="6"/>
        <v>0.66000000000000103</v>
      </c>
      <c r="C68" s="42">
        <f t="shared" si="5"/>
        <v>0.16329199999999991</v>
      </c>
      <c r="D68" s="55">
        <f t="shared" si="7"/>
        <v>0.2665999999999985</v>
      </c>
      <c r="E68" s="42">
        <f>Расчеты!L85*Расчеты!$M$19</f>
        <v>1.4142458018988792E-2</v>
      </c>
      <c r="F68" s="42">
        <f t="shared" si="8"/>
        <v>0.11892206699762997</v>
      </c>
      <c r="G68" s="7"/>
    </row>
    <row r="69" spans="1:7" x14ac:dyDescent="0.35">
      <c r="A69" s="54">
        <v>0.32999999999999902</v>
      </c>
      <c r="B69" s="54">
        <f t="shared" si="6"/>
        <v>0.67000000000000104</v>
      </c>
      <c r="C69" s="42">
        <f t="shared" si="5"/>
        <v>0.1622539999999999</v>
      </c>
      <c r="D69" s="55">
        <f t="shared" si="7"/>
        <v>0.25169999999999848</v>
      </c>
      <c r="E69" s="42">
        <f>Расчеты!L86*Расчеты!$M$19</f>
        <v>1.3750096363179387E-2</v>
      </c>
      <c r="F69" s="42">
        <f t="shared" si="8"/>
        <v>0.11726080488884334</v>
      </c>
      <c r="G69" s="7"/>
    </row>
    <row r="70" spans="1:7" x14ac:dyDescent="0.35">
      <c r="A70" s="54">
        <v>0.31999999999999901</v>
      </c>
      <c r="B70" s="54">
        <f t="shared" si="6"/>
        <v>0.68000000000000105</v>
      </c>
      <c r="C70" s="42">
        <f t="shared" si="5"/>
        <v>0.16121599999999991</v>
      </c>
      <c r="D70" s="55">
        <f t="shared" si="7"/>
        <v>0.23679999999999851</v>
      </c>
      <c r="E70" s="42">
        <f>Расчеты!L87*Расчеты!$M$19</f>
        <v>1.3382767768668176E-2</v>
      </c>
      <c r="F70" s="42">
        <f t="shared" si="8"/>
        <v>0.11568391318013138</v>
      </c>
      <c r="G70" s="7"/>
    </row>
    <row r="71" spans="1:7" x14ac:dyDescent="0.35">
      <c r="A71" s="54">
        <v>0.309999999999999</v>
      </c>
      <c r="B71" s="54">
        <f t="shared" si="6"/>
        <v>0.69000000000000106</v>
      </c>
      <c r="C71" s="42">
        <f t="shared" si="5"/>
        <v>0.1601779999999999</v>
      </c>
      <c r="D71" s="55">
        <f t="shared" si="7"/>
        <v>0.22189999999999849</v>
      </c>
      <c r="E71" s="42">
        <f>Расчеты!L88*Расчеты!$M$19</f>
        <v>1.3040472235455149E-2</v>
      </c>
      <c r="F71" s="42">
        <f t="shared" si="8"/>
        <v>0.11419488708105609</v>
      </c>
      <c r="G71" s="7"/>
    </row>
    <row r="72" spans="1:7" x14ac:dyDescent="0.35">
      <c r="A72" s="54">
        <v>0.29999999999999899</v>
      </c>
      <c r="B72" s="54">
        <f t="shared" si="6"/>
        <v>0.70000000000000107</v>
      </c>
      <c r="C72" s="42">
        <f t="shared" si="5"/>
        <v>0.15913999999999989</v>
      </c>
      <c r="D72" s="55">
        <f t="shared" si="7"/>
        <v>0.20699999999999846</v>
      </c>
      <c r="E72" s="42">
        <f>Расчеты!L89*Расчеты!$M$19</f>
        <v>1.2723209763540312E-2</v>
      </c>
      <c r="F72" s="42">
        <f t="shared" si="8"/>
        <v>0.11279720636407761</v>
      </c>
      <c r="G72" s="7"/>
    </row>
    <row r="73" spans="1:7" x14ac:dyDescent="0.35">
      <c r="A73" s="54">
        <v>0.28999999999999898</v>
      </c>
      <c r="B73" s="54">
        <f t="shared" si="6"/>
        <v>0.71000000000000107</v>
      </c>
      <c r="C73" s="42">
        <f t="shared" si="5"/>
        <v>0.15810199999999991</v>
      </c>
      <c r="D73" s="55">
        <f t="shared" si="7"/>
        <v>0.19209999999999847</v>
      </c>
      <c r="E73" s="42">
        <f>Расчеты!L90*Расчеты!$M$19</f>
        <v>1.2430980352923664E-2</v>
      </c>
      <c r="F73" s="42">
        <f t="shared" si="8"/>
        <v>0.11149430636998314</v>
      </c>
      <c r="G73" s="7"/>
    </row>
    <row r="74" spans="1:7" x14ac:dyDescent="0.35">
      <c r="A74" s="54">
        <v>0.27999999999999903</v>
      </c>
      <c r="B74" s="54">
        <f t="shared" si="6"/>
        <v>0.72000000000000097</v>
      </c>
      <c r="C74" s="42">
        <f t="shared" si="5"/>
        <v>0.15706399999999993</v>
      </c>
      <c r="D74" s="55">
        <f t="shared" si="7"/>
        <v>0.17719999999999853</v>
      </c>
      <c r="E74" s="42">
        <f>Расчеты!L91*Расчеты!$M$19</f>
        <v>1.2163784003605203E-2</v>
      </c>
      <c r="F74" s="42">
        <f t="shared" si="8"/>
        <v>0.11028954621180198</v>
      </c>
      <c r="G74" s="7"/>
    </row>
    <row r="75" spans="1:7" x14ac:dyDescent="0.35">
      <c r="A75" s="54">
        <v>0.26999999999999902</v>
      </c>
      <c r="B75" s="54">
        <f t="shared" si="6"/>
        <v>0.73000000000000098</v>
      </c>
      <c r="C75" s="42">
        <f t="shared" si="5"/>
        <v>0.15602599999999991</v>
      </c>
      <c r="D75" s="55">
        <f t="shared" si="7"/>
        <v>0.16229999999999858</v>
      </c>
      <c r="E75" s="42">
        <f>Расчеты!L92*Расчеты!$M$19</f>
        <v>1.1921620715584929E-2</v>
      </c>
      <c r="F75" s="42">
        <f t="shared" si="8"/>
        <v>0.10918617456246431</v>
      </c>
      <c r="G75" s="7"/>
    </row>
    <row r="76" spans="1:7" x14ac:dyDescent="0.35">
      <c r="A76" s="54">
        <v>0.25999999999999901</v>
      </c>
      <c r="B76" s="54">
        <f t="shared" si="6"/>
        <v>0.74000000000000099</v>
      </c>
      <c r="C76" s="42">
        <f t="shared" si="5"/>
        <v>0.1549879999999999</v>
      </c>
      <c r="D76" s="55">
        <f t="shared" si="7"/>
        <v>0.1473999999999985</v>
      </c>
      <c r="E76" s="42">
        <f>Расчеты!L93*Расчеты!$M$19</f>
        <v>1.1704490488862842E-2</v>
      </c>
      <c r="F76" s="42">
        <f t="shared" si="8"/>
        <v>0.10818729356473819</v>
      </c>
      <c r="G76" s="7"/>
    </row>
    <row r="77" spans="1:7" x14ac:dyDescent="0.35">
      <c r="A77" s="54">
        <v>0.249999999999999</v>
      </c>
      <c r="B77" s="54">
        <f t="shared" si="6"/>
        <v>0.750000000000001</v>
      </c>
      <c r="C77" s="42">
        <f t="shared" si="5"/>
        <v>0.15394999999999989</v>
      </c>
      <c r="D77" s="55">
        <f t="shared" si="7"/>
        <v>0.13249999999999854</v>
      </c>
      <c r="E77" s="42">
        <f>Расчеты!L94*Расчеты!$M$19</f>
        <v>1.1512393323438945E-2</v>
      </c>
      <c r="F77" s="42">
        <f t="shared" si="8"/>
        <v>0.1072958215562887</v>
      </c>
      <c r="G77" s="7"/>
    </row>
    <row r="78" spans="1:7" x14ac:dyDescent="0.35">
      <c r="A78" s="54">
        <v>0.23999999999999899</v>
      </c>
      <c r="B78" s="54">
        <f t="shared" si="6"/>
        <v>0.76000000000000101</v>
      </c>
      <c r="C78" s="42">
        <f t="shared" si="5"/>
        <v>0.15291199999999988</v>
      </c>
      <c r="D78" s="55">
        <f t="shared" si="7"/>
        <v>0.11759999999999848</v>
      </c>
      <c r="E78" s="42">
        <f>Расчеты!L95*Расчеты!$M$19</f>
        <v>1.1345329219313234E-2</v>
      </c>
      <c r="F78" s="42">
        <f t="shared" si="8"/>
        <v>0.10651445544766792</v>
      </c>
      <c r="G78" s="7"/>
    </row>
    <row r="79" spans="1:7" x14ac:dyDescent="0.35">
      <c r="A79" s="54">
        <v>0.22999999999999901</v>
      </c>
      <c r="B79" s="54">
        <f t="shared" si="6"/>
        <v>0.77000000000000102</v>
      </c>
      <c r="C79" s="42">
        <f t="shared" si="5"/>
        <v>0.1518739999999999</v>
      </c>
      <c r="D79" s="55">
        <f t="shared" si="7"/>
        <v>0.10269999999999851</v>
      </c>
      <c r="E79" s="42">
        <f>Расчеты!L96*Расчеты!$M$19</f>
        <v>1.1203298176485712E-2</v>
      </c>
      <c r="F79" s="42">
        <f t="shared" si="8"/>
        <v>0.10584563371479105</v>
      </c>
      <c r="G79" s="7"/>
    </row>
    <row r="80" spans="1:7" x14ac:dyDescent="0.35">
      <c r="A80" s="54">
        <v>0.219999999999999</v>
      </c>
      <c r="B80" s="54">
        <f t="shared" si="6"/>
        <v>0.78000000000000103</v>
      </c>
      <c r="C80" s="42">
        <f t="shared" si="5"/>
        <v>0.15083599999999991</v>
      </c>
      <c r="D80" s="55">
        <f t="shared" si="7"/>
        <v>8.7799999999998518E-2</v>
      </c>
      <c r="E80" s="42">
        <f>Расчеты!L97*Расчеты!$M$19</f>
        <v>1.1086300194956379E-2</v>
      </c>
      <c r="F80" s="42">
        <f t="shared" si="8"/>
        <v>0.10529150105757054</v>
      </c>
      <c r="G80" s="7"/>
    </row>
    <row r="81" spans="1:7" x14ac:dyDescent="0.35">
      <c r="A81" s="54">
        <v>0.20999999999999899</v>
      </c>
      <c r="B81" s="54">
        <f t="shared" si="6"/>
        <v>0.79000000000000103</v>
      </c>
      <c r="C81" s="42">
        <f t="shared" si="5"/>
        <v>0.1497979999999999</v>
      </c>
      <c r="D81" s="55">
        <f t="shared" si="7"/>
        <v>7.2899999999998494E-2</v>
      </c>
      <c r="E81" s="42">
        <f>Расчеты!L98*Расчеты!$M$19</f>
        <v>1.0994335274725235E-2</v>
      </c>
      <c r="F81" s="42">
        <f t="shared" si="8"/>
        <v>0.10485387582118857</v>
      </c>
      <c r="G81" s="7"/>
    </row>
    <row r="82" spans="1:7" x14ac:dyDescent="0.35">
      <c r="A82" s="54">
        <v>0.19999999999999901</v>
      </c>
      <c r="B82" s="54">
        <f t="shared" si="6"/>
        <v>0.80000000000000093</v>
      </c>
      <c r="C82" s="42">
        <f t="shared" si="5"/>
        <v>0.14875999999999989</v>
      </c>
      <c r="D82" s="55">
        <f t="shared" si="7"/>
        <v>5.7999999999998553E-2</v>
      </c>
      <c r="E82" s="42">
        <f>Расчеты!L99*Расчеты!$M$19</f>
        <v>1.0927403415792274E-2</v>
      </c>
      <c r="F82" s="42">
        <f t="shared" si="8"/>
        <v>0.10453422126649375</v>
      </c>
      <c r="G82" s="7"/>
    </row>
    <row r="83" spans="1:7" x14ac:dyDescent="0.35">
      <c r="A83" s="54">
        <v>0.189999999999999</v>
      </c>
      <c r="B83" s="54">
        <f t="shared" si="6"/>
        <v>0.81000000000000094</v>
      </c>
      <c r="C83" s="42">
        <f t="shared" si="5"/>
        <v>0.14772199999999988</v>
      </c>
      <c r="D83" s="55">
        <f t="shared" si="7"/>
        <v>4.3099999999998556E-2</v>
      </c>
      <c r="E83" s="42">
        <f>Расчеты!L100*Расчеты!$M$19</f>
        <v>1.0885504618157505E-2</v>
      </c>
      <c r="F83" s="42">
        <f t="shared" si="8"/>
        <v>0.10433362170536162</v>
      </c>
      <c r="G83" s="7"/>
    </row>
    <row r="84" spans="1:7" x14ac:dyDescent="0.35">
      <c r="A84" s="54">
        <v>0.17999999999999899</v>
      </c>
      <c r="B84" s="54">
        <f t="shared" si="6"/>
        <v>0.82000000000000095</v>
      </c>
      <c r="C84" s="42">
        <f t="shared" si="5"/>
        <v>0.1466839999999999</v>
      </c>
      <c r="D84" s="55">
        <f t="shared" si="7"/>
        <v>2.8199999999998532E-2</v>
      </c>
      <c r="E84" s="42">
        <f>Расчеты!L101*Расчеты!$M$19</f>
        <v>1.0868638881820922E-2</v>
      </c>
      <c r="F84" s="42">
        <f t="shared" si="8"/>
        <v>0.10425276438455204</v>
      </c>
      <c r="G84" s="7"/>
    </row>
    <row r="85" spans="1:7" x14ac:dyDescent="0.35">
      <c r="A85" s="54">
        <v>0.16999999999999901</v>
      </c>
      <c r="B85" s="54">
        <f t="shared" si="6"/>
        <v>0.83000000000000096</v>
      </c>
      <c r="C85" s="42">
        <f t="shared" si="5"/>
        <v>0.14564599999999989</v>
      </c>
      <c r="D85" s="55">
        <f t="shared" si="7"/>
        <v>1.3299999999998563E-2</v>
      </c>
      <c r="E85" s="42">
        <f>Расчеты!L102*Расчеты!$M$19</f>
        <v>1.087680620678253E-2</v>
      </c>
      <c r="F85" s="42">
        <f t="shared" si="8"/>
        <v>0.1042919278121875</v>
      </c>
      <c r="G85" s="7"/>
    </row>
    <row r="86" spans="1:7" x14ac:dyDescent="0.35">
      <c r="A86" s="54">
        <v>0.159999999999999</v>
      </c>
      <c r="B86" s="54">
        <f t="shared" si="6"/>
        <v>0.84000000000000097</v>
      </c>
      <c r="C86" s="42">
        <f t="shared" si="5"/>
        <v>0.1446079999999999</v>
      </c>
      <c r="D86" s="55">
        <f t="shared" si="7"/>
        <v>-1.6000000000014614E-3</v>
      </c>
      <c r="E86" s="42">
        <f>Расчеты!L103*Расчеты!$M$19</f>
        <v>1.0910006593042323E-2</v>
      </c>
      <c r="F86" s="42">
        <f t="shared" si="8"/>
        <v>0.10445097698462338</v>
      </c>
      <c r="G86" s="7"/>
    </row>
    <row r="87" spans="1:7" x14ac:dyDescent="0.35">
      <c r="A87" s="54">
        <v>0.149999999999999</v>
      </c>
      <c r="B87" s="54">
        <f t="shared" si="6"/>
        <v>0.85000000000000098</v>
      </c>
      <c r="C87" s="42">
        <f t="shared" si="5"/>
        <v>0.14356999999999989</v>
      </c>
      <c r="D87" s="55">
        <f t="shared" si="7"/>
        <v>-1.6500000000001486E-2</v>
      </c>
      <c r="E87" s="42">
        <f>Расчеты!L104*Расчеты!$M$19</f>
        <v>1.0968240040600305E-2</v>
      </c>
      <c r="F87" s="42">
        <f t="shared" si="8"/>
        <v>0.10472936570322722</v>
      </c>
      <c r="G87" s="7"/>
    </row>
    <row r="88" spans="1:7" x14ac:dyDescent="0.35">
      <c r="A88" s="54">
        <v>0.13999999999999899</v>
      </c>
      <c r="B88" s="54">
        <f t="shared" si="6"/>
        <v>0.86000000000000099</v>
      </c>
      <c r="C88" s="42">
        <f t="shared" si="5"/>
        <v>0.14253199999999988</v>
      </c>
      <c r="D88" s="55">
        <f t="shared" si="7"/>
        <v>-3.1400000000001482E-2</v>
      </c>
      <c r="E88" s="42">
        <f>Расчеты!L105*Расчеты!$M$19</f>
        <v>1.1051506549456474E-2</v>
      </c>
      <c r="F88" s="42">
        <f t="shared" si="8"/>
        <v>0.10512614588891041</v>
      </c>
      <c r="G88" s="7"/>
    </row>
    <row r="89" spans="1:7" x14ac:dyDescent="0.35">
      <c r="A89" s="54">
        <v>0.12999999999999901</v>
      </c>
      <c r="B89" s="54">
        <f t="shared" si="6"/>
        <v>0.87000000000000099</v>
      </c>
      <c r="C89" s="42">
        <f t="shared" si="5"/>
        <v>0.1414939999999999</v>
      </c>
      <c r="D89" s="55">
        <f t="shared" si="7"/>
        <v>-4.6300000000001479E-2</v>
      </c>
      <c r="E89" s="42">
        <f>Расчеты!L106*Расчеты!$M$19</f>
        <v>1.1159806119610831E-2</v>
      </c>
      <c r="F89" s="42">
        <f t="shared" si="8"/>
        <v>0.10563998352712306</v>
      </c>
      <c r="G89" s="7"/>
    </row>
    <row r="90" spans="1:7" x14ac:dyDescent="0.35">
      <c r="A90" s="54">
        <v>0.119999999999999</v>
      </c>
      <c r="B90" s="54">
        <f t="shared" si="6"/>
        <v>0.880000000000001</v>
      </c>
      <c r="C90" s="42">
        <f t="shared" si="5"/>
        <v>0.14045599999999989</v>
      </c>
      <c r="D90" s="55">
        <f t="shared" si="7"/>
        <v>-6.1200000000001475E-2</v>
      </c>
      <c r="E90" s="42">
        <f>Расчеты!L107*Расчеты!$M$19</f>
        <v>1.1293138751063374E-2</v>
      </c>
      <c r="F90" s="42">
        <f t="shared" si="8"/>
        <v>0.10626918062666793</v>
      </c>
      <c r="G90" s="7"/>
    </row>
    <row r="91" spans="1:7" x14ac:dyDescent="0.35">
      <c r="A91" s="54">
        <v>0.109999999999999</v>
      </c>
      <c r="B91" s="54">
        <f t="shared" si="6"/>
        <v>0.89000000000000101</v>
      </c>
      <c r="C91" s="42">
        <f t="shared" si="5"/>
        <v>0.1394179999999999</v>
      </c>
      <c r="D91" s="55">
        <f t="shared" si="7"/>
        <v>-7.6100000000001472E-2</v>
      </c>
      <c r="E91" s="42">
        <f>Расчеты!L108*Расчеты!$M$19</f>
        <v>1.145150444381411E-2</v>
      </c>
      <c r="F91" s="42">
        <f t="shared" si="8"/>
        <v>0.10701170236854524</v>
      </c>
      <c r="G91" s="7"/>
    </row>
    <row r="92" spans="1:7" x14ac:dyDescent="0.35">
      <c r="A92" s="54">
        <v>9.9999999999999006E-2</v>
      </c>
      <c r="B92" s="54">
        <f t="shared" si="6"/>
        <v>0.90000000000000102</v>
      </c>
      <c r="C92" s="42">
        <f t="shared" si="5"/>
        <v>0.13837999999999989</v>
      </c>
      <c r="D92" s="55">
        <f t="shared" si="7"/>
        <v>-9.1000000000001496E-2</v>
      </c>
      <c r="E92" s="42">
        <f>Расчеты!L109*Расчеты!$M$19</f>
        <v>1.1634903197863032E-2</v>
      </c>
      <c r="F92" s="42">
        <f t="shared" si="8"/>
        <v>0.10786520846808313</v>
      </c>
      <c r="G92" s="7"/>
    </row>
    <row r="93" spans="1:7" x14ac:dyDescent="0.35">
      <c r="A93" s="54">
        <v>8.9999999999998997E-2</v>
      </c>
      <c r="B93" s="54">
        <f t="shared" si="6"/>
        <v>0.91000000000000103</v>
      </c>
      <c r="C93" s="42">
        <f t="shared" si="5"/>
        <v>0.13734199999999991</v>
      </c>
      <c r="D93" s="55">
        <f t="shared" si="7"/>
        <v>-0.10590000000000149</v>
      </c>
      <c r="E93" s="42">
        <f>Расчеты!L110*Расчеты!$M$19</f>
        <v>1.184333501321014E-2</v>
      </c>
      <c r="F93" s="42">
        <f t="shared" si="8"/>
        <v>0.1088270876813771</v>
      </c>
      <c r="G93" s="7"/>
    </row>
    <row r="94" spans="1:7" x14ac:dyDescent="0.35">
      <c r="A94" s="54">
        <v>7.9999999999999002E-2</v>
      </c>
      <c r="B94" s="54">
        <f t="shared" si="6"/>
        <v>0.92000000000000104</v>
      </c>
      <c r="C94" s="42">
        <f t="shared" si="5"/>
        <v>0.13630399999999993</v>
      </c>
      <c r="D94" s="55">
        <f t="shared" si="7"/>
        <v>-0.12080000000000149</v>
      </c>
      <c r="E94" s="42">
        <f>Расчеты!L111*Расчеты!$M$19</f>
        <v>1.2076799889855437E-2</v>
      </c>
      <c r="F94" s="42">
        <f t="shared" si="8"/>
        <v>0.10989449435643005</v>
      </c>
      <c r="G94" s="7"/>
    </row>
    <row r="95" spans="1:7" x14ac:dyDescent="0.35">
      <c r="A95" s="54">
        <v>6.9999999999998994E-2</v>
      </c>
      <c r="B95" s="54">
        <f t="shared" si="6"/>
        <v>0.93000000000000105</v>
      </c>
      <c r="C95" s="42">
        <f t="shared" si="5"/>
        <v>0.13526599999999989</v>
      </c>
      <c r="D95" s="55">
        <f t="shared" si="7"/>
        <v>-0.13570000000000149</v>
      </c>
      <c r="E95" s="42">
        <f>Расчеты!L112*Расчеты!$M$19</f>
        <v>1.2335297827798922E-2</v>
      </c>
      <c r="F95" s="42">
        <f t="shared" si="8"/>
        <v>0.1110643859560702</v>
      </c>
      <c r="G95" s="7"/>
    </row>
    <row r="96" spans="1:7" x14ac:dyDescent="0.35">
      <c r="A96" s="54">
        <v>5.9999999999999103E-2</v>
      </c>
      <c r="B96" s="54">
        <f t="shared" si="6"/>
        <v>0.94000000000000095</v>
      </c>
      <c r="C96" s="42">
        <f t="shared" si="5"/>
        <v>0.1342279999999999</v>
      </c>
      <c r="D96" s="55">
        <f t="shared" si="7"/>
        <v>-0.15060000000000134</v>
      </c>
      <c r="E96" s="42">
        <f>Расчеты!L113*Расчеты!$M$19</f>
        <v>1.2618828827040594E-2</v>
      </c>
      <c r="F96" s="42">
        <f t="shared" si="8"/>
        <v>0.11233356055534158</v>
      </c>
      <c r="G96" s="7"/>
    </row>
    <row r="97" spans="1:7" x14ac:dyDescent="0.35">
      <c r="A97" s="54">
        <v>4.9999999999998997E-2</v>
      </c>
      <c r="B97" s="54">
        <f t="shared" si="6"/>
        <v>0.95000000000000095</v>
      </c>
      <c r="C97" s="42">
        <f t="shared" si="5"/>
        <v>0.13318999999999989</v>
      </c>
      <c r="D97" s="55">
        <f t="shared" si="7"/>
        <v>-0.16550000000000148</v>
      </c>
      <c r="E97" s="42">
        <f>Расчеты!L114*Расчеты!$M$19</f>
        <v>1.2927392887580456E-2</v>
      </c>
      <c r="F97" s="42">
        <f t="shared" si="8"/>
        <v>0.11369869342952212</v>
      </c>
      <c r="G97" s="7"/>
    </row>
    <row r="98" spans="1:7" x14ac:dyDescent="0.35">
      <c r="A98" s="54">
        <v>3.9999999999999002E-2</v>
      </c>
      <c r="B98" s="54">
        <f t="shared" si="6"/>
        <v>0.96000000000000096</v>
      </c>
      <c r="C98" s="42">
        <f t="shared" ref="C98:C102" si="9">A98*$B$107+B98*$C$107</f>
        <v>0.13215199999999991</v>
      </c>
      <c r="D98" s="55">
        <f t="shared" si="7"/>
        <v>-0.18040000000000145</v>
      </c>
      <c r="E98" s="42">
        <f>Расчеты!L115*Расчеты!$M$19</f>
        <v>1.3260990009418503E-2</v>
      </c>
      <c r="F98" s="42">
        <f t="shared" si="8"/>
        <v>0.11515637198791261</v>
      </c>
      <c r="G98" s="7"/>
    </row>
    <row r="99" spans="1:7" x14ac:dyDescent="0.35">
      <c r="A99" s="54">
        <v>2.9999999999999E-2</v>
      </c>
      <c r="B99" s="54">
        <f t="shared" si="6"/>
        <v>0.97000000000000097</v>
      </c>
      <c r="C99" s="42">
        <f t="shared" si="9"/>
        <v>0.1311139999999999</v>
      </c>
      <c r="D99" s="55">
        <f t="shared" si="7"/>
        <v>-0.19530000000000147</v>
      </c>
      <c r="E99" s="42">
        <f>Расчеты!L116*Расчеты!$M$19</f>
        <v>1.3619620192554738E-2</v>
      </c>
      <c r="F99" s="42">
        <f t="shared" si="8"/>
        <v>0.11670312846087177</v>
      </c>
      <c r="G99" s="7"/>
    </row>
    <row r="100" spans="1:7" x14ac:dyDescent="0.35">
      <c r="A100" s="54">
        <v>1.9999999999999001E-2</v>
      </c>
      <c r="B100" s="54">
        <f t="shared" si="6"/>
        <v>0.98000000000000098</v>
      </c>
      <c r="C100" s="42">
        <f t="shared" si="9"/>
        <v>0.13007599999999991</v>
      </c>
      <c r="D100" s="55">
        <f t="shared" si="7"/>
        <v>-0.21020000000000147</v>
      </c>
      <c r="E100" s="42">
        <f>Расчеты!L117*Расчеты!$M$19</f>
        <v>1.4003283436989165E-2</v>
      </c>
      <c r="F100" s="42">
        <f t="shared" si="8"/>
        <v>0.11833546990226204</v>
      </c>
      <c r="G100" s="7"/>
    </row>
    <row r="101" spans="1:7" x14ac:dyDescent="0.35">
      <c r="A101" s="54">
        <v>9.9999999999990097E-3</v>
      </c>
      <c r="B101" s="54">
        <f t="shared" si="6"/>
        <v>0.99000000000000099</v>
      </c>
      <c r="C101" s="42">
        <f t="shared" si="9"/>
        <v>0.1290379999999999</v>
      </c>
      <c r="D101" s="55">
        <f t="shared" si="7"/>
        <v>-0.22510000000000147</v>
      </c>
      <c r="E101" s="42">
        <f>Расчеты!L118*Расчеты!$M$19</f>
        <v>1.4411979742721777E-2</v>
      </c>
      <c r="F101" s="42">
        <f t="shared" si="8"/>
        <v>0.1200499052174627</v>
      </c>
      <c r="G101" s="7"/>
    </row>
    <row r="102" spans="1:7" x14ac:dyDescent="0.35">
      <c r="A102" s="54">
        <v>0</v>
      </c>
      <c r="B102" s="54">
        <f t="shared" si="6"/>
        <v>1</v>
      </c>
      <c r="C102" s="42">
        <f t="shared" si="9"/>
        <v>0.128</v>
      </c>
      <c r="D102" s="55">
        <f t="shared" si="7"/>
        <v>-0.24</v>
      </c>
      <c r="E102" s="42">
        <f>Расчеты!L119*Расчеты!$M$19</f>
        <v>1.4845709109752532E-2</v>
      </c>
      <c r="F102" s="42">
        <f t="shared" si="8"/>
        <v>0.12184296906162674</v>
      </c>
      <c r="G102" s="7"/>
    </row>
    <row r="106" spans="1:7" x14ac:dyDescent="0.35">
      <c r="A106" s="41"/>
      <c r="B106" s="41" t="s">
        <v>73</v>
      </c>
      <c r="C106" s="41" t="s">
        <v>68</v>
      </c>
    </row>
    <row r="107" spans="1:7" x14ac:dyDescent="0.35">
      <c r="A107" s="41" t="s">
        <v>74</v>
      </c>
      <c r="B107" s="42">
        <v>0.23180000000000001</v>
      </c>
      <c r="C107" s="42">
        <v>0.128</v>
      </c>
    </row>
    <row r="108" spans="1:7" x14ac:dyDescent="0.35">
      <c r="A108" s="41" t="s">
        <v>75</v>
      </c>
      <c r="B108" s="41">
        <v>1.25</v>
      </c>
      <c r="C108" s="41">
        <v>-0.24</v>
      </c>
    </row>
    <row r="112" spans="1:7" ht="15" thickBot="1" x14ac:dyDescent="0.4"/>
    <row r="113" spans="1:3" ht="43.5" x14ac:dyDescent="0.35">
      <c r="A113" s="50" t="s">
        <v>102</v>
      </c>
      <c r="B113" s="45" t="s">
        <v>73</v>
      </c>
      <c r="C113" s="45" t="s">
        <v>68</v>
      </c>
    </row>
    <row r="114" spans="1:3" x14ac:dyDescent="0.35">
      <c r="A114" s="43" t="s">
        <v>73</v>
      </c>
      <c r="B114" s="51">
        <f>VARP(Расчеты!$B$6:$B$255)</f>
        <v>9.5386425832702919</v>
      </c>
      <c r="C114" s="51"/>
    </row>
    <row r="115" spans="1:3" ht="15" thickBot="1" x14ac:dyDescent="0.4">
      <c r="A115" s="44" t="s">
        <v>68</v>
      </c>
      <c r="B115" s="52">
        <v>-0.74665857742420494</v>
      </c>
      <c r="C115" s="52">
        <f>VARP(Расчеты!$C$6:$C$255)</f>
        <v>1.4845709109752532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2226-CAFE-4945-A9D9-7F8073875925}">
  <dimension ref="A1:AQ305"/>
  <sheetViews>
    <sheetView topLeftCell="A7" workbookViewId="0">
      <selection activeCell="E282" sqref="E282"/>
    </sheetView>
  </sheetViews>
  <sheetFormatPr defaultRowHeight="14.5" x14ac:dyDescent="0.35"/>
  <cols>
    <col min="1" max="1" width="12" customWidth="1"/>
    <col min="2" max="2" width="15.1796875" bestFit="1" customWidth="1"/>
    <col min="3" max="3" width="16.81640625" bestFit="1" customWidth="1"/>
    <col min="4" max="4" width="16.453125" bestFit="1" customWidth="1"/>
    <col min="5" max="5" width="26.26953125" bestFit="1" customWidth="1"/>
    <col min="6" max="6" width="19.81640625" customWidth="1"/>
    <col min="7" max="7" width="18.26953125" customWidth="1"/>
    <col min="8" max="8" width="20.453125" bestFit="1" customWidth="1"/>
    <col min="9" max="9" width="19.7265625" bestFit="1" customWidth="1"/>
    <col min="10" max="10" width="22.26953125" customWidth="1"/>
    <col min="11" max="11" width="13.1796875" bestFit="1" customWidth="1"/>
    <col min="12" max="12" width="14.7265625" bestFit="1" customWidth="1"/>
    <col min="13" max="13" width="14.81640625" bestFit="1" customWidth="1"/>
    <col min="14" max="14" width="6" customWidth="1"/>
    <col min="15" max="15" width="6.26953125" bestFit="1" customWidth="1"/>
    <col min="16" max="16" width="7.81640625" bestFit="1" customWidth="1"/>
    <col min="17" max="17" width="4.81640625" customWidth="1"/>
    <col min="18" max="18" width="27.81640625" bestFit="1" customWidth="1"/>
    <col min="20" max="20" width="11.81640625" customWidth="1"/>
    <col min="22" max="22" width="5.1796875" customWidth="1"/>
    <col min="23" max="23" width="8.453125" customWidth="1"/>
    <col min="24" max="24" width="7.81640625" bestFit="1" customWidth="1"/>
    <col min="25" max="25" width="4.54296875" customWidth="1"/>
    <col min="26" max="26" width="29.453125" customWidth="1"/>
    <col min="27" max="27" width="10.26953125" customWidth="1"/>
    <col min="29" max="29" width="10" customWidth="1"/>
    <col min="31" max="31" width="6.81640625" customWidth="1"/>
    <col min="32" max="34" width="6.26953125" bestFit="1" customWidth="1"/>
    <col min="35" max="35" width="7.81640625" bestFit="1" customWidth="1"/>
    <col min="36" max="36" width="5" customWidth="1"/>
    <col min="37" max="37" width="27.7265625" customWidth="1"/>
    <col min="38" max="38" width="9.81640625" customWidth="1"/>
    <col min="39" max="39" width="10.26953125" bestFit="1" customWidth="1"/>
    <col min="41" max="41" width="11.7265625" customWidth="1"/>
  </cols>
  <sheetData>
    <row r="1" spans="1:40" x14ac:dyDescent="0.35">
      <c r="A1" t="s">
        <v>112</v>
      </c>
      <c r="H1" s="7"/>
      <c r="I1" s="7"/>
    </row>
    <row r="2" spans="1:40" x14ac:dyDescent="0.35">
      <c r="H2" s="7"/>
      <c r="I2" s="7"/>
    </row>
    <row r="3" spans="1:40" x14ac:dyDescent="0.35">
      <c r="B3" s="2" t="s">
        <v>119</v>
      </c>
      <c r="C3" s="34">
        <v>1000000</v>
      </c>
      <c r="H3" s="7"/>
    </row>
    <row r="4" spans="1:40" x14ac:dyDescent="0.35">
      <c r="H4" s="7"/>
    </row>
    <row r="5" spans="1:40" x14ac:dyDescent="0.35">
      <c r="A5" s="2"/>
      <c r="B5" s="2" t="s">
        <v>73</v>
      </c>
      <c r="C5" s="2" t="s">
        <v>116</v>
      </c>
      <c r="H5" s="7"/>
    </row>
    <row r="6" spans="1:40" x14ac:dyDescent="0.35">
      <c r="A6" s="2" t="s">
        <v>117</v>
      </c>
      <c r="B6" s="40">
        <v>0.82050000000000001</v>
      </c>
      <c r="C6" s="40">
        <v>0.17949999999999999</v>
      </c>
      <c r="D6" s="64">
        <f>SUM(B6:C6)</f>
        <v>1</v>
      </c>
      <c r="H6" s="7"/>
    </row>
    <row r="7" spans="1:40" x14ac:dyDescent="0.35">
      <c r="A7" s="2" t="s">
        <v>118</v>
      </c>
      <c r="B7" s="34">
        <f>C3*B6</f>
        <v>820500</v>
      </c>
      <c r="C7" s="34">
        <f>C3*C6</f>
        <v>179500</v>
      </c>
      <c r="D7" s="60">
        <f>SUM(B7:C7)</f>
        <v>1000000</v>
      </c>
      <c r="H7" s="7"/>
    </row>
    <row r="8" spans="1:40" ht="29" x14ac:dyDescent="0.35">
      <c r="A8" s="1" t="s">
        <v>120</v>
      </c>
      <c r="B8" s="3">
        <f>B7/C13</f>
        <v>32553.064868081732</v>
      </c>
      <c r="C8" s="3">
        <f>C7/D13</f>
        <v>298.47023611572996</v>
      </c>
      <c r="H8" s="7"/>
    </row>
    <row r="9" spans="1:40" x14ac:dyDescent="0.35">
      <c r="B9" s="62"/>
      <c r="C9" s="63"/>
      <c r="E9" s="61"/>
      <c r="H9" s="7"/>
      <c r="I9" s="7"/>
      <c r="J9" s="62"/>
      <c r="K9" s="63"/>
      <c r="M9" s="61"/>
    </row>
    <row r="10" spans="1:40" x14ac:dyDescent="0.35">
      <c r="H10" s="7"/>
      <c r="I10" s="7"/>
    </row>
    <row r="11" spans="1:40" x14ac:dyDescent="0.35">
      <c r="A11" t="s">
        <v>30</v>
      </c>
      <c r="D11" t="s">
        <v>31</v>
      </c>
      <c r="H11" s="22">
        <v>0.01</v>
      </c>
    </row>
    <row r="12" spans="1:40" ht="75" customHeight="1" x14ac:dyDescent="0.35">
      <c r="A12" s="2" t="s">
        <v>4</v>
      </c>
      <c r="B12" s="1" t="s">
        <v>43</v>
      </c>
      <c r="C12" s="1" t="s">
        <v>39</v>
      </c>
      <c r="D12" s="1" t="s">
        <v>40</v>
      </c>
      <c r="E12" s="1" t="s">
        <v>113</v>
      </c>
      <c r="F12" s="1" t="s">
        <v>121</v>
      </c>
      <c r="G12" s="1" t="s">
        <v>114</v>
      </c>
      <c r="H12" s="1" t="s">
        <v>46</v>
      </c>
      <c r="I12" s="1" t="s">
        <v>47</v>
      </c>
      <c r="J12" s="1" t="s">
        <v>48</v>
      </c>
      <c r="K12" s="2" t="s">
        <v>0</v>
      </c>
      <c r="L12" s="2" t="s">
        <v>1</v>
      </c>
      <c r="M12" s="2" t="s">
        <v>2</v>
      </c>
      <c r="P12" t="s">
        <v>27</v>
      </c>
      <c r="R12" s="69" t="s">
        <v>17</v>
      </c>
      <c r="S12" s="69"/>
      <c r="T12" s="69"/>
      <c r="U12" s="69"/>
      <c r="X12" t="s">
        <v>27</v>
      </c>
      <c r="Z12" s="69" t="s">
        <v>38</v>
      </c>
      <c r="AA12" s="69"/>
      <c r="AB12" s="69"/>
      <c r="AC12" s="69"/>
      <c r="AI12" t="s">
        <v>27</v>
      </c>
      <c r="AK12" s="69" t="s">
        <v>60</v>
      </c>
      <c r="AL12" s="69"/>
      <c r="AM12" s="69"/>
      <c r="AN12" s="69"/>
    </row>
    <row r="13" spans="1:40" x14ac:dyDescent="0.35">
      <c r="A13" s="9">
        <v>43621</v>
      </c>
      <c r="B13" s="10">
        <f>Расчеты!G17/360</f>
        <v>2.1888888888888888E-2</v>
      </c>
      <c r="C13" s="34">
        <f>SNGS!C4</f>
        <v>25.204999999999998</v>
      </c>
      <c r="D13" s="34">
        <f>'FXGD ETF'!C4</f>
        <v>601.4</v>
      </c>
      <c r="E13" s="11">
        <v>1000000</v>
      </c>
      <c r="F13" s="2"/>
      <c r="G13" s="2"/>
      <c r="H13" s="34">
        <v>2701.84</v>
      </c>
      <c r="I13" s="2"/>
      <c r="J13" s="2"/>
      <c r="K13" s="2"/>
      <c r="L13" s="2"/>
      <c r="M13" s="2"/>
      <c r="P13" s="35">
        <v>0.01</v>
      </c>
      <c r="R13" s="6"/>
      <c r="S13" s="6"/>
      <c r="T13" s="6"/>
      <c r="U13" s="6"/>
      <c r="Z13" s="6"/>
      <c r="AA13" s="6"/>
      <c r="AB13" s="6"/>
      <c r="AC13" s="6"/>
      <c r="AI13" s="22">
        <v>0.01</v>
      </c>
      <c r="AK13" s="6"/>
      <c r="AL13" s="6"/>
      <c r="AM13" s="6"/>
      <c r="AN13" s="6"/>
    </row>
    <row r="14" spans="1:40" x14ac:dyDescent="0.35">
      <c r="A14" s="9">
        <v>43622</v>
      </c>
      <c r="B14" s="10">
        <f>Расчеты!G18/360</f>
        <v>2.1972222222222223E-2</v>
      </c>
      <c r="C14" s="34">
        <f>SNGS!C5</f>
        <v>25.26</v>
      </c>
      <c r="D14" s="34">
        <f>'FXGD ETF'!C5</f>
        <v>604</v>
      </c>
      <c r="E14" s="34">
        <f>$B$8*C14+$C$8*D14</f>
        <v>1002566.4411816455</v>
      </c>
      <c r="F14" s="3">
        <f>(E14/E13-1)*100</f>
        <v>0.25664411816455068</v>
      </c>
      <c r="G14" s="3">
        <f>F14-B14</f>
        <v>0.23467189594232846</v>
      </c>
      <c r="H14" s="34">
        <v>2728.25</v>
      </c>
      <c r="I14" s="3">
        <f>(H14/H13-1)*100</f>
        <v>0.97748201225831277</v>
      </c>
      <c r="J14" s="3">
        <f>I14-B14</f>
        <v>0.9555097900360906</v>
      </c>
      <c r="K14" s="3">
        <f>G14^2</f>
        <v>5.5070898745167032E-2</v>
      </c>
      <c r="L14" s="3">
        <f>J14^2</f>
        <v>0.91299895885481397</v>
      </c>
      <c r="M14" s="3">
        <f>G14*J14</f>
        <v>0.22423129401922556</v>
      </c>
      <c r="O14" s="8">
        <v>-10.419539338162942</v>
      </c>
      <c r="P14" s="26">
        <f>O14*$P$13</f>
        <v>-0.10419539338162942</v>
      </c>
      <c r="R14" s="12" t="s">
        <v>6</v>
      </c>
      <c r="S14" s="12">
        <v>250</v>
      </c>
      <c r="T14" s="12"/>
      <c r="U14" s="12"/>
      <c r="X14" s="7">
        <v>-0.10419539338162942</v>
      </c>
      <c r="Z14" s="12" t="s">
        <v>6</v>
      </c>
      <c r="AA14" s="12">
        <f>COUNT(X14:X135)</f>
        <v>122</v>
      </c>
      <c r="AB14" s="12"/>
      <c r="AC14" s="12"/>
      <c r="AF14" s="8">
        <v>-10.419539338162942</v>
      </c>
      <c r="AG14" s="8">
        <f>IF(AF14&lt;0,AF14,AF14*(-1))</f>
        <v>-10.419539338162942</v>
      </c>
      <c r="AH14" s="8">
        <v>-12.867973965630309</v>
      </c>
      <c r="AI14" s="7">
        <f>AH14*$AI$13</f>
        <v>-0.12867973965630308</v>
      </c>
      <c r="AK14" s="12" t="s">
        <v>6</v>
      </c>
      <c r="AL14" s="12">
        <v>250</v>
      </c>
      <c r="AM14" s="12"/>
      <c r="AN14" s="12"/>
    </row>
    <row r="15" spans="1:40" x14ac:dyDescent="0.35">
      <c r="A15" s="9">
        <v>43623</v>
      </c>
      <c r="B15" s="10">
        <f>Расчеты!G19/360</f>
        <v>2.2027777777777778E-2</v>
      </c>
      <c r="C15" s="34">
        <f>SNGS!C6</f>
        <v>25.2</v>
      </c>
      <c r="D15" s="34">
        <f>'FXGD ETF'!C6</f>
        <v>604.20000000000005</v>
      </c>
      <c r="E15" s="34">
        <f t="shared" ref="E15:E78" si="0">$B$8*C15+$C$8*D15</f>
        <v>1000672.9513367837</v>
      </c>
      <c r="F15" s="3">
        <f t="shared" ref="F15:F78" si="1">(E15/E14-1)*100</f>
        <v>-0.18886427543196582</v>
      </c>
      <c r="G15" s="3">
        <f t="shared" ref="G15:G78" si="2">F15-B15</f>
        <v>-0.21089205320974361</v>
      </c>
      <c r="H15" s="34">
        <v>2729.61</v>
      </c>
      <c r="I15" s="3">
        <f t="shared" ref="I15:I78" si="3">(H15/H14-1)*100</f>
        <v>4.9848804178509454E-2</v>
      </c>
      <c r="J15" s="3">
        <f t="shared" ref="J15:J78" si="4">I15-B15</f>
        <v>2.7821026400731676E-2</v>
      </c>
      <c r="K15" s="3">
        <f>G15^2</f>
        <v>4.4475458107021332E-2</v>
      </c>
      <c r="L15" s="3">
        <f t="shared" ref="L15:L78" si="5">J15^2</f>
        <v>7.740095099902089E-4</v>
      </c>
      <c r="M15" s="3">
        <f t="shared" ref="M15:M78" si="6">G15*J15</f>
        <v>-5.8672333800527865E-3</v>
      </c>
      <c r="O15" s="8">
        <v>-8.233843155733922</v>
      </c>
      <c r="P15" s="26">
        <f t="shared" ref="P15:P78" si="7">O15*$P$13</f>
        <v>-8.233843155733922E-2</v>
      </c>
      <c r="R15" t="s">
        <v>18</v>
      </c>
      <c r="S15" s="13">
        <f>AVERAGE(P14:P263)</f>
        <v>2.0618379633476165E-3</v>
      </c>
      <c r="X15" s="7">
        <v>-8.233843155733922E-2</v>
      </c>
      <c r="Z15" t="s">
        <v>18</v>
      </c>
      <c r="AA15" s="13">
        <f>AVERAGE(X14:X135)</f>
        <v>-1.4903316146687811E-2</v>
      </c>
      <c r="AF15" s="8">
        <v>-8.233843155733922</v>
      </c>
      <c r="AG15" s="8">
        <f t="shared" ref="AG15:AG78" si="8">IF(AF15&lt;0,AF15,AF15*(-1))</f>
        <v>-8.233843155733922</v>
      </c>
      <c r="AH15" s="8">
        <v>-10.419539338162942</v>
      </c>
      <c r="AI15" s="7">
        <f t="shared" ref="AI15:AI78" si="9">AH15*$AI$13</f>
        <v>-0.10419539338162942</v>
      </c>
      <c r="AK15" t="s">
        <v>18</v>
      </c>
      <c r="AL15" s="13">
        <f>AVERAGE(AI14:AI263)</f>
        <v>-1.6607516247461575E-2</v>
      </c>
    </row>
    <row r="16" spans="1:40" ht="15" thickBot="1" x14ac:dyDescent="0.4">
      <c r="A16" s="9">
        <v>43626</v>
      </c>
      <c r="B16" s="10">
        <f>Расчеты!G20/360</f>
        <v>2.2055555555555557E-2</v>
      </c>
      <c r="C16" s="34">
        <f>SNGS!C7</f>
        <v>25.08</v>
      </c>
      <c r="D16" s="34">
        <f>'FXGD ETF'!C7</f>
        <v>595.20000000000005</v>
      </c>
      <c r="E16" s="34">
        <f t="shared" si="0"/>
        <v>994080.35142757231</v>
      </c>
      <c r="F16" s="3">
        <f t="shared" si="1"/>
        <v>-0.6588166393829753</v>
      </c>
      <c r="G16" s="3">
        <f t="shared" si="2"/>
        <v>-0.68087219493853091</v>
      </c>
      <c r="H16" s="34">
        <v>2742.59</v>
      </c>
      <c r="I16" s="3">
        <f t="shared" si="3"/>
        <v>0.47552580771612618</v>
      </c>
      <c r="J16" s="3">
        <f t="shared" si="4"/>
        <v>0.45347025216057063</v>
      </c>
      <c r="K16" s="3">
        <f t="shared" ref="K16:K79" si="10">G16^2</f>
        <v>0.46358694584041282</v>
      </c>
      <c r="L16" s="3">
        <f t="shared" si="5"/>
        <v>0.20563526959457151</v>
      </c>
      <c r="M16" s="3">
        <f t="shared" si="6"/>
        <v>-0.30875528592789681</v>
      </c>
      <c r="O16" s="8">
        <v>-5.40723245251018</v>
      </c>
      <c r="P16" s="26">
        <f t="shared" si="7"/>
        <v>-5.40723245251018E-2</v>
      </c>
      <c r="R16" s="14" t="s">
        <v>19</v>
      </c>
      <c r="S16" s="15">
        <f>_xlfn.STDEV.S(P14:P263)</f>
        <v>2.5616864717471606E-2</v>
      </c>
      <c r="T16" s="16">
        <f>S16*E263</f>
        <v>39555.713865616555</v>
      </c>
      <c r="U16" s="16" t="s">
        <v>33</v>
      </c>
      <c r="X16" s="7">
        <v>-5.40723245251018E-2</v>
      </c>
      <c r="Z16" s="14" t="s">
        <v>19</v>
      </c>
      <c r="AA16" s="15">
        <f>_xlfn.STDEV.S(X14:X134)</f>
        <v>1.6155344486977745E-2</v>
      </c>
      <c r="AB16" s="16">
        <f>AA16*E263</f>
        <v>24945.917112624338</v>
      </c>
      <c r="AC16" s="16" t="s">
        <v>33</v>
      </c>
      <c r="AF16" s="8">
        <v>-5.40723245251018</v>
      </c>
      <c r="AG16" s="8">
        <f t="shared" si="8"/>
        <v>-5.40723245251018</v>
      </c>
      <c r="AH16" s="8">
        <v>-9.9348975168008771</v>
      </c>
      <c r="AI16" s="7">
        <f t="shared" si="9"/>
        <v>-9.934897516800878E-2</v>
      </c>
      <c r="AK16" s="14" t="s">
        <v>19</v>
      </c>
      <c r="AL16" s="15">
        <f>_xlfn.STDEV.S(AI14:AI263)</f>
        <v>1.9585064252278919E-2</v>
      </c>
      <c r="AM16" s="16">
        <f>AL16*E263</f>
        <v>30241.842869806267</v>
      </c>
      <c r="AN16" s="16" t="s">
        <v>33</v>
      </c>
    </row>
    <row r="17" spans="1:43" x14ac:dyDescent="0.35">
      <c r="A17" s="9">
        <v>43627</v>
      </c>
      <c r="B17" s="10">
        <f>Расчеты!G21/360</f>
        <v>2.1833333333333333E-2</v>
      </c>
      <c r="C17" s="34">
        <f>SNGS!C8</f>
        <v>25.39</v>
      </c>
      <c r="D17" s="34">
        <f>'FXGD ETF'!C8</f>
        <v>592.20000000000005</v>
      </c>
      <c r="E17" s="34">
        <f t="shared" si="0"/>
        <v>1003276.3908283304</v>
      </c>
      <c r="F17" s="3">
        <f t="shared" si="1"/>
        <v>0.92508008910465733</v>
      </c>
      <c r="G17" s="3">
        <f t="shared" si="2"/>
        <v>0.90324675577132396</v>
      </c>
      <c r="H17" s="34">
        <v>2751.75</v>
      </c>
      <c r="I17" s="3">
        <f t="shared" si="3"/>
        <v>0.33399086265171185</v>
      </c>
      <c r="J17" s="3">
        <f t="shared" si="4"/>
        <v>0.31215752931837853</v>
      </c>
      <c r="K17" s="3">
        <f t="shared" si="10"/>
        <v>0.81585470181142172</v>
      </c>
      <c r="L17" s="3">
        <f t="shared" si="5"/>
        <v>9.7442323110154355E-2</v>
      </c>
      <c r="M17" s="3">
        <f t="shared" si="6"/>
        <v>0.28195527564641737</v>
      </c>
      <c r="O17" s="8">
        <v>-5.4062590430476014</v>
      </c>
      <c r="P17" s="26">
        <f t="shared" si="7"/>
        <v>-5.4062590430476017E-2</v>
      </c>
      <c r="X17" s="7">
        <v>-5.4062590430476017E-2</v>
      </c>
      <c r="AF17" s="8">
        <v>-5.4062590430476014</v>
      </c>
      <c r="AG17" s="8">
        <f t="shared" si="8"/>
        <v>-5.4062590430476014</v>
      </c>
      <c r="AH17" s="8">
        <v>-8.233843155733922</v>
      </c>
      <c r="AI17" s="7">
        <f t="shared" si="9"/>
        <v>-8.233843155733922E-2</v>
      </c>
    </row>
    <row r="18" spans="1:43" x14ac:dyDescent="0.35">
      <c r="A18" s="9">
        <v>43629</v>
      </c>
      <c r="B18" s="10">
        <f>Расчеты!G22/360</f>
        <v>2.1722222222222223E-2</v>
      </c>
      <c r="C18" s="34">
        <f>SNGS!C9</f>
        <v>25.08</v>
      </c>
      <c r="D18" s="34">
        <f>'FXGD ETF'!C9</f>
        <v>599</v>
      </c>
      <c r="E18" s="34">
        <f t="shared" si="0"/>
        <v>995214.53832481208</v>
      </c>
      <c r="F18" s="3">
        <f t="shared" si="1"/>
        <v>-0.8035524983162734</v>
      </c>
      <c r="G18" s="3">
        <f t="shared" si="2"/>
        <v>-0.8252747205384956</v>
      </c>
      <c r="H18" s="34">
        <v>2758.36</v>
      </c>
      <c r="I18" s="3">
        <f t="shared" si="3"/>
        <v>0.24021077496139132</v>
      </c>
      <c r="J18" s="3">
        <f t="shared" si="4"/>
        <v>0.21848855273916909</v>
      </c>
      <c r="K18" s="3">
        <f t="shared" si="10"/>
        <v>0.681078364359892</v>
      </c>
      <c r="L18" s="3">
        <f t="shared" si="5"/>
        <v>4.773724767805667E-2</v>
      </c>
      <c r="M18" s="3">
        <f t="shared" si="6"/>
        <v>-0.18031307930267812</v>
      </c>
      <c r="O18" s="8">
        <v>-4.7072762696954262</v>
      </c>
      <c r="P18" s="26">
        <f t="shared" si="7"/>
        <v>-4.7072762696954262E-2</v>
      </c>
      <c r="R18" s="12" t="s">
        <v>20</v>
      </c>
      <c r="S18" s="17">
        <v>0.05</v>
      </c>
      <c r="T18" s="12"/>
      <c r="U18" s="12"/>
      <c r="X18" s="7">
        <v>-4.7072762696954262E-2</v>
      </c>
      <c r="Z18" s="12" t="s">
        <v>20</v>
      </c>
      <c r="AA18" s="17">
        <v>0.05</v>
      </c>
      <c r="AB18" s="12"/>
      <c r="AC18" s="12"/>
      <c r="AF18" s="8">
        <v>-4.7072762696954262</v>
      </c>
      <c r="AG18" s="8">
        <f t="shared" si="8"/>
        <v>-4.7072762696954262</v>
      </c>
      <c r="AH18" s="8">
        <v>-8.2065879649632976</v>
      </c>
      <c r="AI18" s="7">
        <f t="shared" si="9"/>
        <v>-8.2065879649632981E-2</v>
      </c>
      <c r="AK18" s="12" t="s">
        <v>20</v>
      </c>
      <c r="AL18" s="17">
        <v>0.05</v>
      </c>
      <c r="AM18" s="12"/>
      <c r="AN18" s="12"/>
    </row>
    <row r="19" spans="1:43" ht="15" thickBot="1" x14ac:dyDescent="0.4">
      <c r="A19" s="9">
        <v>43630</v>
      </c>
      <c r="B19" s="10">
        <f>Расчеты!G23/360</f>
        <v>2.1694444444444443E-2</v>
      </c>
      <c r="C19" s="34">
        <f>SNGS!C10</f>
        <v>25.175000000000001</v>
      </c>
      <c r="D19" s="34">
        <f>'FXGD ETF'!C10</f>
        <v>603</v>
      </c>
      <c r="E19" s="34">
        <f t="shared" si="0"/>
        <v>999500.96043174283</v>
      </c>
      <c r="F19" s="3">
        <f t="shared" si="1"/>
        <v>0.43070332494798969</v>
      </c>
      <c r="G19" s="3">
        <f t="shared" si="2"/>
        <v>0.40900888050354522</v>
      </c>
      <c r="H19" s="34">
        <v>2739.28</v>
      </c>
      <c r="I19" s="3">
        <f t="shared" si="3"/>
        <v>-0.69171536710218584</v>
      </c>
      <c r="J19" s="3">
        <f t="shared" si="4"/>
        <v>-0.7134098115466303</v>
      </c>
      <c r="K19" s="3">
        <f t="shared" si="10"/>
        <v>0.16728826433076333</v>
      </c>
      <c r="L19" s="3">
        <f t="shared" si="5"/>
        <v>0.50895355921099861</v>
      </c>
      <c r="M19" s="3">
        <f t="shared" si="6"/>
        <v>-0.29179094836093245</v>
      </c>
      <c r="O19" s="8">
        <v>-4.5025307046704484</v>
      </c>
      <c r="P19" s="26">
        <f t="shared" si="7"/>
        <v>-4.5025307046704481E-2</v>
      </c>
      <c r="R19" s="14" t="s">
        <v>28</v>
      </c>
      <c r="S19" s="18">
        <f>_xlfn.NORM.INV(S18,S15,S16)</f>
        <v>-4.0074154878310772E-2</v>
      </c>
      <c r="T19" s="16">
        <f>S19*E263</f>
        <v>-61879.618027249307</v>
      </c>
      <c r="U19" s="16" t="s">
        <v>33</v>
      </c>
      <c r="X19" s="25">
        <v>-4.5025307046704481E-2</v>
      </c>
      <c r="Z19" s="14" t="s">
        <v>28</v>
      </c>
      <c r="AA19" s="18">
        <f>_xlfn.NORM.INV(AA18,AA15,AA16)</f>
        <v>-4.1476493120743634E-2</v>
      </c>
      <c r="AB19" s="16">
        <f>AA19*E263</f>
        <v>-64045.007542018968</v>
      </c>
      <c r="AC19" s="16" t="s">
        <v>33</v>
      </c>
      <c r="AF19" s="8">
        <v>-4.5025307046704484</v>
      </c>
      <c r="AG19" s="8">
        <f t="shared" si="8"/>
        <v>-4.5025307046704484</v>
      </c>
      <c r="AH19" s="8">
        <v>-7.3959497707566602</v>
      </c>
      <c r="AI19" s="7">
        <f t="shared" si="9"/>
        <v>-7.3959497707566602E-2</v>
      </c>
      <c r="AK19" s="14" t="s">
        <v>28</v>
      </c>
      <c r="AL19" s="18">
        <f>_xlfn.NORM.INV(AL18,AL15,AL16)</f>
        <v>-4.8822080216900189E-2</v>
      </c>
      <c r="AM19" s="16">
        <f>AL19*E263</f>
        <v>-75387.53304446119</v>
      </c>
      <c r="AN19" s="16" t="s">
        <v>33</v>
      </c>
    </row>
    <row r="20" spans="1:43" x14ac:dyDescent="0.35">
      <c r="A20" s="9">
        <v>43633</v>
      </c>
      <c r="B20" s="10">
        <f>Расчеты!G24/360</f>
        <v>2.1388888888888888E-2</v>
      </c>
      <c r="C20" s="34">
        <f>SNGS!C11</f>
        <v>25.15</v>
      </c>
      <c r="D20" s="34">
        <f>'FXGD ETF'!C11</f>
        <v>595.79999999999995</v>
      </c>
      <c r="E20" s="34">
        <f t="shared" si="0"/>
        <v>996538.1481100074</v>
      </c>
      <c r="F20" s="3">
        <f t="shared" si="1"/>
        <v>-0.29642916205459002</v>
      </c>
      <c r="G20" s="3">
        <f t="shared" si="2"/>
        <v>-0.31781805094347892</v>
      </c>
      <c r="H20" s="34">
        <v>2734.31</v>
      </c>
      <c r="I20" s="3">
        <f t="shared" si="3"/>
        <v>-0.18143453754272398</v>
      </c>
      <c r="J20" s="3">
        <f t="shared" si="4"/>
        <v>-0.20282342643161289</v>
      </c>
      <c r="K20" s="3">
        <f t="shared" si="10"/>
        <v>0.10100831350551176</v>
      </c>
      <c r="L20" s="3">
        <f t="shared" si="5"/>
        <v>4.1137342309459882E-2</v>
      </c>
      <c r="M20" s="3">
        <f t="shared" si="6"/>
        <v>6.4460946074173298E-2</v>
      </c>
      <c r="O20" s="8">
        <v>-4.4211951249320975</v>
      </c>
      <c r="P20" s="26">
        <f t="shared" si="7"/>
        <v>-4.4211951249320973E-2</v>
      </c>
      <c r="R20" s="23" t="s">
        <v>136</v>
      </c>
      <c r="S20" s="24"/>
      <c r="T20" s="24"/>
      <c r="U20" s="24"/>
      <c r="X20" s="36">
        <v>-4.4211951249320973E-2</v>
      </c>
      <c r="Z20" s="23" t="s">
        <v>139</v>
      </c>
      <c r="AA20" s="24"/>
      <c r="AB20" s="24"/>
      <c r="AC20" s="24"/>
      <c r="AF20" s="8">
        <v>-4.4211951249320975</v>
      </c>
      <c r="AG20" s="8">
        <f t="shared" si="8"/>
        <v>-4.4211951249320975</v>
      </c>
      <c r="AH20" s="8">
        <v>-6.9332560638972751</v>
      </c>
      <c r="AI20" s="7">
        <f t="shared" si="9"/>
        <v>-6.9332560638972751E-2</v>
      </c>
      <c r="AK20" s="23" t="s">
        <v>142</v>
      </c>
      <c r="AL20" s="24"/>
      <c r="AM20" s="24"/>
      <c r="AN20" s="24"/>
    </row>
    <row r="21" spans="1:43" x14ac:dyDescent="0.35">
      <c r="A21" s="9">
        <v>43634</v>
      </c>
      <c r="B21" s="10">
        <f>Расчеты!G25/360</f>
        <v>2.1388888888888888E-2</v>
      </c>
      <c r="C21" s="34">
        <f>SNGS!C12</f>
        <v>25.28</v>
      </c>
      <c r="D21" s="34">
        <f>'FXGD ETF'!C12</f>
        <v>598.20000000000005</v>
      </c>
      <c r="E21" s="34">
        <f t="shared" si="0"/>
        <v>1001486.3751095359</v>
      </c>
      <c r="F21" s="3">
        <f t="shared" si="1"/>
        <v>0.49654165361487923</v>
      </c>
      <c r="G21" s="3">
        <f t="shared" si="2"/>
        <v>0.47515276472599033</v>
      </c>
      <c r="H21" s="34">
        <v>2761.69</v>
      </c>
      <c r="I21" s="3">
        <f t="shared" si="3"/>
        <v>1.0013495177942477</v>
      </c>
      <c r="J21" s="3">
        <f t="shared" si="4"/>
        <v>0.97996062890535884</v>
      </c>
      <c r="K21" s="3">
        <f t="shared" si="10"/>
        <v>0.22577014982675231</v>
      </c>
      <c r="L21" s="3">
        <f t="shared" si="5"/>
        <v>0.96032283420458642</v>
      </c>
      <c r="M21" s="3">
        <f t="shared" si="6"/>
        <v>0.46563100214700148</v>
      </c>
      <c r="O21" s="8">
        <v>-4.370353572398022</v>
      </c>
      <c r="P21" s="26">
        <f t="shared" si="7"/>
        <v>-4.3703535723980218E-2</v>
      </c>
      <c r="R21" s="12" t="s">
        <v>21</v>
      </c>
      <c r="S21" s="28">
        <f>_xlfn.FLOOR.MATH(S14*S18)</f>
        <v>12</v>
      </c>
      <c r="T21" s="12"/>
      <c r="U21" s="12"/>
      <c r="X21" s="7">
        <v>-4.3703535723980218E-2</v>
      </c>
      <c r="Z21" s="12" t="s">
        <v>21</v>
      </c>
      <c r="AA21" s="28">
        <f>_xlfn.FLOOR.MATH(AA14*AA18)</f>
        <v>6</v>
      </c>
      <c r="AB21" s="12"/>
      <c r="AC21" s="12"/>
      <c r="AF21" s="8">
        <v>-4.370353572398022</v>
      </c>
      <c r="AG21" s="8">
        <f t="shared" si="8"/>
        <v>-4.370353572398022</v>
      </c>
      <c r="AH21" s="8">
        <v>-6.8865923446056465</v>
      </c>
      <c r="AI21" s="7">
        <f t="shared" si="9"/>
        <v>-6.8865923446056465E-2</v>
      </c>
      <c r="AK21" s="12" t="s">
        <v>21</v>
      </c>
      <c r="AL21" s="28">
        <f>_xlfn.FLOOR.MATH(AL14*AL18)</f>
        <v>12</v>
      </c>
      <c r="AM21" s="12"/>
      <c r="AN21" s="12"/>
    </row>
    <row r="22" spans="1:43" x14ac:dyDescent="0.35">
      <c r="A22" s="9">
        <v>43635</v>
      </c>
      <c r="B22" s="10">
        <f>Расчеты!G26/360</f>
        <v>2.1277777777777777E-2</v>
      </c>
      <c r="C22" s="34">
        <f>SNGS!C13</f>
        <v>25.41</v>
      </c>
      <c r="D22" s="34">
        <f>'FXGD ETF'!C13</f>
        <v>595.20000000000005</v>
      </c>
      <c r="E22" s="34">
        <f t="shared" si="0"/>
        <v>1004822.8628340393</v>
      </c>
      <c r="F22" s="3">
        <f t="shared" si="1"/>
        <v>0.33315358125949324</v>
      </c>
      <c r="G22" s="3">
        <f t="shared" si="2"/>
        <v>0.31187580348171545</v>
      </c>
      <c r="H22" s="34">
        <v>2759.12</v>
      </c>
      <c r="I22" s="3">
        <f t="shared" si="3"/>
        <v>-9.305896027432814E-2</v>
      </c>
      <c r="J22" s="3">
        <f t="shared" si="4"/>
        <v>-0.11433673805210592</v>
      </c>
      <c r="K22" s="3">
        <f t="shared" si="10"/>
        <v>9.7266516797365601E-2</v>
      </c>
      <c r="L22" s="3">
        <f t="shared" si="5"/>
        <v>1.3072889668395886E-2</v>
      </c>
      <c r="M22" s="3">
        <f t="shared" si="6"/>
        <v>-3.5658862047478965E-2</v>
      </c>
      <c r="O22" s="8">
        <v>-4.0693003177730391</v>
      </c>
      <c r="P22" s="26">
        <f t="shared" si="7"/>
        <v>-4.0693003177730391E-2</v>
      </c>
      <c r="R22" t="s">
        <v>22</v>
      </c>
      <c r="S22" s="30">
        <f>_xlfn.CEILING.MATH(S14*S18)</f>
        <v>13</v>
      </c>
      <c r="X22" s="7">
        <v>-4.0693003177730391E-2</v>
      </c>
      <c r="Z22" t="s">
        <v>22</v>
      </c>
      <c r="AA22" s="30">
        <f>_xlfn.CEILING.MATH(AA14*AA18)</f>
        <v>7</v>
      </c>
      <c r="AF22" s="8">
        <v>-4.0693003177730391</v>
      </c>
      <c r="AG22" s="8">
        <f t="shared" si="8"/>
        <v>-4.0693003177730391</v>
      </c>
      <c r="AH22" s="8">
        <v>-6.5969687796476162</v>
      </c>
      <c r="AI22" s="7">
        <f t="shared" si="9"/>
        <v>-6.5969687796476162E-2</v>
      </c>
      <c r="AK22" t="s">
        <v>22</v>
      </c>
      <c r="AL22" s="30">
        <f>_xlfn.CEILING.MATH(AL14*AL18)</f>
        <v>13</v>
      </c>
    </row>
    <row r="23" spans="1:43" x14ac:dyDescent="0.35">
      <c r="A23" s="9">
        <v>43636</v>
      </c>
      <c r="B23" s="10">
        <f>Расчеты!G27/360</f>
        <v>2.1305555555555557E-2</v>
      </c>
      <c r="C23" s="34">
        <f>SNGS!C14</f>
        <v>25.94</v>
      </c>
      <c r="D23" s="34">
        <f>'FXGD ETF'!C14</f>
        <v>605</v>
      </c>
      <c r="E23" s="34">
        <f t="shared" si="0"/>
        <v>1025000.9955280568</v>
      </c>
      <c r="F23" s="3">
        <f t="shared" si="1"/>
        <v>2.0081283418558415</v>
      </c>
      <c r="G23" s="3">
        <f t="shared" si="2"/>
        <v>1.9868227863002861</v>
      </c>
      <c r="H23" s="34">
        <v>2780.2</v>
      </c>
      <c r="I23" s="3">
        <f t="shared" si="3"/>
        <v>0.76401171387978639</v>
      </c>
      <c r="J23" s="3">
        <f t="shared" si="4"/>
        <v>0.74270615832423081</v>
      </c>
      <c r="K23" s="3">
        <f t="shared" si="10"/>
        <v>3.9474647841620323</v>
      </c>
      <c r="L23" s="3">
        <f t="shared" si="5"/>
        <v>0.55161243761273737</v>
      </c>
      <c r="M23" s="3">
        <f t="shared" si="6"/>
        <v>1.4756255188841296</v>
      </c>
      <c r="O23" s="8">
        <v>-4.0381187026598209</v>
      </c>
      <c r="P23" s="26">
        <f t="shared" si="7"/>
        <v>-4.0381187026598209E-2</v>
      </c>
      <c r="R23" t="s">
        <v>23</v>
      </c>
      <c r="S23" s="27">
        <f>S14*S18</f>
        <v>12.5</v>
      </c>
      <c r="X23" s="7">
        <v>-4.0381187026598209E-2</v>
      </c>
      <c r="Z23" t="s">
        <v>23</v>
      </c>
      <c r="AA23" s="27">
        <f>AA14*AA18</f>
        <v>6.1000000000000005</v>
      </c>
      <c r="AF23" s="8">
        <v>-4.0381187026598209</v>
      </c>
      <c r="AG23" s="8">
        <f t="shared" si="8"/>
        <v>-4.0381187026598209</v>
      </c>
      <c r="AH23" s="8">
        <v>-6.5597785958777743</v>
      </c>
      <c r="AI23" s="7">
        <f t="shared" si="9"/>
        <v>-6.5597785958777743E-2</v>
      </c>
      <c r="AK23" t="s">
        <v>23</v>
      </c>
      <c r="AL23" s="27">
        <f>AL14*AL18</f>
        <v>12.5</v>
      </c>
    </row>
    <row r="24" spans="1:43" x14ac:dyDescent="0.35">
      <c r="A24" s="9">
        <v>43637</v>
      </c>
      <c r="B24" s="10">
        <f>Расчеты!G28/360</f>
        <v>2.1305555555555557E-2</v>
      </c>
      <c r="C24" s="34">
        <f>SNGS!C15</f>
        <v>25.824999999999999</v>
      </c>
      <c r="D24" s="34">
        <f>'FXGD ETF'!C15</f>
        <v>612.79999999999995</v>
      </c>
      <c r="E24" s="34">
        <f t="shared" si="0"/>
        <v>1023585.4609099301</v>
      </c>
      <c r="F24" s="3">
        <f t="shared" si="1"/>
        <v>-0.13810080422385074</v>
      </c>
      <c r="G24" s="3">
        <f t="shared" si="2"/>
        <v>-0.15940635977940629</v>
      </c>
      <c r="H24" s="34">
        <v>2761.23</v>
      </c>
      <c r="I24" s="3">
        <f t="shared" si="3"/>
        <v>-0.68232501258901346</v>
      </c>
      <c r="J24" s="3">
        <f t="shared" si="4"/>
        <v>-0.70363056814456904</v>
      </c>
      <c r="K24" s="3">
        <f t="shared" si="10"/>
        <v>2.5410387538121519E-2</v>
      </c>
      <c r="L24" s="3">
        <f t="shared" si="5"/>
        <v>0.49509597642744901</v>
      </c>
      <c r="M24" s="3">
        <f t="shared" si="6"/>
        <v>0.11216318749744122</v>
      </c>
      <c r="O24" s="8">
        <v>-3.8043931676818965</v>
      </c>
      <c r="P24" s="26">
        <f t="shared" si="7"/>
        <v>-3.8043931676818965E-2</v>
      </c>
      <c r="R24" t="s">
        <v>24</v>
      </c>
      <c r="S24" s="32">
        <f>SMALL(P14:P263,S21)</f>
        <v>-3.6373329282477829E-2</v>
      </c>
      <c r="T24" s="8">
        <f>E263*S24</f>
        <v>-56165.070210807295</v>
      </c>
      <c r="U24" t="s">
        <v>33</v>
      </c>
      <c r="X24" s="7">
        <v>-3.8043931676818965E-2</v>
      </c>
      <c r="Z24" t="s">
        <v>24</v>
      </c>
      <c r="AA24" s="32">
        <f>SMALL(X14:X134,AA21)</f>
        <v>-4.5025307046704481E-2</v>
      </c>
      <c r="AB24" s="8">
        <f>AA24*E263</f>
        <v>-69524.829907707666</v>
      </c>
      <c r="AC24" t="s">
        <v>33</v>
      </c>
      <c r="AF24" s="8">
        <v>-3.8043931676818965</v>
      </c>
      <c r="AG24" s="8">
        <f t="shared" si="8"/>
        <v>-3.8043931676818965</v>
      </c>
      <c r="AH24" s="8">
        <v>-6.5249629756165994</v>
      </c>
      <c r="AI24" s="7">
        <f t="shared" si="9"/>
        <v>-6.5249629756165994E-2</v>
      </c>
      <c r="AK24" t="s">
        <v>24</v>
      </c>
      <c r="AL24" s="32">
        <f>SMALL(AI14:AI263,AL21)</f>
        <v>-6.5099604981334824E-2</v>
      </c>
      <c r="AM24" s="8">
        <f>AL24*E263</f>
        <v>-100522.11212444214</v>
      </c>
      <c r="AN24" t="s">
        <v>33</v>
      </c>
    </row>
    <row r="25" spans="1:43" x14ac:dyDescent="0.35">
      <c r="A25" s="9">
        <v>43640</v>
      </c>
      <c r="B25" s="10">
        <f>Расчеты!G29/360</f>
        <v>2.1277777777777777E-2</v>
      </c>
      <c r="C25" s="34">
        <f>SNGS!C16</f>
        <v>26</v>
      </c>
      <c r="D25" s="34">
        <f>'FXGD ETF'!C16</f>
        <v>616</v>
      </c>
      <c r="E25" s="34">
        <f t="shared" si="0"/>
        <v>1030237.3520174148</v>
      </c>
      <c r="F25" s="3">
        <f t="shared" si="1"/>
        <v>0.64986182019148853</v>
      </c>
      <c r="G25" s="3">
        <f t="shared" si="2"/>
        <v>0.6285840424137108</v>
      </c>
      <c r="H25" s="34">
        <v>2762.65</v>
      </c>
      <c r="I25" s="3">
        <f t="shared" si="3"/>
        <v>5.1426357094475073E-2</v>
      </c>
      <c r="J25" s="3">
        <f t="shared" si="4"/>
        <v>3.0148579316697295E-2</v>
      </c>
      <c r="K25" s="3">
        <f t="shared" si="10"/>
        <v>0.39511789837716177</v>
      </c>
      <c r="L25" s="3">
        <f t="shared" si="5"/>
        <v>9.0893683481518795E-4</v>
      </c>
      <c r="M25" s="3">
        <f t="shared" si="6"/>
        <v>1.8950915859919978E-2</v>
      </c>
      <c r="O25" s="8">
        <v>-3.6373329282477829</v>
      </c>
      <c r="P25" s="25">
        <f t="shared" si="7"/>
        <v>-3.6373329282477829E-2</v>
      </c>
      <c r="R25" t="s">
        <v>25</v>
      </c>
      <c r="S25" s="31">
        <f>SMALL(P14:P263,S22)</f>
        <v>-3.5294637741495771E-2</v>
      </c>
      <c r="T25" s="8">
        <f>E263*S25</f>
        <v>-54499.432576579333</v>
      </c>
      <c r="U25" t="s">
        <v>33</v>
      </c>
      <c r="X25" s="7">
        <v>-3.6373329282477829E-2</v>
      </c>
      <c r="Z25" t="s">
        <v>25</v>
      </c>
      <c r="AA25" s="31">
        <f>SMALL(X14:X134,AA22)</f>
        <v>-4.4211951249320973E-2</v>
      </c>
      <c r="AB25" s="8">
        <f>E263*AA25</f>
        <v>-68268.904580893592</v>
      </c>
      <c r="AC25" t="s">
        <v>33</v>
      </c>
      <c r="AF25" s="8">
        <v>-3.6373329282477829</v>
      </c>
      <c r="AG25" s="8">
        <f t="shared" si="8"/>
        <v>-3.6373329282477829</v>
      </c>
      <c r="AH25" s="8">
        <v>-6.5099604981334824</v>
      </c>
      <c r="AI25" s="25">
        <f t="shared" si="9"/>
        <v>-6.5099604981334824E-2</v>
      </c>
      <c r="AK25" t="s">
        <v>25</v>
      </c>
      <c r="AL25" s="31">
        <f>SMALL(AI14:AI263,AL22)</f>
        <v>-6.1076585216505608E-2</v>
      </c>
      <c r="AM25" s="8">
        <f>E263*AL25</f>
        <v>-94310.055323253284</v>
      </c>
      <c r="AN25" t="s">
        <v>33</v>
      </c>
    </row>
    <row r="26" spans="1:43" ht="15" thickBot="1" x14ac:dyDescent="0.4">
      <c r="A26" s="9">
        <v>43641</v>
      </c>
      <c r="B26" s="10">
        <f>Расчеты!G30/360</f>
        <v>2.1472222222222222E-2</v>
      </c>
      <c r="C26" s="34">
        <f>SNGS!C17</f>
        <v>25.92</v>
      </c>
      <c r="D26" s="34">
        <f>'FXGD ETF'!C17</f>
        <v>621.6</v>
      </c>
      <c r="E26" s="34">
        <f t="shared" si="0"/>
        <v>1029304.5401502163</v>
      </c>
      <c r="F26" s="3">
        <f t="shared" si="1"/>
        <v>-9.0543394235498287E-2</v>
      </c>
      <c r="G26" s="3">
        <f t="shared" si="2"/>
        <v>-0.11201561645772051</v>
      </c>
      <c r="H26" s="34">
        <v>2753.96</v>
      </c>
      <c r="I26" s="3">
        <f t="shared" si="3"/>
        <v>-0.31455305594266791</v>
      </c>
      <c r="J26" s="3">
        <f t="shared" si="4"/>
        <v>-0.33602527816489014</v>
      </c>
      <c r="K26" s="3">
        <f t="shared" si="10"/>
        <v>1.2547498330403146E-2</v>
      </c>
      <c r="L26" s="3">
        <f t="shared" si="5"/>
        <v>0.11291298756579179</v>
      </c>
      <c r="M26" s="3">
        <f t="shared" si="6"/>
        <v>3.7640078679017183E-2</v>
      </c>
      <c r="O26" s="8">
        <v>-3.5294637741495771</v>
      </c>
      <c r="P26" s="36">
        <f t="shared" si="7"/>
        <v>-3.5294637741495771E-2</v>
      </c>
      <c r="R26" s="14" t="s">
        <v>32</v>
      </c>
      <c r="S26" s="18">
        <f>(S25-S24)*(S23-S21)/(S22-S21)+S24</f>
        <v>-3.58339835119868E-2</v>
      </c>
      <c r="T26" s="16">
        <f>E263*S26</f>
        <v>-55332.251393693317</v>
      </c>
      <c r="U26" s="16" t="s">
        <v>33</v>
      </c>
      <c r="X26" s="7">
        <v>-3.5294637741495771E-2</v>
      </c>
      <c r="Z26" s="14" t="s">
        <v>32</v>
      </c>
      <c r="AA26" s="18">
        <f>(AA25-AA24)*(AA23-AA21)/(AA22-AA21)+AA24</f>
        <v>-4.4943971466966132E-2</v>
      </c>
      <c r="AB26" s="16">
        <f>E263*AA26</f>
        <v>-69399.237375026263</v>
      </c>
      <c r="AC26" s="16" t="s">
        <v>33</v>
      </c>
      <c r="AF26" s="8">
        <v>-3.5294637741495771</v>
      </c>
      <c r="AG26" s="8">
        <f t="shared" si="8"/>
        <v>-3.5294637741495771</v>
      </c>
      <c r="AH26" s="8">
        <v>-6.1076585216505608</v>
      </c>
      <c r="AI26" s="36">
        <f t="shared" si="9"/>
        <v>-6.1076585216505608E-2</v>
      </c>
      <c r="AK26" s="14" t="s">
        <v>32</v>
      </c>
      <c r="AL26" s="18">
        <f>(AL25-AL24)*(AL23-AL21)/(AL22-AL21)+AL24</f>
        <v>-6.3088095098920216E-2</v>
      </c>
      <c r="AM26" s="16">
        <f>E263*AL26</f>
        <v>-97416.083723847711</v>
      </c>
      <c r="AN26" s="16" t="s">
        <v>33</v>
      </c>
    </row>
    <row r="27" spans="1:43" x14ac:dyDescent="0.35">
      <c r="A27" s="9">
        <v>43642</v>
      </c>
      <c r="B27" s="10">
        <f>Расчеты!G31/360</f>
        <v>2.1472222222222222E-2</v>
      </c>
      <c r="C27" s="34">
        <f>SNGS!C18</f>
        <v>26.285</v>
      </c>
      <c r="D27" s="34">
        <f>'FXGD ETF'!C18</f>
        <v>616</v>
      </c>
      <c r="E27" s="34">
        <f t="shared" si="0"/>
        <v>1039514.9755048179</v>
      </c>
      <c r="F27" s="3">
        <f t="shared" si="1"/>
        <v>0.99197418803880222</v>
      </c>
      <c r="G27" s="3">
        <f t="shared" si="2"/>
        <v>0.97050196581657999</v>
      </c>
      <c r="H27" s="34">
        <v>2775.14</v>
      </c>
      <c r="I27" s="3">
        <f t="shared" si="3"/>
        <v>0.7690743511161946</v>
      </c>
      <c r="J27" s="3">
        <f t="shared" si="4"/>
        <v>0.74760212889397237</v>
      </c>
      <c r="K27" s="3">
        <f t="shared" si="10"/>
        <v>0.94187406565384624</v>
      </c>
      <c r="L27" s="3">
        <f t="shared" si="5"/>
        <v>0.55890894312679973</v>
      </c>
      <c r="M27" s="3">
        <f t="shared" si="6"/>
        <v>0.72554933574026037</v>
      </c>
      <c r="O27" s="8">
        <v>-3.3416781141136886</v>
      </c>
      <c r="P27" s="26">
        <f t="shared" si="7"/>
        <v>-3.3416781141136886E-2</v>
      </c>
      <c r="R27" s="23" t="s">
        <v>137</v>
      </c>
      <c r="S27" s="24"/>
      <c r="T27" s="24"/>
      <c r="X27" s="7">
        <v>-3.3416781141136886E-2</v>
      </c>
      <c r="Z27" s="23" t="s">
        <v>140</v>
      </c>
      <c r="AA27" s="24"/>
      <c r="AB27" s="24"/>
      <c r="AF27" s="8">
        <v>-3.3416781141136886</v>
      </c>
      <c r="AG27" s="8">
        <f t="shared" si="8"/>
        <v>-3.3416781141136886</v>
      </c>
      <c r="AH27" s="8">
        <v>-6.0424315676265383</v>
      </c>
      <c r="AI27" s="7">
        <f t="shared" si="9"/>
        <v>-6.0424315676265383E-2</v>
      </c>
      <c r="AK27" s="23" t="s">
        <v>143</v>
      </c>
      <c r="AL27" s="24"/>
      <c r="AM27" s="24"/>
      <c r="AN27" s="24"/>
    </row>
    <row r="28" spans="1:43" ht="15" thickBot="1" x14ac:dyDescent="0.4">
      <c r="A28" s="9">
        <v>43643</v>
      </c>
      <c r="B28" s="10">
        <f>Расчеты!G32/360</f>
        <v>2.1416666666666667E-2</v>
      </c>
      <c r="C28" s="34">
        <f>SNGS!C19</f>
        <v>26.32</v>
      </c>
      <c r="D28" s="34">
        <f>'FXGD ETF'!C19</f>
        <v>613.20000000000005</v>
      </c>
      <c r="E28" s="34">
        <f t="shared" si="0"/>
        <v>1039818.6161140769</v>
      </c>
      <c r="F28" s="3">
        <f t="shared" si="1"/>
        <v>2.9209835010934881E-2</v>
      </c>
      <c r="G28" s="3">
        <f t="shared" si="2"/>
        <v>7.7931683442682143E-3</v>
      </c>
      <c r="H28" s="34">
        <v>2779.66</v>
      </c>
      <c r="I28" s="3">
        <f t="shared" si="3"/>
        <v>0.16287466578261967</v>
      </c>
      <c r="J28" s="3">
        <f t="shared" si="4"/>
        <v>0.141457999115953</v>
      </c>
      <c r="K28" s="3">
        <f t="shared" si="10"/>
        <v>6.0733472842104178E-5</v>
      </c>
      <c r="L28" s="3">
        <f t="shared" si="5"/>
        <v>2.0010365513888958E-2</v>
      </c>
      <c r="M28" s="3">
        <f t="shared" si="6"/>
        <v>1.1024060007539659E-3</v>
      </c>
      <c r="O28" s="8">
        <v>-3.3121921508376895</v>
      </c>
      <c r="P28" s="26">
        <f t="shared" si="7"/>
        <v>-3.3121921508376895E-2</v>
      </c>
      <c r="R28" s="19" t="s">
        <v>26</v>
      </c>
      <c r="S28" s="20">
        <f>AVERAGE(P14:P25)</f>
        <v>-5.2514478981260986E-2</v>
      </c>
      <c r="T28" s="21">
        <f>S28*E263</f>
        <v>-81089.068755862929</v>
      </c>
      <c r="U28" s="16" t="s">
        <v>33</v>
      </c>
      <c r="X28" s="7">
        <v>-3.3121921508376895E-2</v>
      </c>
      <c r="Z28" s="19" t="s">
        <v>26</v>
      </c>
      <c r="AA28" s="20">
        <f>AVERAGE(X14:X19)</f>
        <v>-6.4461134939700862E-2</v>
      </c>
      <c r="AB28" s="21">
        <f>AA28*E263</f>
        <v>-99536.232761093808</v>
      </c>
      <c r="AC28" s="16" t="s">
        <v>33</v>
      </c>
      <c r="AF28" s="8">
        <v>-3.3121921508376895</v>
      </c>
      <c r="AG28" s="8">
        <f t="shared" si="8"/>
        <v>-3.3121921508376895</v>
      </c>
      <c r="AH28" s="8">
        <v>-6.0387019223156368</v>
      </c>
      <c r="AI28" s="7">
        <f t="shared" si="9"/>
        <v>-6.0387019223156368E-2</v>
      </c>
      <c r="AK28" s="19" t="s">
        <v>26</v>
      </c>
      <c r="AL28" s="20">
        <f>AVERAGE(AI14:AI25)</f>
        <v>-8.0891925808188672E-2</v>
      </c>
      <c r="AM28" s="21">
        <f>AL28*E263</f>
        <v>-124907.47429856473</v>
      </c>
      <c r="AN28" s="16" t="s">
        <v>33</v>
      </c>
    </row>
    <row r="29" spans="1:43" x14ac:dyDescent="0.35">
      <c r="A29" s="9">
        <v>43644</v>
      </c>
      <c r="B29" s="10">
        <f>Расчеты!G33/360</f>
        <v>2.1444444444444443E-2</v>
      </c>
      <c r="C29" s="34">
        <f>SNGS!C20</f>
        <v>26.34</v>
      </c>
      <c r="D29" s="34">
        <f>'FXGD ETF'!C20</f>
        <v>617.4</v>
      </c>
      <c r="E29" s="34">
        <f t="shared" si="0"/>
        <v>1041723.2524031245</v>
      </c>
      <c r="F29" s="3">
        <f t="shared" si="1"/>
        <v>0.18317005096191163</v>
      </c>
      <c r="G29" s="3">
        <f t="shared" si="2"/>
        <v>0.1617256065174672</v>
      </c>
      <c r="H29" s="34">
        <v>2765.85</v>
      </c>
      <c r="I29" s="3">
        <f t="shared" si="3"/>
        <v>-0.49682335249634502</v>
      </c>
      <c r="J29" s="3">
        <f t="shared" si="4"/>
        <v>-0.5182677969407895</v>
      </c>
      <c r="K29" s="3">
        <f t="shared" si="10"/>
        <v>2.615517180344263E-2</v>
      </c>
      <c r="L29" s="3">
        <f t="shared" si="5"/>
        <v>0.26860150934585941</v>
      </c>
      <c r="M29" s="3">
        <f t="shared" si="6"/>
        <v>-8.3817173798720709E-2</v>
      </c>
      <c r="O29" s="8">
        <v>-3.2764279077605041</v>
      </c>
      <c r="P29" s="26">
        <f t="shared" si="7"/>
        <v>-3.2764279077605041E-2</v>
      </c>
      <c r="R29" s="24" t="s">
        <v>138</v>
      </c>
      <c r="S29" s="24"/>
      <c r="T29" s="24"/>
      <c r="U29" s="24"/>
      <c r="V29" s="24"/>
      <c r="X29" s="7">
        <v>-3.2764279077605041E-2</v>
      </c>
      <c r="Z29" s="24" t="s">
        <v>141</v>
      </c>
      <c r="AA29" s="24"/>
      <c r="AB29" s="24"/>
      <c r="AC29" s="24"/>
      <c r="AD29" s="24"/>
      <c r="AF29" s="8">
        <v>-3.2764279077605041</v>
      </c>
      <c r="AG29" s="8">
        <f t="shared" si="8"/>
        <v>-3.2764279077605041</v>
      </c>
      <c r="AH29" s="8">
        <v>-5.40723245251018</v>
      </c>
      <c r="AI29" s="7">
        <f t="shared" si="9"/>
        <v>-5.40723245251018E-2</v>
      </c>
      <c r="AK29" s="24" t="s">
        <v>144</v>
      </c>
      <c r="AL29" s="24"/>
      <c r="AM29" s="24"/>
      <c r="AN29" s="24"/>
      <c r="AO29" s="24"/>
      <c r="AP29" s="24"/>
      <c r="AQ29" s="24"/>
    </row>
    <row r="30" spans="1:43" x14ac:dyDescent="0.35">
      <c r="A30" s="9">
        <v>43647</v>
      </c>
      <c r="B30" s="10">
        <f>Расчеты!G34/360</f>
        <v>2.1333333333333333E-2</v>
      </c>
      <c r="C30" s="34">
        <f>SNGS!C21</f>
        <v>26.37</v>
      </c>
      <c r="D30" s="34">
        <f>'FXGD ETF'!C21</f>
        <v>606</v>
      </c>
      <c r="E30" s="34">
        <f t="shared" si="0"/>
        <v>1039297.2836574477</v>
      </c>
      <c r="F30" s="3">
        <f t="shared" si="1"/>
        <v>-0.23288034898716337</v>
      </c>
      <c r="G30" s="3">
        <f t="shared" si="2"/>
        <v>-0.25421368232049668</v>
      </c>
      <c r="H30" s="34">
        <v>2801.47</v>
      </c>
      <c r="I30" s="3">
        <f t="shared" si="3"/>
        <v>1.2878500280203209</v>
      </c>
      <c r="J30" s="3">
        <f t="shared" si="4"/>
        <v>1.2665166946869875</v>
      </c>
      <c r="K30" s="3">
        <f t="shared" si="10"/>
        <v>6.46245962789464E-2</v>
      </c>
      <c r="L30" s="3">
        <f t="shared" si="5"/>
        <v>1.6040645379208518</v>
      </c>
      <c r="M30" s="3">
        <f t="shared" si="6"/>
        <v>-0.3219658726767633</v>
      </c>
      <c r="O30" s="8">
        <v>-3.1652927607810022</v>
      </c>
      <c r="P30" s="26">
        <f t="shared" si="7"/>
        <v>-3.1652927607810022E-2</v>
      </c>
      <c r="X30" s="7">
        <v>-3.1652927607810022E-2</v>
      </c>
      <c r="AF30" s="8">
        <v>-3.1652927607810022</v>
      </c>
      <c r="AG30" s="8">
        <f t="shared" si="8"/>
        <v>-3.1652927607810022</v>
      </c>
      <c r="AH30" s="8">
        <v>-5.4062590430476014</v>
      </c>
      <c r="AI30" s="7">
        <f t="shared" si="9"/>
        <v>-5.4062590430476017E-2</v>
      </c>
    </row>
    <row r="31" spans="1:43" x14ac:dyDescent="0.35">
      <c r="A31" s="9">
        <v>43648</v>
      </c>
      <c r="B31" s="10">
        <f>Расчеты!G35/360</f>
        <v>2.1222222222222222E-2</v>
      </c>
      <c r="C31" s="34">
        <f>SNGS!C22</f>
        <v>26.734999999999999</v>
      </c>
      <c r="D31" s="34">
        <f>'FXGD ETF'!C22</f>
        <v>614.79999999999995</v>
      </c>
      <c r="E31" s="34">
        <f t="shared" si="0"/>
        <v>1053805.6904121158</v>
      </c>
      <c r="F31" s="3">
        <f t="shared" si="1"/>
        <v>1.395982360659187</v>
      </c>
      <c r="G31" s="3">
        <f t="shared" si="2"/>
        <v>1.3747601384369648</v>
      </c>
      <c r="H31" s="34">
        <v>2809.81</v>
      </c>
      <c r="I31" s="3">
        <f t="shared" si="3"/>
        <v>0.29770084991094237</v>
      </c>
      <c r="J31" s="3">
        <f t="shared" si="4"/>
        <v>0.27647862768872017</v>
      </c>
      <c r="K31" s="3">
        <f t="shared" si="10"/>
        <v>1.8899654382352225</v>
      </c>
      <c r="L31" s="3">
        <f t="shared" si="5"/>
        <v>7.6440431568637945E-2</v>
      </c>
      <c r="M31" s="3">
        <f t="shared" si="6"/>
        <v>0.380091796476207</v>
      </c>
      <c r="O31" s="8">
        <v>-2.9795319259829811</v>
      </c>
      <c r="P31" s="26">
        <f t="shared" si="7"/>
        <v>-2.9795319259829811E-2</v>
      </c>
      <c r="X31" s="7">
        <v>-2.9795319259829811E-2</v>
      </c>
      <c r="AF31" s="8">
        <v>-2.9795319259829811</v>
      </c>
      <c r="AG31" s="8">
        <f t="shared" si="8"/>
        <v>-2.9795319259829811</v>
      </c>
      <c r="AH31" s="8">
        <v>-5.0712251699767119</v>
      </c>
      <c r="AI31" s="7">
        <f t="shared" si="9"/>
        <v>-5.0712251699767119E-2</v>
      </c>
    </row>
    <row r="32" spans="1:43" x14ac:dyDescent="0.35">
      <c r="A32" s="9">
        <v>43649</v>
      </c>
      <c r="B32" s="10">
        <f>Расчеты!G36/360</f>
        <v>2.1111111111111112E-2</v>
      </c>
      <c r="C32" s="34">
        <f>SNGS!C23</f>
        <v>26.8</v>
      </c>
      <c r="D32" s="34">
        <f>'FXGD ETF'!C23</f>
        <v>621.6</v>
      </c>
      <c r="E32" s="34">
        <f t="shared" si="0"/>
        <v>1057951.2372341282</v>
      </c>
      <c r="F32" s="3">
        <f t="shared" si="1"/>
        <v>0.39338816061917914</v>
      </c>
      <c r="G32" s="3">
        <f t="shared" si="2"/>
        <v>0.372277049508068</v>
      </c>
      <c r="H32" s="34">
        <v>2823.95</v>
      </c>
      <c r="I32" s="3">
        <f t="shared" si="3"/>
        <v>0.50323687366760073</v>
      </c>
      <c r="J32" s="3">
        <f t="shared" si="4"/>
        <v>0.48212576255648959</v>
      </c>
      <c r="K32" s="3">
        <f t="shared" si="10"/>
        <v>0.1385902015904325</v>
      </c>
      <c r="L32" s="3">
        <f t="shared" si="5"/>
        <v>0.23244525092067658</v>
      </c>
      <c r="M32" s="3">
        <f t="shared" si="6"/>
        <v>0.17948435637635732</v>
      </c>
      <c r="O32" s="8">
        <v>-2.9218693696439146</v>
      </c>
      <c r="P32" s="26">
        <f t="shared" si="7"/>
        <v>-2.9218693696439146E-2</v>
      </c>
      <c r="X32" s="7">
        <v>-2.9218693696439146E-2</v>
      </c>
      <c r="AF32" s="8">
        <v>-2.9218693696439146</v>
      </c>
      <c r="AG32" s="8">
        <f t="shared" si="8"/>
        <v>-2.9218693696439146</v>
      </c>
      <c r="AH32" s="8">
        <v>-4.7853788692344468</v>
      </c>
      <c r="AI32" s="7">
        <f t="shared" si="9"/>
        <v>-4.7853788692344468E-2</v>
      </c>
    </row>
    <row r="33" spans="1:35" x14ac:dyDescent="0.35">
      <c r="A33" s="9">
        <v>43650</v>
      </c>
      <c r="B33" s="10">
        <f>Расчеты!G37/360</f>
        <v>2.0999999999999998E-2</v>
      </c>
      <c r="C33" s="34">
        <f>SNGS!C24</f>
        <v>26.85</v>
      </c>
      <c r="D33" s="34">
        <f>'FXGD ETF'!C24</f>
        <v>622.79999999999995</v>
      </c>
      <c r="E33" s="34">
        <f t="shared" si="0"/>
        <v>1059937.0547608712</v>
      </c>
      <c r="F33" s="3">
        <f t="shared" si="1"/>
        <v>0.18770406960670893</v>
      </c>
      <c r="G33" s="3">
        <f t="shared" si="2"/>
        <v>0.16670406960670894</v>
      </c>
      <c r="H33" s="34">
        <v>2842.78</v>
      </c>
      <c r="I33" s="3">
        <f t="shared" si="3"/>
        <v>0.66679650843677329</v>
      </c>
      <c r="J33" s="3">
        <f t="shared" si="4"/>
        <v>0.64579650843677328</v>
      </c>
      <c r="K33" s="3">
        <f t="shared" si="10"/>
        <v>2.7790246823438461E-2</v>
      </c>
      <c r="L33" s="3">
        <f t="shared" si="5"/>
        <v>0.41705313030912738</v>
      </c>
      <c r="M33" s="3">
        <f t="shared" si="6"/>
        <v>0.10765690609421345</v>
      </c>
      <c r="O33" s="8">
        <v>-2.8620699052122278</v>
      </c>
      <c r="P33" s="26">
        <f t="shared" si="7"/>
        <v>-2.8620699052122278E-2</v>
      </c>
      <c r="X33" s="7">
        <v>-2.8620699052122278E-2</v>
      </c>
      <c r="AF33" s="8">
        <v>-2.8620699052122278</v>
      </c>
      <c r="AG33" s="8">
        <f t="shared" si="8"/>
        <v>-2.8620699052122278</v>
      </c>
      <c r="AH33" s="8">
        <v>-4.7072762696954262</v>
      </c>
      <c r="AI33" s="7">
        <f t="shared" si="9"/>
        <v>-4.7072762696954262E-2</v>
      </c>
    </row>
    <row r="34" spans="1:35" x14ac:dyDescent="0.35">
      <c r="A34" s="9">
        <v>43651</v>
      </c>
      <c r="B34" s="10">
        <f>Расчеты!G38/360</f>
        <v>2.0999999999999998E-2</v>
      </c>
      <c r="C34" s="34">
        <f>SNGS!C25</f>
        <v>26.8</v>
      </c>
      <c r="D34" s="34">
        <f>'FXGD ETF'!C25</f>
        <v>619.4</v>
      </c>
      <c r="E34" s="34">
        <f t="shared" si="0"/>
        <v>1057294.6027146736</v>
      </c>
      <c r="F34" s="3">
        <f t="shared" si="1"/>
        <v>-0.24930273305652229</v>
      </c>
      <c r="G34" s="3">
        <f t="shared" si="2"/>
        <v>-0.2703027330565223</v>
      </c>
      <c r="H34" s="34">
        <v>2835.35</v>
      </c>
      <c r="I34" s="3">
        <f t="shared" si="3"/>
        <v>-0.26136387620570023</v>
      </c>
      <c r="J34" s="3">
        <f t="shared" si="4"/>
        <v>-0.28236387620570025</v>
      </c>
      <c r="K34" s="3">
        <f t="shared" si="10"/>
        <v>7.3063567497825554E-2</v>
      </c>
      <c r="L34" s="3">
        <f t="shared" si="5"/>
        <v>7.9729358585908017E-2</v>
      </c>
      <c r="M34" s="3">
        <f t="shared" si="6"/>
        <v>7.6323727454834303E-2</v>
      </c>
      <c r="O34" s="8">
        <v>-2.7418171283324133</v>
      </c>
      <c r="P34" s="26">
        <f t="shared" si="7"/>
        <v>-2.7418171283324133E-2</v>
      </c>
      <c r="X34" s="7">
        <v>-2.7418171283324133E-2</v>
      </c>
      <c r="AF34" s="8">
        <v>-2.7418171283324133</v>
      </c>
      <c r="AG34" s="8">
        <f t="shared" si="8"/>
        <v>-2.7418171283324133</v>
      </c>
      <c r="AH34" s="8">
        <v>-4.5025307046704484</v>
      </c>
      <c r="AI34" s="7">
        <f t="shared" si="9"/>
        <v>-4.5025307046704481E-2</v>
      </c>
    </row>
    <row r="35" spans="1:35" x14ac:dyDescent="0.35">
      <c r="A35" s="9">
        <v>43654</v>
      </c>
      <c r="B35" s="10">
        <f>Расчеты!G39/360</f>
        <v>2.1055555555555557E-2</v>
      </c>
      <c r="C35" s="34">
        <f>SNGS!C26</f>
        <v>26.92</v>
      </c>
      <c r="D35" s="34">
        <f>'FXGD ETF'!C26</f>
        <v>616</v>
      </c>
      <c r="E35" s="34">
        <f t="shared" si="0"/>
        <v>1060186.1716960499</v>
      </c>
      <c r="F35" s="3">
        <f t="shared" si="1"/>
        <v>0.27348753828422279</v>
      </c>
      <c r="G35" s="3">
        <f t="shared" si="2"/>
        <v>0.25243198272866724</v>
      </c>
      <c r="H35" s="34">
        <v>2822.55</v>
      </c>
      <c r="I35" s="3">
        <f t="shared" si="3"/>
        <v>-0.45144338441461818</v>
      </c>
      <c r="J35" s="3">
        <f t="shared" si="4"/>
        <v>-0.47249893997017373</v>
      </c>
      <c r="K35" s="3">
        <f t="shared" si="10"/>
        <v>6.3721905904326151E-2</v>
      </c>
      <c r="L35" s="3">
        <f t="shared" si="5"/>
        <v>0.22325524827293783</v>
      </c>
      <c r="M35" s="3">
        <f t="shared" si="6"/>
        <v>-0.11927384425386447</v>
      </c>
      <c r="O35" s="8">
        <v>-2.5994652497687287</v>
      </c>
      <c r="P35" s="26">
        <f t="shared" si="7"/>
        <v>-2.5994652497687287E-2</v>
      </c>
      <c r="X35" s="7">
        <v>-2.5994652497687287E-2</v>
      </c>
      <c r="AF35" s="8">
        <v>-2.5994652497687287</v>
      </c>
      <c r="AG35" s="8">
        <f t="shared" si="8"/>
        <v>-2.5994652497687287</v>
      </c>
      <c r="AH35" s="8">
        <v>-4.4211951249320975</v>
      </c>
      <c r="AI35" s="7">
        <f t="shared" si="9"/>
        <v>-4.4211951249320973E-2</v>
      </c>
    </row>
    <row r="36" spans="1:35" x14ac:dyDescent="0.35">
      <c r="A36" s="9">
        <v>43655</v>
      </c>
      <c r="B36" s="10">
        <f>Расчеты!G40/360</f>
        <v>2.1138888888888891E-2</v>
      </c>
      <c r="C36" s="34">
        <f>SNGS!C27</f>
        <v>27.2</v>
      </c>
      <c r="D36" s="34">
        <f>'FXGD ETF'!C27</f>
        <v>618.20000000000005</v>
      </c>
      <c r="E36" s="34">
        <f t="shared" si="0"/>
        <v>1069957.6643785674</v>
      </c>
      <c r="F36" s="3">
        <f t="shared" si="1"/>
        <v>0.92167705478420903</v>
      </c>
      <c r="G36" s="3">
        <f t="shared" si="2"/>
        <v>0.9005381658953201</v>
      </c>
      <c r="H36" s="34">
        <v>2822.66</v>
      </c>
      <c r="I36" s="3">
        <f t="shared" si="3"/>
        <v>3.897185169421391E-3</v>
      </c>
      <c r="J36" s="3">
        <f t="shared" si="4"/>
        <v>-1.72417037194675E-2</v>
      </c>
      <c r="K36" s="3">
        <f t="shared" si="10"/>
        <v>0.81096898823410701</v>
      </c>
      <c r="L36" s="3">
        <f t="shared" si="5"/>
        <v>2.9727634714989945E-4</v>
      </c>
      <c r="M36" s="3">
        <f t="shared" si="6"/>
        <v>-1.5526812244439782E-2</v>
      </c>
      <c r="O36" s="8">
        <v>-2.4940753957677586</v>
      </c>
      <c r="P36" s="26">
        <f t="shared" si="7"/>
        <v>-2.4940753957677586E-2</v>
      </c>
      <c r="X36" s="7">
        <v>-2.4940753957677586E-2</v>
      </c>
      <c r="AF36" s="8">
        <v>-2.4940753957677586</v>
      </c>
      <c r="AG36" s="8">
        <f t="shared" si="8"/>
        <v>-2.4940753957677586</v>
      </c>
      <c r="AH36" s="8">
        <v>-4.370353572398022</v>
      </c>
      <c r="AI36" s="7">
        <f t="shared" si="9"/>
        <v>-4.3703535723980218E-2</v>
      </c>
    </row>
    <row r="37" spans="1:35" x14ac:dyDescent="0.35">
      <c r="A37" s="9">
        <v>43656</v>
      </c>
      <c r="B37" s="10">
        <f>Расчеты!G41/360</f>
        <v>2.1166666666666667E-2</v>
      </c>
      <c r="C37" s="34">
        <f>SNGS!C28</f>
        <v>27.145</v>
      </c>
      <c r="D37" s="34">
        <f>'FXGD ETF'!C28</f>
        <v>616.4</v>
      </c>
      <c r="E37" s="34">
        <f t="shared" si="0"/>
        <v>1067629.9993858144</v>
      </c>
      <c r="F37" s="3">
        <f t="shared" si="1"/>
        <v>-0.21754739184983718</v>
      </c>
      <c r="G37" s="3">
        <f t="shared" si="2"/>
        <v>-0.23871405851650385</v>
      </c>
      <c r="H37" s="34">
        <v>2822.75</v>
      </c>
      <c r="I37" s="3">
        <f t="shared" si="3"/>
        <v>3.1884817866867365E-3</v>
      </c>
      <c r="J37" s="3">
        <f t="shared" si="4"/>
        <v>-1.797818487997993E-2</v>
      </c>
      <c r="K37" s="3">
        <f t="shared" si="10"/>
        <v>5.6984401733420821E-2</v>
      </c>
      <c r="L37" s="3">
        <f t="shared" si="5"/>
        <v>3.2321513157873897E-4</v>
      </c>
      <c r="M37" s="3">
        <f t="shared" si="6"/>
        <v>4.2916454774600534E-3</v>
      </c>
      <c r="O37" s="8">
        <v>-2.2642030814170044</v>
      </c>
      <c r="P37" s="26">
        <f t="shared" si="7"/>
        <v>-2.2642030814170044E-2</v>
      </c>
      <c r="X37" s="7">
        <v>-2.2642030814170044E-2</v>
      </c>
      <c r="AF37" s="8">
        <v>-2.2642030814170044</v>
      </c>
      <c r="AG37" s="8">
        <f t="shared" si="8"/>
        <v>-2.2642030814170044</v>
      </c>
      <c r="AH37" s="8">
        <v>-4.3122121277759495</v>
      </c>
      <c r="AI37" s="7">
        <f t="shared" si="9"/>
        <v>-4.3122121277759495E-2</v>
      </c>
    </row>
    <row r="38" spans="1:35" x14ac:dyDescent="0.35">
      <c r="A38" s="9">
        <v>43657</v>
      </c>
      <c r="B38" s="10">
        <f>Расчеты!G42/360</f>
        <v>2.1027777777777777E-2</v>
      </c>
      <c r="C38" s="34">
        <f>SNGS!C29</f>
        <v>26.704999999999998</v>
      </c>
      <c r="D38" s="34">
        <f>'FXGD ETF'!C29</f>
        <v>614.20000000000005</v>
      </c>
      <c r="E38" s="34">
        <f t="shared" si="0"/>
        <v>1052650.0163244039</v>
      </c>
      <c r="F38" s="3">
        <f t="shared" si="1"/>
        <v>-1.4031062324989185</v>
      </c>
      <c r="G38" s="3">
        <f t="shared" si="2"/>
        <v>-1.4241340102766964</v>
      </c>
      <c r="H38" s="34">
        <v>2789.66</v>
      </c>
      <c r="I38" s="3">
        <f t="shared" si="3"/>
        <v>-1.1722610929058574</v>
      </c>
      <c r="J38" s="3">
        <f t="shared" si="4"/>
        <v>-1.1932888706836353</v>
      </c>
      <c r="K38" s="3">
        <f t="shared" si="10"/>
        <v>2.0281576792267857</v>
      </c>
      <c r="L38" s="3">
        <f t="shared" si="5"/>
        <v>1.4239383288974257</v>
      </c>
      <c r="M38" s="3">
        <f t="shared" si="6"/>
        <v>1.6994032648252357</v>
      </c>
      <c r="O38" s="8">
        <v>-2.2127395421045915</v>
      </c>
      <c r="P38" s="26">
        <f t="shared" si="7"/>
        <v>-2.2127395421045915E-2</v>
      </c>
      <c r="X38" s="7">
        <v>-2.2127395421045915E-2</v>
      </c>
      <c r="AF38" s="8">
        <v>-2.2127395421045915</v>
      </c>
      <c r="AG38" s="8">
        <f t="shared" si="8"/>
        <v>-2.2127395421045915</v>
      </c>
      <c r="AH38" s="8">
        <v>-4.2106229607389078</v>
      </c>
      <c r="AI38" s="7">
        <f t="shared" si="9"/>
        <v>-4.2106229607389078E-2</v>
      </c>
    </row>
    <row r="39" spans="1:35" x14ac:dyDescent="0.35">
      <c r="A39" s="9">
        <v>43658</v>
      </c>
      <c r="B39" s="10">
        <f>Расчеты!G43/360</f>
        <v>2.0999999999999998E-2</v>
      </c>
      <c r="C39" s="34">
        <f>SNGS!C30</f>
        <v>26.79</v>
      </c>
      <c r="D39" s="34">
        <f>'FXGD ETF'!C30</f>
        <v>615</v>
      </c>
      <c r="E39" s="34">
        <f t="shared" si="0"/>
        <v>1055655.8030270834</v>
      </c>
      <c r="F39" s="3">
        <f t="shared" si="1"/>
        <v>0.28554473529340818</v>
      </c>
      <c r="G39" s="3">
        <f t="shared" si="2"/>
        <v>0.26454473529340816</v>
      </c>
      <c r="H39" s="34">
        <v>2777.58</v>
      </c>
      <c r="I39" s="3">
        <f t="shared" si="3"/>
        <v>-0.43302768079264142</v>
      </c>
      <c r="J39" s="3">
        <f t="shared" si="4"/>
        <v>-0.45402768079264144</v>
      </c>
      <c r="K39" s="3">
        <f t="shared" si="10"/>
        <v>6.9983916971459392E-2</v>
      </c>
      <c r="L39" s="3">
        <f t="shared" si="5"/>
        <v>0.20614113492594471</v>
      </c>
      <c r="M39" s="3">
        <f t="shared" si="6"/>
        <v>-0.12011063263116935</v>
      </c>
      <c r="O39" s="8">
        <v>-2.2038129810585394</v>
      </c>
      <c r="P39" s="26">
        <f t="shared" si="7"/>
        <v>-2.2038129810585394E-2</v>
      </c>
      <c r="X39" s="7">
        <v>-2.2038129810585394E-2</v>
      </c>
      <c r="AF39" s="8">
        <v>-2.2038129810585394</v>
      </c>
      <c r="AG39" s="8">
        <f t="shared" si="8"/>
        <v>-2.2038129810585394</v>
      </c>
      <c r="AH39" s="8">
        <v>-4.0693003177730391</v>
      </c>
      <c r="AI39" s="7">
        <f t="shared" si="9"/>
        <v>-4.0693003177730391E-2</v>
      </c>
    </row>
    <row r="40" spans="1:35" x14ac:dyDescent="0.35">
      <c r="A40" s="9">
        <v>43661</v>
      </c>
      <c r="B40" s="10">
        <f>Расчеты!G44/360</f>
        <v>2.0999999999999998E-2</v>
      </c>
      <c r="C40" s="34">
        <f>SNGS!C31</f>
        <v>26.57</v>
      </c>
      <c r="D40" s="34">
        <f>'FXGD ETF'!C31</f>
        <v>614</v>
      </c>
      <c r="E40" s="34">
        <f t="shared" si="0"/>
        <v>1048195.6585199898</v>
      </c>
      <c r="F40" s="3">
        <f t="shared" si="1"/>
        <v>-0.70668341761601638</v>
      </c>
      <c r="G40" s="3">
        <f t="shared" si="2"/>
        <v>-0.7276834176160164</v>
      </c>
      <c r="H40" s="34">
        <v>2756.44</v>
      </c>
      <c r="I40" s="3">
        <f t="shared" si="3"/>
        <v>-0.7610941899063195</v>
      </c>
      <c r="J40" s="3">
        <f t="shared" si="4"/>
        <v>-0.78209418990631951</v>
      </c>
      <c r="K40" s="3">
        <f t="shared" si="10"/>
        <v>0.52952315627332569</v>
      </c>
      <c r="L40" s="3">
        <f t="shared" si="5"/>
        <v>0.61167132188522222</v>
      </c>
      <c r="M40" s="3">
        <f t="shared" si="6"/>
        <v>0.56911697300866038</v>
      </c>
      <c r="O40" s="8">
        <v>-2.1868811427661172</v>
      </c>
      <c r="P40" s="26">
        <f t="shared" si="7"/>
        <v>-2.1868811427661172E-2</v>
      </c>
      <c r="X40" s="7">
        <v>-2.1868811427661172E-2</v>
      </c>
      <c r="AF40" s="8">
        <v>-2.1868811427661172</v>
      </c>
      <c r="AG40" s="8">
        <f t="shared" si="8"/>
        <v>-2.1868811427661172</v>
      </c>
      <c r="AH40" s="8">
        <v>-4.0381187026598209</v>
      </c>
      <c r="AI40" s="7">
        <f t="shared" si="9"/>
        <v>-4.0381187026598209E-2</v>
      </c>
    </row>
    <row r="41" spans="1:35" x14ac:dyDescent="0.35">
      <c r="A41" s="9">
        <v>43662</v>
      </c>
      <c r="B41" s="10">
        <f>Расчеты!G45/360</f>
        <v>2.0999999999999998E-2</v>
      </c>
      <c r="C41" s="34">
        <f>SNGS!C32</f>
        <v>26.83</v>
      </c>
      <c r="D41" s="34">
        <f>'FXGD ETF'!C32</f>
        <v>615</v>
      </c>
      <c r="E41" s="34">
        <f t="shared" si="0"/>
        <v>1056957.9256218066</v>
      </c>
      <c r="F41" s="3">
        <f t="shared" si="1"/>
        <v>0.83593812191407046</v>
      </c>
      <c r="G41" s="3">
        <f t="shared" si="2"/>
        <v>0.81493812191407045</v>
      </c>
      <c r="H41" s="34">
        <v>2755.88</v>
      </c>
      <c r="I41" s="3">
        <f t="shared" si="3"/>
        <v>-2.031605984530449E-2</v>
      </c>
      <c r="J41" s="3">
        <f t="shared" si="4"/>
        <v>-4.1316059845304488E-2</v>
      </c>
      <c r="K41" s="3">
        <f t="shared" si="10"/>
        <v>0.66412414254883234</v>
      </c>
      <c r="L41" s="3">
        <f t="shared" si="5"/>
        <v>1.707016801140782E-3</v>
      </c>
      <c r="M41" s="3">
        <f t="shared" si="6"/>
        <v>-3.367003221522178E-2</v>
      </c>
      <c r="O41" s="8">
        <v>-2.0900443838627214</v>
      </c>
      <c r="P41" s="26">
        <f t="shared" si="7"/>
        <v>-2.0900443838627214E-2</v>
      </c>
      <c r="X41" s="7">
        <v>-2.0900443838627214E-2</v>
      </c>
      <c r="AF41" s="8">
        <v>-2.0900443838627214</v>
      </c>
      <c r="AG41" s="8">
        <f t="shared" si="8"/>
        <v>-2.0900443838627214</v>
      </c>
      <c r="AH41" s="8">
        <v>-3.9891507130458415</v>
      </c>
      <c r="AI41" s="7">
        <f t="shared" si="9"/>
        <v>-3.9891507130458415E-2</v>
      </c>
    </row>
    <row r="42" spans="1:35" x14ac:dyDescent="0.35">
      <c r="A42" s="9">
        <v>43663</v>
      </c>
      <c r="B42" s="10">
        <f>Расчеты!G46/360</f>
        <v>2.0972222222222222E-2</v>
      </c>
      <c r="C42" s="34">
        <f>SNGS!C33</f>
        <v>26.405000000000001</v>
      </c>
      <c r="D42" s="34">
        <f>'FXGD ETF'!C33</f>
        <v>620.79999999999995</v>
      </c>
      <c r="E42" s="34">
        <f t="shared" si="0"/>
        <v>1044854.0004223434</v>
      </c>
      <c r="F42" s="3">
        <f t="shared" si="1"/>
        <v>-1.1451662271554031</v>
      </c>
      <c r="G42" s="3">
        <f t="shared" si="2"/>
        <v>-1.1661384493776252</v>
      </c>
      <c r="H42" s="34">
        <v>2713.17</v>
      </c>
      <c r="I42" s="3">
        <f t="shared" si="3"/>
        <v>-1.5497772036518254</v>
      </c>
      <c r="J42" s="3">
        <f t="shared" si="4"/>
        <v>-1.5707494258740475</v>
      </c>
      <c r="K42" s="3">
        <f t="shared" si="10"/>
        <v>1.3598788831168522</v>
      </c>
      <c r="L42" s="3">
        <f t="shared" si="5"/>
        <v>2.4672537588836501</v>
      </c>
      <c r="M42" s="3">
        <f t="shared" si="6"/>
        <v>1.8317112998495568</v>
      </c>
      <c r="O42" s="8">
        <v>-2.0827318083633806</v>
      </c>
      <c r="P42" s="26">
        <f t="shared" si="7"/>
        <v>-2.0827318083633806E-2</v>
      </c>
      <c r="X42" s="7">
        <v>-2.0827318083633806E-2</v>
      </c>
      <c r="AF42" s="8">
        <v>-2.0827318083633806</v>
      </c>
      <c r="AG42" s="8">
        <f t="shared" si="8"/>
        <v>-2.0827318083633806</v>
      </c>
      <c r="AH42" s="8">
        <v>-3.8471538633403579</v>
      </c>
      <c r="AI42" s="7">
        <f t="shared" si="9"/>
        <v>-3.8471538633403579E-2</v>
      </c>
    </row>
    <row r="43" spans="1:35" x14ac:dyDescent="0.35">
      <c r="A43" s="9">
        <v>43664</v>
      </c>
      <c r="B43" s="10">
        <f>Расчеты!G47/360</f>
        <v>2.0972222222222222E-2</v>
      </c>
      <c r="C43" s="34">
        <f>SNGS!C34</f>
        <v>26.265000000000001</v>
      </c>
      <c r="D43" s="34">
        <f>'FXGD ETF'!C34</f>
        <v>624.20000000000005</v>
      </c>
      <c r="E43" s="34">
        <f t="shared" si="0"/>
        <v>1041311.3701436054</v>
      </c>
      <c r="F43" s="3">
        <f t="shared" si="1"/>
        <v>-0.33905505240980904</v>
      </c>
      <c r="G43" s="3">
        <f t="shared" si="2"/>
        <v>-0.36002727463203127</v>
      </c>
      <c r="H43" s="34">
        <v>2702.59</v>
      </c>
      <c r="I43" s="3">
        <f t="shared" si="3"/>
        <v>-0.3899497635607041</v>
      </c>
      <c r="J43" s="3">
        <f t="shared" si="4"/>
        <v>-0.41092198578292632</v>
      </c>
      <c r="K43" s="3">
        <f t="shared" si="10"/>
        <v>0.12961963847896807</v>
      </c>
      <c r="L43" s="3">
        <f t="shared" si="5"/>
        <v>0.1688568783997835</v>
      </c>
      <c r="M43" s="3">
        <f t="shared" si="6"/>
        <v>0.14794312262780926</v>
      </c>
      <c r="O43" s="8">
        <v>-1.8813461150050781</v>
      </c>
      <c r="P43" s="26">
        <f t="shared" si="7"/>
        <v>-1.8813461150050781E-2</v>
      </c>
      <c r="X43" s="7">
        <v>-1.8813461150050781E-2</v>
      </c>
      <c r="AF43" s="8">
        <v>-1.8813461150050781</v>
      </c>
      <c r="AG43" s="8">
        <f t="shared" si="8"/>
        <v>-1.8813461150050781</v>
      </c>
      <c r="AH43" s="8">
        <v>-3.8043931676818965</v>
      </c>
      <c r="AI43" s="7">
        <f t="shared" si="9"/>
        <v>-3.8043931676818965E-2</v>
      </c>
    </row>
    <row r="44" spans="1:35" x14ac:dyDescent="0.35">
      <c r="A44" s="9">
        <v>43665</v>
      </c>
      <c r="B44" s="10">
        <f>Расчеты!G48/360</f>
        <v>2.0999999999999998E-2</v>
      </c>
      <c r="C44" s="34">
        <f>SNGS!C35</f>
        <v>26.385000000000002</v>
      </c>
      <c r="D44" s="34">
        <f>'FXGD ETF'!C35</f>
        <v>622.4</v>
      </c>
      <c r="E44" s="34">
        <f t="shared" si="0"/>
        <v>1044680.4915027668</v>
      </c>
      <c r="F44" s="3">
        <f t="shared" si="1"/>
        <v>0.32354600705999381</v>
      </c>
      <c r="G44" s="3">
        <f t="shared" si="2"/>
        <v>0.30254600705999379</v>
      </c>
      <c r="H44" s="34">
        <v>2700.57</v>
      </c>
      <c r="I44" s="3">
        <f t="shared" si="3"/>
        <v>-7.4743116787967523E-2</v>
      </c>
      <c r="J44" s="3">
        <f t="shared" si="4"/>
        <v>-9.5743116787967514E-2</v>
      </c>
      <c r="K44" s="3">
        <f t="shared" si="10"/>
        <v>9.1534086387945815E-2</v>
      </c>
      <c r="L44" s="3">
        <f t="shared" si="5"/>
        <v>9.1667444122743875E-3</v>
      </c>
      <c r="M44" s="3">
        <f t="shared" si="6"/>
        <v>-2.896669768767823E-2</v>
      </c>
      <c r="O44" s="8">
        <v>-1.8042316833456806</v>
      </c>
      <c r="P44" s="26">
        <f t="shared" si="7"/>
        <v>-1.8042316833456806E-2</v>
      </c>
      <c r="X44" s="7">
        <v>-1.8042316833456806E-2</v>
      </c>
      <c r="AF44" s="8">
        <v>-1.8042316833456806</v>
      </c>
      <c r="AG44" s="8">
        <f t="shared" si="8"/>
        <v>-1.8042316833456806</v>
      </c>
      <c r="AH44" s="8">
        <v>-3.6373329282477829</v>
      </c>
      <c r="AI44" s="7">
        <f t="shared" si="9"/>
        <v>-3.6373329282477829E-2</v>
      </c>
    </row>
    <row r="45" spans="1:35" x14ac:dyDescent="0.35">
      <c r="A45" s="9">
        <v>43668</v>
      </c>
      <c r="B45" s="10">
        <f>Расчеты!G49/360</f>
        <v>2.0916666666666667E-2</v>
      </c>
      <c r="C45" s="34">
        <f>SNGS!C36</f>
        <v>25.995000000000001</v>
      </c>
      <c r="D45" s="34">
        <f>'FXGD ETF'!C36</f>
        <v>624.20000000000005</v>
      </c>
      <c r="E45" s="34">
        <f t="shared" si="0"/>
        <v>1032522.0426292233</v>
      </c>
      <c r="F45" s="3">
        <f t="shared" si="1"/>
        <v>-1.163843775435458</v>
      </c>
      <c r="G45" s="3">
        <f t="shared" si="2"/>
        <v>-1.1847604421021247</v>
      </c>
      <c r="H45" s="34">
        <v>2684.25</v>
      </c>
      <c r="I45" s="3">
        <f t="shared" si="3"/>
        <v>-0.60431686643931393</v>
      </c>
      <c r="J45" s="3">
        <f t="shared" si="4"/>
        <v>-0.62523353310598062</v>
      </c>
      <c r="K45" s="3">
        <f t="shared" si="10"/>
        <v>1.4036573051700221</v>
      </c>
      <c r="L45" s="3">
        <f t="shared" si="5"/>
        <v>0.39091697092018735</v>
      </c>
      <c r="M45" s="3">
        <f t="shared" si="6"/>
        <v>0.74075195709971509</v>
      </c>
      <c r="O45" s="8">
        <v>-1.7342565024828338</v>
      </c>
      <c r="P45" s="26">
        <f t="shared" si="7"/>
        <v>-1.7342565024828338E-2</v>
      </c>
      <c r="X45" s="7">
        <v>-1.7342565024828338E-2</v>
      </c>
      <c r="AF45" s="8">
        <v>-1.7342565024828338</v>
      </c>
      <c r="AG45" s="8">
        <f t="shared" si="8"/>
        <v>-1.7342565024828338</v>
      </c>
      <c r="AH45" s="8">
        <v>-3.5294637741495771</v>
      </c>
      <c r="AI45" s="7">
        <f t="shared" si="9"/>
        <v>-3.5294637741495771E-2</v>
      </c>
    </row>
    <row r="46" spans="1:35" x14ac:dyDescent="0.35">
      <c r="A46" s="9">
        <v>43669</v>
      </c>
      <c r="B46" s="10">
        <f>Расчеты!G50/360</f>
        <v>2.0916666666666667E-2</v>
      </c>
      <c r="C46" s="34">
        <f>SNGS!C37</f>
        <v>26.63</v>
      </c>
      <c r="D46" s="34">
        <f>'FXGD ETF'!C37</f>
        <v>622.6</v>
      </c>
      <c r="E46" s="34">
        <f t="shared" si="0"/>
        <v>1052715.6864426699</v>
      </c>
      <c r="F46" s="3">
        <f t="shared" si="1"/>
        <v>1.9557591005055386</v>
      </c>
      <c r="G46" s="3">
        <f t="shared" si="2"/>
        <v>1.9348424338388719</v>
      </c>
      <c r="H46" s="34">
        <v>2701.06</v>
      </c>
      <c r="I46" s="3">
        <f t="shared" si="3"/>
        <v>0.62624569246529926</v>
      </c>
      <c r="J46" s="3">
        <f t="shared" si="4"/>
        <v>0.60532902579863257</v>
      </c>
      <c r="K46" s="3">
        <f t="shared" si="10"/>
        <v>3.7436152437835295</v>
      </c>
      <c r="L46" s="3">
        <f t="shared" si="5"/>
        <v>0.3664232294743216</v>
      </c>
      <c r="M46" s="3">
        <f t="shared" si="6"/>
        <v>1.1712162855495396</v>
      </c>
      <c r="O46" s="8">
        <v>-1.7157707154300983</v>
      </c>
      <c r="P46" s="26">
        <f t="shared" si="7"/>
        <v>-1.7157707154300983E-2</v>
      </c>
      <c r="X46" s="7">
        <v>-1.7157707154300983E-2</v>
      </c>
      <c r="AF46" s="8">
        <v>-1.7157707154300983</v>
      </c>
      <c r="AG46" s="8">
        <f t="shared" si="8"/>
        <v>-1.7157707154300983</v>
      </c>
      <c r="AH46" s="8">
        <v>-3.5104656717600102</v>
      </c>
      <c r="AI46" s="7">
        <f t="shared" si="9"/>
        <v>-3.5104656717600102E-2</v>
      </c>
    </row>
    <row r="47" spans="1:35" x14ac:dyDescent="0.35">
      <c r="A47" s="9">
        <v>43670</v>
      </c>
      <c r="B47" s="10">
        <f>Расчеты!G51/360</f>
        <v>2.0749999999999998E-2</v>
      </c>
      <c r="C47" s="34">
        <f>SNGS!C38</f>
        <v>26.63</v>
      </c>
      <c r="D47" s="34">
        <f>'FXGD ETF'!C38</f>
        <v>621.4</v>
      </c>
      <c r="E47" s="34">
        <f t="shared" si="0"/>
        <v>1052357.522159331</v>
      </c>
      <c r="F47" s="3">
        <f t="shared" si="1"/>
        <v>-3.4022888416262997E-2</v>
      </c>
      <c r="G47" s="3">
        <f t="shared" si="2"/>
        <v>-5.4772888416262995E-2</v>
      </c>
      <c r="H47" s="34">
        <v>2682.91</v>
      </c>
      <c r="I47" s="3">
        <f t="shared" si="3"/>
        <v>-0.67195841632544662</v>
      </c>
      <c r="J47" s="3">
        <f t="shared" si="4"/>
        <v>-0.69270841632544666</v>
      </c>
      <c r="K47" s="3">
        <f t="shared" si="10"/>
        <v>3.0000693054603972E-3</v>
      </c>
      <c r="L47" s="3">
        <f t="shared" si="5"/>
        <v>0.47984495004810834</v>
      </c>
      <c r="M47" s="3">
        <f t="shared" si="6"/>
        <v>3.7941640792399943E-2</v>
      </c>
      <c r="O47" s="8">
        <v>-1.7135628066986208</v>
      </c>
      <c r="P47" s="26">
        <f t="shared" si="7"/>
        <v>-1.7135628066986208E-2</v>
      </c>
      <c r="X47" s="7">
        <v>-1.7135628066986208E-2</v>
      </c>
      <c r="AF47" s="8">
        <v>-1.7135628066986208</v>
      </c>
      <c r="AG47" s="8">
        <f t="shared" si="8"/>
        <v>-1.7135628066986208</v>
      </c>
      <c r="AH47" s="8">
        <v>-3.4014536077212165</v>
      </c>
      <c r="AI47" s="7">
        <f t="shared" si="9"/>
        <v>-3.4014536077212165E-2</v>
      </c>
    </row>
    <row r="48" spans="1:35" x14ac:dyDescent="0.35">
      <c r="A48" s="9">
        <v>43671</v>
      </c>
      <c r="B48" s="10">
        <f>Расчеты!G52/360</f>
        <v>2.0694444444444446E-2</v>
      </c>
      <c r="C48" s="34">
        <f>SNGS!C39</f>
        <v>26.6</v>
      </c>
      <c r="D48" s="34">
        <f>'FXGD ETF'!C39</f>
        <v>622.6</v>
      </c>
      <c r="E48" s="34">
        <f t="shared" si="0"/>
        <v>1051739.0944966276</v>
      </c>
      <c r="F48" s="3">
        <f t="shared" si="1"/>
        <v>-5.8765927898196679E-2</v>
      </c>
      <c r="G48" s="3">
        <f t="shared" si="2"/>
        <v>-7.9460372342641125E-2</v>
      </c>
      <c r="H48" s="34">
        <v>2701.02</v>
      </c>
      <c r="I48" s="3">
        <f t="shared" si="3"/>
        <v>0.67501332508359546</v>
      </c>
      <c r="J48" s="3">
        <f t="shared" si="4"/>
        <v>0.654318880639151</v>
      </c>
      <c r="K48" s="3">
        <f t="shared" si="10"/>
        <v>6.3139507728311667E-3</v>
      </c>
      <c r="L48" s="3">
        <f t="shared" si="5"/>
        <v>0.42813319756087154</v>
      </c>
      <c r="M48" s="3">
        <f t="shared" si="6"/>
        <v>-5.1992421886407091E-2</v>
      </c>
      <c r="O48" s="8">
        <v>-1.6766438721905419</v>
      </c>
      <c r="P48" s="26">
        <f t="shared" si="7"/>
        <v>-1.6766438721905419E-2</v>
      </c>
      <c r="X48" s="7">
        <v>-1.6766438721905419E-2</v>
      </c>
      <c r="AF48" s="8">
        <v>-1.6766438721905419</v>
      </c>
      <c r="AG48" s="8">
        <f t="shared" si="8"/>
        <v>-1.6766438721905419</v>
      </c>
      <c r="AH48" s="8">
        <v>-3.3416781141136886</v>
      </c>
      <c r="AI48" s="7">
        <f t="shared" si="9"/>
        <v>-3.3416781141136886E-2</v>
      </c>
    </row>
    <row r="49" spans="1:35" x14ac:dyDescent="0.35">
      <c r="A49" s="9">
        <v>43672</v>
      </c>
      <c r="B49" s="10">
        <f>Расчеты!G53/360</f>
        <v>2.0722222222222222E-2</v>
      </c>
      <c r="C49" s="34">
        <f>SNGS!C40</f>
        <v>26.105</v>
      </c>
      <c r="D49" s="34">
        <f>'FXGD ETF'!C40</f>
        <v>624.6</v>
      </c>
      <c r="E49" s="34">
        <f t="shared" si="0"/>
        <v>1036222.2678591586</v>
      </c>
      <c r="F49" s="3">
        <f t="shared" si="1"/>
        <v>-1.4753494206560358</v>
      </c>
      <c r="G49" s="3">
        <f t="shared" si="2"/>
        <v>-1.4960716428782581</v>
      </c>
      <c r="H49" s="34">
        <v>2715.68</v>
      </c>
      <c r="I49" s="3">
        <f t="shared" si="3"/>
        <v>0.54275792108164911</v>
      </c>
      <c r="J49" s="3">
        <f t="shared" si="4"/>
        <v>0.52203569885942691</v>
      </c>
      <c r="K49" s="3">
        <f t="shared" si="10"/>
        <v>2.2382303606244505</v>
      </c>
      <c r="L49" s="3">
        <f t="shared" si="5"/>
        <v>0.27252127088365025</v>
      </c>
      <c r="M49" s="3">
        <f t="shared" si="6"/>
        <v>-0.78100280563372249</v>
      </c>
      <c r="O49" s="8">
        <v>-1.6341088224730682</v>
      </c>
      <c r="P49" s="26">
        <f t="shared" si="7"/>
        <v>-1.6341088224730682E-2</v>
      </c>
      <c r="X49" s="7">
        <v>-1.6341088224730682E-2</v>
      </c>
      <c r="AF49" s="8">
        <v>-1.6341088224730682</v>
      </c>
      <c r="AG49" s="8">
        <f t="shared" si="8"/>
        <v>-1.6341088224730682</v>
      </c>
      <c r="AH49" s="8">
        <v>-3.3121921508376895</v>
      </c>
      <c r="AI49" s="7">
        <f t="shared" si="9"/>
        <v>-3.3121921508376895E-2</v>
      </c>
    </row>
    <row r="50" spans="1:35" x14ac:dyDescent="0.35">
      <c r="A50" s="9">
        <v>43675</v>
      </c>
      <c r="B50" s="10">
        <f>Расчеты!G54/360</f>
        <v>2.0527777777777777E-2</v>
      </c>
      <c r="C50" s="34">
        <f>SNGS!C41</f>
        <v>26.725000000000001</v>
      </c>
      <c r="D50" s="34">
        <f>'FXGD ETF'!C41</f>
        <v>624.6</v>
      </c>
      <c r="E50" s="34">
        <f t="shared" si="0"/>
        <v>1056405.1680773692</v>
      </c>
      <c r="F50" s="3">
        <f t="shared" si="1"/>
        <v>1.9477385155897808</v>
      </c>
      <c r="G50" s="3">
        <f t="shared" si="2"/>
        <v>1.9272107378120031</v>
      </c>
      <c r="H50" s="34">
        <v>2728.27</v>
      </c>
      <c r="I50" s="3">
        <f t="shared" si="3"/>
        <v>0.46360395922937503</v>
      </c>
      <c r="J50" s="3">
        <f t="shared" si="4"/>
        <v>0.44307618145159727</v>
      </c>
      <c r="K50" s="3">
        <f t="shared" si="10"/>
        <v>3.7141412279378856</v>
      </c>
      <c r="L50" s="3">
        <f t="shared" si="5"/>
        <v>0.19631650256972874</v>
      </c>
      <c r="M50" s="3">
        <f t="shared" si="6"/>
        <v>0.85390117456225778</v>
      </c>
      <c r="O50" s="8">
        <v>-1.5513214376835283</v>
      </c>
      <c r="P50" s="26">
        <f t="shared" si="7"/>
        <v>-1.5513214376835283E-2</v>
      </c>
      <c r="X50" s="7">
        <v>-1.5513214376835283E-2</v>
      </c>
      <c r="AF50" s="8">
        <v>-1.5513214376835283</v>
      </c>
      <c r="AG50" s="8">
        <f t="shared" si="8"/>
        <v>-1.5513214376835283</v>
      </c>
      <c r="AH50" s="8">
        <v>-3.2764279077605041</v>
      </c>
      <c r="AI50" s="7">
        <f t="shared" si="9"/>
        <v>-3.2764279077605041E-2</v>
      </c>
    </row>
    <row r="51" spans="1:35" x14ac:dyDescent="0.35">
      <c r="A51" s="9">
        <v>43676</v>
      </c>
      <c r="B51" s="10">
        <f>Расчеты!G55/360</f>
        <v>2.0638888888888887E-2</v>
      </c>
      <c r="C51" s="34">
        <f>SNGS!C42</f>
        <v>26.91</v>
      </c>
      <c r="D51" s="34">
        <f>'FXGD ETF'!C42</f>
        <v>630</v>
      </c>
      <c r="E51" s="34">
        <f t="shared" si="0"/>
        <v>1064039.2243529893</v>
      </c>
      <c r="F51" s="3">
        <f t="shared" si="1"/>
        <v>0.72264473010046348</v>
      </c>
      <c r="G51" s="3">
        <f t="shared" si="2"/>
        <v>0.70200584121157461</v>
      </c>
      <c r="H51" s="34">
        <v>2734.68</v>
      </c>
      <c r="I51" s="3">
        <f t="shared" si="3"/>
        <v>0.23494742089309462</v>
      </c>
      <c r="J51" s="3">
        <f t="shared" si="4"/>
        <v>0.21430853200420574</v>
      </c>
      <c r="K51" s="3">
        <f t="shared" si="10"/>
        <v>0.49281220109517049</v>
      </c>
      <c r="L51" s="3">
        <f t="shared" si="5"/>
        <v>4.5928146889797676E-2</v>
      </c>
      <c r="M51" s="3">
        <f t="shared" si="6"/>
        <v>0.15044584128843011</v>
      </c>
      <c r="O51" s="8">
        <v>-1.4753494206560358</v>
      </c>
      <c r="P51" s="26">
        <f t="shared" si="7"/>
        <v>-1.4753494206560358E-2</v>
      </c>
      <c r="X51" s="7">
        <v>-1.4753494206560358E-2</v>
      </c>
      <c r="AF51" s="8">
        <v>-1.4753494206560358</v>
      </c>
      <c r="AG51" s="8">
        <f t="shared" si="8"/>
        <v>-1.4753494206560358</v>
      </c>
      <c r="AH51" s="8">
        <v>-3.1652927607810022</v>
      </c>
      <c r="AI51" s="7">
        <f t="shared" si="9"/>
        <v>-3.1652927607810022E-2</v>
      </c>
    </row>
    <row r="52" spans="1:35" x14ac:dyDescent="0.35">
      <c r="A52" s="9">
        <v>43677</v>
      </c>
      <c r="B52" s="10">
        <f>Расчеты!G56/360</f>
        <v>2.0861111111111112E-2</v>
      </c>
      <c r="C52" s="34">
        <f>SNGS!C43</f>
        <v>27.06</v>
      </c>
      <c r="D52" s="34">
        <f>'FXGD ETF'!C43</f>
        <v>628.79999999999995</v>
      </c>
      <c r="E52" s="34">
        <f t="shared" si="0"/>
        <v>1068564.0197998625</v>
      </c>
      <c r="F52" s="3">
        <f t="shared" si="1"/>
        <v>0.42524705323947476</v>
      </c>
      <c r="G52" s="3">
        <f t="shared" si="2"/>
        <v>0.40438594212836365</v>
      </c>
      <c r="H52" s="34">
        <v>2739.5</v>
      </c>
      <c r="I52" s="3">
        <f t="shared" si="3"/>
        <v>0.17625462576975615</v>
      </c>
      <c r="J52" s="3">
        <f t="shared" si="4"/>
        <v>0.15539351465864504</v>
      </c>
      <c r="K52" s="3">
        <f t="shared" si="10"/>
        <v>0.16352799019104428</v>
      </c>
      <c r="L52" s="3">
        <f t="shared" si="5"/>
        <v>2.414714439796653E-2</v>
      </c>
      <c r="M52" s="3">
        <f t="shared" si="6"/>
        <v>6.2838952825873859E-2</v>
      </c>
      <c r="O52" s="8">
        <v>-1.4031062324989185</v>
      </c>
      <c r="P52" s="26">
        <f t="shared" si="7"/>
        <v>-1.4031062324989185E-2</v>
      </c>
      <c r="X52" s="7">
        <v>-1.4031062324989185E-2</v>
      </c>
      <c r="AF52" s="8">
        <v>-1.4031062324989185</v>
      </c>
      <c r="AG52" s="8">
        <f t="shared" si="8"/>
        <v>-1.4031062324989185</v>
      </c>
      <c r="AH52" s="8">
        <v>-2.9795319259829811</v>
      </c>
      <c r="AI52" s="7">
        <f t="shared" si="9"/>
        <v>-2.9795319259829811E-2</v>
      </c>
    </row>
    <row r="53" spans="1:35" x14ac:dyDescent="0.35">
      <c r="A53" s="9">
        <v>43678</v>
      </c>
      <c r="B53" s="10">
        <f>Расчеты!G57/360</f>
        <v>2.0722222222222222E-2</v>
      </c>
      <c r="C53" s="34">
        <f>SNGS!C44</f>
        <v>27.08</v>
      </c>
      <c r="D53" s="34">
        <f>'FXGD ETF'!C44</f>
        <v>626.6</v>
      </c>
      <c r="E53" s="34">
        <f t="shared" si="0"/>
        <v>1068558.4465777697</v>
      </c>
      <c r="F53" s="3">
        <f t="shared" si="1"/>
        <v>-5.2156183341089957E-4</v>
      </c>
      <c r="G53" s="3">
        <f t="shared" si="2"/>
        <v>-2.1243784055633121E-2</v>
      </c>
      <c r="H53" s="34">
        <v>2729.42</v>
      </c>
      <c r="I53" s="3">
        <f t="shared" si="3"/>
        <v>-0.36795035590435621</v>
      </c>
      <c r="J53" s="3">
        <f t="shared" si="4"/>
        <v>-0.38867257812657841</v>
      </c>
      <c r="K53" s="3">
        <f t="shared" si="10"/>
        <v>4.5129836100237203E-4</v>
      </c>
      <c r="L53" s="3">
        <f t="shared" si="5"/>
        <v>0.1510663729875612</v>
      </c>
      <c r="M53" s="3">
        <f t="shared" si="6"/>
        <v>8.2568763180672251E-3</v>
      </c>
      <c r="O53" s="8">
        <v>-1.3797937357135082</v>
      </c>
      <c r="P53" s="26">
        <f t="shared" si="7"/>
        <v>-1.3797937357135082E-2</v>
      </c>
      <c r="X53" s="7">
        <v>-1.3797937357135082E-2</v>
      </c>
      <c r="AF53" s="8">
        <v>-1.3797937357135082</v>
      </c>
      <c r="AG53" s="8">
        <f t="shared" si="8"/>
        <v>-1.3797937357135082</v>
      </c>
      <c r="AH53" s="8">
        <v>-2.9218693696439146</v>
      </c>
      <c r="AI53" s="7">
        <f t="shared" si="9"/>
        <v>-2.9218693696439146E-2</v>
      </c>
    </row>
    <row r="54" spans="1:35" x14ac:dyDescent="0.35">
      <c r="A54" s="9">
        <v>43679</v>
      </c>
      <c r="B54" s="10">
        <f>Расчеты!G58/360</f>
        <v>2.0722222222222222E-2</v>
      </c>
      <c r="C54" s="34">
        <f>SNGS!C45</f>
        <v>26.81</v>
      </c>
      <c r="D54" s="34">
        <f>'FXGD ETF'!C45</f>
        <v>653.79999999999995</v>
      </c>
      <c r="E54" s="34">
        <f t="shared" si="0"/>
        <v>1067887.5094857353</v>
      </c>
      <c r="F54" s="3">
        <f t="shared" si="1"/>
        <v>-6.2788993356721612E-2</v>
      </c>
      <c r="G54" s="3">
        <f t="shared" si="2"/>
        <v>-8.3511215578943837E-2</v>
      </c>
      <c r="H54" s="34">
        <v>2674.9</v>
      </c>
      <c r="I54" s="3">
        <f t="shared" si="3"/>
        <v>-1.9974939730785235</v>
      </c>
      <c r="J54" s="3">
        <f t="shared" si="4"/>
        <v>-2.0182161953007456</v>
      </c>
      <c r="K54" s="3">
        <f t="shared" si="10"/>
        <v>6.9741231274728322E-3</v>
      </c>
      <c r="L54" s="3">
        <f t="shared" si="5"/>
        <v>4.0731966109742173</v>
      </c>
      <c r="M54" s="3">
        <f t="shared" si="6"/>
        <v>0.16854368777067638</v>
      </c>
      <c r="O54" s="8">
        <v>-1.3691657720381945</v>
      </c>
      <c r="P54" s="26">
        <f t="shared" si="7"/>
        <v>-1.3691657720381945E-2</v>
      </c>
      <c r="X54" s="7">
        <v>-1.3691657720381945E-2</v>
      </c>
      <c r="AF54" s="8">
        <v>-1.3691657720381945</v>
      </c>
      <c r="AG54" s="8">
        <f t="shared" si="8"/>
        <v>-1.3691657720381945</v>
      </c>
      <c r="AH54" s="8">
        <v>-2.8620699052122278</v>
      </c>
      <c r="AI54" s="7">
        <f t="shared" si="9"/>
        <v>-2.8620699052122278E-2</v>
      </c>
    </row>
    <row r="55" spans="1:35" x14ac:dyDescent="0.35">
      <c r="A55" s="9">
        <v>43682</v>
      </c>
      <c r="B55" s="10">
        <f>Расчеты!G59/360</f>
        <v>2.0638888888888887E-2</v>
      </c>
      <c r="C55" s="34">
        <f>SNGS!C46</f>
        <v>26.335000000000001</v>
      </c>
      <c r="D55" s="34">
        <f>'FXGD ETF'!C46</f>
        <v>661</v>
      </c>
      <c r="E55" s="34">
        <f t="shared" si="0"/>
        <v>1054573.78937343</v>
      </c>
      <c r="F55" s="3">
        <f t="shared" si="1"/>
        <v>-1.2467343230483929</v>
      </c>
      <c r="G55" s="3">
        <f t="shared" si="2"/>
        <v>-1.2673732119372818</v>
      </c>
      <c r="H55" s="34">
        <v>2649.16</v>
      </c>
      <c r="I55" s="3">
        <f t="shared" si="3"/>
        <v>-0.96227896369958099</v>
      </c>
      <c r="J55" s="3">
        <f t="shared" si="4"/>
        <v>-0.98291785258846986</v>
      </c>
      <c r="K55" s="3">
        <f t="shared" si="10"/>
        <v>1.6062348583362223</v>
      </c>
      <c r="L55" s="3">
        <f t="shared" si="5"/>
        <v>0.96612750493712896</v>
      </c>
      <c r="M55" s="3">
        <f t="shared" si="6"/>
        <v>1.2457237559055447</v>
      </c>
      <c r="O55" s="8">
        <v>-1.3625080314276339</v>
      </c>
      <c r="P55" s="26">
        <f t="shared" si="7"/>
        <v>-1.3625080314276339E-2</v>
      </c>
      <c r="X55" s="7">
        <v>-1.3625080314276339E-2</v>
      </c>
      <c r="AF55" s="8">
        <v>-1.3625080314276339</v>
      </c>
      <c r="AG55" s="8">
        <f t="shared" si="8"/>
        <v>-1.3625080314276339</v>
      </c>
      <c r="AH55" s="8">
        <v>-2.7418171283324133</v>
      </c>
      <c r="AI55" s="7">
        <f t="shared" si="9"/>
        <v>-2.7418171283324133E-2</v>
      </c>
    </row>
    <row r="56" spans="1:35" x14ac:dyDescent="0.35">
      <c r="A56" s="9">
        <v>43683</v>
      </c>
      <c r="B56" s="10">
        <f>Расчеты!G60/360</f>
        <v>2.0472222222222222E-2</v>
      </c>
      <c r="C56" s="34">
        <f>SNGS!C47</f>
        <v>26</v>
      </c>
      <c r="D56" s="34">
        <f>'FXGD ETF'!C47</f>
        <v>668.2</v>
      </c>
      <c r="E56" s="34">
        <f t="shared" si="0"/>
        <v>1045817.4983426558</v>
      </c>
      <c r="F56" s="3">
        <f t="shared" si="1"/>
        <v>-0.8303156326288641</v>
      </c>
      <c r="G56" s="3">
        <f t="shared" si="2"/>
        <v>-0.85078785485108632</v>
      </c>
      <c r="H56" s="34">
        <v>2683.35</v>
      </c>
      <c r="I56" s="3">
        <f t="shared" si="3"/>
        <v>1.2905977743888686</v>
      </c>
      <c r="J56" s="3">
        <f t="shared" si="4"/>
        <v>1.2701255521666464</v>
      </c>
      <c r="K56" s="3">
        <f t="shared" si="10"/>
        <v>0.72383997396211308</v>
      </c>
      <c r="L56" s="3">
        <f t="shared" si="5"/>
        <v>1.6132189182666283</v>
      </c>
      <c r="M56" s="3">
        <f t="shared" si="6"/>
        <v>-1.0806073939194125</v>
      </c>
      <c r="O56" s="8">
        <v>-1.3492524219708479</v>
      </c>
      <c r="P56" s="26">
        <f t="shared" si="7"/>
        <v>-1.3492524219708479E-2</v>
      </c>
      <c r="X56" s="7">
        <v>-1.3492524219708479E-2</v>
      </c>
      <c r="AF56" s="8">
        <v>-1.3492524219708479</v>
      </c>
      <c r="AG56" s="8">
        <f t="shared" si="8"/>
        <v>-1.3492524219708479</v>
      </c>
      <c r="AH56" s="8">
        <v>-2.6658291531784117</v>
      </c>
      <c r="AI56" s="7">
        <f t="shared" si="9"/>
        <v>-2.6658291531784117E-2</v>
      </c>
    </row>
    <row r="57" spans="1:35" x14ac:dyDescent="0.35">
      <c r="A57" s="9">
        <v>43684</v>
      </c>
      <c r="B57" s="10">
        <f>Расчеты!G61/360</f>
        <v>2.0583333333333335E-2</v>
      </c>
      <c r="C57" s="34">
        <f>SNGS!C48</f>
        <v>26.07</v>
      </c>
      <c r="D57" s="34">
        <f>'FXGD ETF'!C48</f>
        <v>685</v>
      </c>
      <c r="E57" s="34">
        <f t="shared" si="0"/>
        <v>1053110.5128501658</v>
      </c>
      <c r="F57" s="3">
        <f t="shared" si="1"/>
        <v>0.69735059119468978</v>
      </c>
      <c r="G57" s="3">
        <f t="shared" si="2"/>
        <v>0.6767672578613565</v>
      </c>
      <c r="H57" s="34">
        <v>2674.98</v>
      </c>
      <c r="I57" s="3">
        <f t="shared" si="3"/>
        <v>-0.31192352842528415</v>
      </c>
      <c r="J57" s="3">
        <f t="shared" si="4"/>
        <v>-0.33250686175861749</v>
      </c>
      <c r="K57" s="3">
        <f t="shared" si="10"/>
        <v>0.45801392131317981</v>
      </c>
      <c r="L57" s="3">
        <f t="shared" si="5"/>
        <v>0.11056081311656436</v>
      </c>
      <c r="M57" s="3">
        <f t="shared" si="6"/>
        <v>-0.2250297570524647</v>
      </c>
      <c r="O57" s="8">
        <v>-1.3035512182732356</v>
      </c>
      <c r="P57" s="26">
        <f t="shared" si="7"/>
        <v>-1.3035512182732356E-2</v>
      </c>
      <c r="X57" s="7">
        <v>-1.3035512182732356E-2</v>
      </c>
      <c r="AF57" s="8">
        <v>-1.3035512182732356</v>
      </c>
      <c r="AG57" s="8">
        <f t="shared" si="8"/>
        <v>-1.3035512182732356</v>
      </c>
      <c r="AH57" s="8">
        <v>-2.6598713142081509</v>
      </c>
      <c r="AI57" s="7">
        <f t="shared" si="9"/>
        <v>-2.6598713142081509E-2</v>
      </c>
    </row>
    <row r="58" spans="1:35" x14ac:dyDescent="0.35">
      <c r="A58" s="9">
        <v>43685</v>
      </c>
      <c r="B58" s="10">
        <f>Расчеты!G62/360</f>
        <v>2.0555555555555556E-2</v>
      </c>
      <c r="C58" s="34">
        <f>SNGS!C49</f>
        <v>26.1</v>
      </c>
      <c r="D58" s="34">
        <f>'FXGD ETF'!C49</f>
        <v>675.6</v>
      </c>
      <c r="E58" s="34">
        <f t="shared" si="0"/>
        <v>1051281.4845767205</v>
      </c>
      <c r="F58" s="3">
        <f t="shared" si="1"/>
        <v>-0.17367866440676227</v>
      </c>
      <c r="G58" s="3">
        <f t="shared" si="2"/>
        <v>-0.19423421996231782</v>
      </c>
      <c r="H58" s="34">
        <v>2696.69</v>
      </c>
      <c r="I58" s="3">
        <f t="shared" si="3"/>
        <v>0.8115948530456274</v>
      </c>
      <c r="J58" s="3">
        <f t="shared" si="4"/>
        <v>0.79103929749007185</v>
      </c>
      <c r="K58" s="3">
        <f t="shared" si="10"/>
        <v>3.772693220437006E-2</v>
      </c>
      <c r="L58" s="3">
        <f t="shared" si="5"/>
        <v>0.62574317017358638</v>
      </c>
      <c r="M58" s="3">
        <f t="shared" si="6"/>
        <v>-0.15364690090752398</v>
      </c>
      <c r="O58" s="8">
        <v>-1.3007290801574922</v>
      </c>
      <c r="P58" s="26">
        <f t="shared" si="7"/>
        <v>-1.3007290801574922E-2</v>
      </c>
      <c r="X58" s="7">
        <v>-1.3007290801574922E-2</v>
      </c>
      <c r="AF58" s="8">
        <v>-1.3007290801574922</v>
      </c>
      <c r="AG58" s="8">
        <f t="shared" si="8"/>
        <v>-1.3007290801574922</v>
      </c>
      <c r="AH58" s="8">
        <v>-2.618664214233446</v>
      </c>
      <c r="AI58" s="7">
        <f t="shared" si="9"/>
        <v>-2.618664214233446E-2</v>
      </c>
    </row>
    <row r="59" spans="1:35" x14ac:dyDescent="0.35">
      <c r="A59" s="9">
        <v>43686</v>
      </c>
      <c r="B59" s="10">
        <f>Расчеты!G63/360</f>
        <v>2.0583333333333335E-2</v>
      </c>
      <c r="C59" s="34">
        <f>SNGS!C50</f>
        <v>26.245000000000001</v>
      </c>
      <c r="D59" s="34">
        <f>'FXGD ETF'!C50</f>
        <v>682.4</v>
      </c>
      <c r="E59" s="34">
        <f t="shared" si="0"/>
        <v>1058031.2765881792</v>
      </c>
      <c r="F59" s="3">
        <f t="shared" si="1"/>
        <v>0.64205373256205345</v>
      </c>
      <c r="G59" s="3">
        <f t="shared" si="2"/>
        <v>0.62147039922872016</v>
      </c>
      <c r="H59" s="34">
        <v>2679.71</v>
      </c>
      <c r="I59" s="3">
        <f t="shared" si="3"/>
        <v>-0.62966080639599298</v>
      </c>
      <c r="J59" s="3">
        <f t="shared" si="4"/>
        <v>-0.65024413972932626</v>
      </c>
      <c r="K59" s="3">
        <f t="shared" si="10"/>
        <v>0.38622545711750483</v>
      </c>
      <c r="L59" s="3">
        <f t="shared" si="5"/>
        <v>0.42281744125233156</v>
      </c>
      <c r="M59" s="3">
        <f t="shared" si="6"/>
        <v>-0.40410748511372008</v>
      </c>
      <c r="O59" s="8">
        <v>-1.2543953237484917</v>
      </c>
      <c r="P59" s="26">
        <f t="shared" si="7"/>
        <v>-1.2543953237484917E-2</v>
      </c>
      <c r="X59" s="7">
        <v>-1.2543953237484917E-2</v>
      </c>
      <c r="AF59" s="8">
        <v>-1.2543953237484917</v>
      </c>
      <c r="AG59" s="8">
        <f t="shared" si="8"/>
        <v>-1.2543953237484917</v>
      </c>
      <c r="AH59" s="8">
        <v>-2.5994652497687287</v>
      </c>
      <c r="AI59" s="7">
        <f t="shared" si="9"/>
        <v>-2.5994652497687287E-2</v>
      </c>
    </row>
    <row r="60" spans="1:35" x14ac:dyDescent="0.35">
      <c r="A60" s="9">
        <v>43689</v>
      </c>
      <c r="B60" s="10">
        <f>Расчеты!G64/360</f>
        <v>2.0583333333333335E-2</v>
      </c>
      <c r="C60" s="34">
        <f>SNGS!C51</f>
        <v>26.645</v>
      </c>
      <c r="D60" s="34">
        <f>'FXGD ETF'!C51</f>
        <v>683.6</v>
      </c>
      <c r="E60" s="34">
        <f t="shared" si="0"/>
        <v>1071410.6668187508</v>
      </c>
      <c r="F60" s="3">
        <f t="shared" si="1"/>
        <v>1.2645552666189497</v>
      </c>
      <c r="G60" s="3">
        <f t="shared" si="2"/>
        <v>1.2439719332856163</v>
      </c>
      <c r="H60" s="34">
        <v>2689.93</v>
      </c>
      <c r="I60" s="3">
        <f t="shared" si="3"/>
        <v>0.38138455280607442</v>
      </c>
      <c r="J60" s="3">
        <f t="shared" si="4"/>
        <v>0.36080121947274107</v>
      </c>
      <c r="K60" s="3">
        <f t="shared" si="10"/>
        <v>1.5474661708023538</v>
      </c>
      <c r="L60" s="3">
        <f t="shared" si="5"/>
        <v>0.13017751997301708</v>
      </c>
      <c r="M60" s="3">
        <f t="shared" si="6"/>
        <v>0.44882659051931367</v>
      </c>
      <c r="O60" s="8">
        <v>-1.2519586867228649</v>
      </c>
      <c r="P60" s="26">
        <f t="shared" si="7"/>
        <v>-1.2519586867228649E-2</v>
      </c>
      <c r="X60" s="7">
        <v>-1.2519586867228649E-2</v>
      </c>
      <c r="AF60" s="8">
        <v>-1.2519586867228649</v>
      </c>
      <c r="AG60" s="8">
        <f t="shared" si="8"/>
        <v>-1.2519586867228649</v>
      </c>
      <c r="AH60" s="8">
        <v>-2.5245335677778424</v>
      </c>
      <c r="AI60" s="7">
        <f t="shared" si="9"/>
        <v>-2.5245335677778424E-2</v>
      </c>
    </row>
    <row r="61" spans="1:35" x14ac:dyDescent="0.35">
      <c r="A61" s="9">
        <v>43690</v>
      </c>
      <c r="B61" s="10">
        <f>Расчеты!G65/360</f>
        <v>2.0500000000000001E-2</v>
      </c>
      <c r="C61" s="34">
        <f>SNGS!C52</f>
        <v>26.594999999999999</v>
      </c>
      <c r="D61" s="34">
        <f>'FXGD ETF'!C52</f>
        <v>677.2</v>
      </c>
      <c r="E61" s="34">
        <f t="shared" si="0"/>
        <v>1067872.8040642061</v>
      </c>
      <c r="F61" s="3">
        <f t="shared" si="1"/>
        <v>-0.33020604182049107</v>
      </c>
      <c r="G61" s="3">
        <f t="shared" si="2"/>
        <v>-0.35070604182049109</v>
      </c>
      <c r="H61" s="34">
        <v>2680.12</v>
      </c>
      <c r="I61" s="3">
        <f t="shared" si="3"/>
        <v>-0.36469350503544051</v>
      </c>
      <c r="J61" s="3">
        <f t="shared" si="4"/>
        <v>-0.38519350503544053</v>
      </c>
      <c r="K61" s="3">
        <f t="shared" si="10"/>
        <v>0.12299472776939605</v>
      </c>
      <c r="L61" s="3">
        <f t="shared" si="5"/>
        <v>0.14837403632148796</v>
      </c>
      <c r="M61" s="3">
        <f t="shared" si="6"/>
        <v>0.13508968948594074</v>
      </c>
      <c r="O61" s="8">
        <v>-1.2489587495263854</v>
      </c>
      <c r="P61" s="26">
        <f t="shared" si="7"/>
        <v>-1.2489587495263854E-2</v>
      </c>
      <c r="X61" s="7">
        <v>-1.2489587495263854E-2</v>
      </c>
      <c r="AF61" s="8">
        <v>-1.2489587495263854</v>
      </c>
      <c r="AG61" s="8">
        <f t="shared" si="8"/>
        <v>-1.2489587495263854</v>
      </c>
      <c r="AH61" s="8">
        <v>-2.4940753957677586</v>
      </c>
      <c r="AI61" s="7">
        <f t="shared" si="9"/>
        <v>-2.4940753957677586E-2</v>
      </c>
    </row>
    <row r="62" spans="1:35" x14ac:dyDescent="0.35">
      <c r="A62" s="9">
        <v>43691</v>
      </c>
      <c r="B62" s="10">
        <f>Расчеты!G66/360</f>
        <v>2.0472222222222222E-2</v>
      </c>
      <c r="C62" s="34">
        <f>SNGS!C53</f>
        <v>26.1</v>
      </c>
      <c r="D62" s="34">
        <f>'FXGD ETF'!C53</f>
        <v>693.6</v>
      </c>
      <c r="E62" s="34">
        <f t="shared" si="0"/>
        <v>1056653.9488268036</v>
      </c>
      <c r="F62" s="3">
        <f t="shared" si="1"/>
        <v>-1.0505797314722121</v>
      </c>
      <c r="G62" s="3">
        <f t="shared" si="2"/>
        <v>-1.0710519536944343</v>
      </c>
      <c r="H62" s="34">
        <v>2637.04</v>
      </c>
      <c r="I62" s="3">
        <f t="shared" si="3"/>
        <v>-1.6073907138486332</v>
      </c>
      <c r="J62" s="3">
        <f t="shared" si="4"/>
        <v>-1.6278629360708554</v>
      </c>
      <c r="K62" s="3">
        <f t="shared" si="10"/>
        <v>1.1471522875126645</v>
      </c>
      <c r="L62" s="3">
        <f t="shared" si="5"/>
        <v>2.6499377386332261</v>
      </c>
      <c r="M62" s="3">
        <f t="shared" si="6"/>
        <v>1.7435257780254476</v>
      </c>
      <c r="O62" s="8">
        <v>-1.2467343230483929</v>
      </c>
      <c r="P62" s="26">
        <f t="shared" si="7"/>
        <v>-1.2467343230483929E-2</v>
      </c>
      <c r="X62" s="7">
        <v>-1.2467343230483929E-2</v>
      </c>
      <c r="AF62" s="8">
        <v>-1.2467343230483929</v>
      </c>
      <c r="AG62" s="8">
        <f t="shared" si="8"/>
        <v>-1.2467343230483929</v>
      </c>
      <c r="AH62" s="8">
        <v>-2.3313369832191011</v>
      </c>
      <c r="AI62" s="7">
        <f t="shared" si="9"/>
        <v>-2.3313369832191011E-2</v>
      </c>
    </row>
    <row r="63" spans="1:35" x14ac:dyDescent="0.35">
      <c r="A63" s="9">
        <v>43692</v>
      </c>
      <c r="B63" s="10">
        <f>Расчеты!G67/360</f>
        <v>2.0444444444444446E-2</v>
      </c>
      <c r="C63" s="34">
        <f>SNGS!C54</f>
        <v>25.8</v>
      </c>
      <c r="D63" s="34">
        <f>'FXGD ETF'!C54</f>
        <v>696.6</v>
      </c>
      <c r="E63" s="34">
        <f t="shared" si="0"/>
        <v>1047783.4400747262</v>
      </c>
      <c r="F63" s="3">
        <f t="shared" si="1"/>
        <v>-0.83949042748822089</v>
      </c>
      <c r="G63" s="3">
        <f t="shared" si="2"/>
        <v>-0.85993487193266538</v>
      </c>
      <c r="H63" s="34">
        <v>2625.58</v>
      </c>
      <c r="I63" s="3">
        <f t="shared" si="3"/>
        <v>-0.43457816339532718</v>
      </c>
      <c r="J63" s="3">
        <f t="shared" si="4"/>
        <v>-0.45502260783977161</v>
      </c>
      <c r="K63" s="3">
        <f t="shared" si="10"/>
        <v>0.73948798396584958</v>
      </c>
      <c r="L63" s="3">
        <f t="shared" si="5"/>
        <v>0.2070455736453066</v>
      </c>
      <c r="M63" s="3">
        <f t="shared" si="6"/>
        <v>0.39128980799916141</v>
      </c>
      <c r="O63" s="8">
        <v>-1.202072094748452</v>
      </c>
      <c r="P63" s="26">
        <f t="shared" si="7"/>
        <v>-1.202072094748452E-2</v>
      </c>
      <c r="X63" s="7">
        <v>-1.202072094748452E-2</v>
      </c>
      <c r="AF63" s="8">
        <v>-1.202072094748452</v>
      </c>
      <c r="AG63" s="8">
        <f t="shared" si="8"/>
        <v>-1.202072094748452</v>
      </c>
      <c r="AH63" s="8">
        <v>-2.2836572651955267</v>
      </c>
      <c r="AI63" s="7">
        <f t="shared" si="9"/>
        <v>-2.2836572651955267E-2</v>
      </c>
    </row>
    <row r="64" spans="1:35" x14ac:dyDescent="0.35">
      <c r="A64" s="9">
        <v>43693</v>
      </c>
      <c r="B64" s="10">
        <f>Расчеты!G68/360</f>
        <v>2.0472222222222222E-2</v>
      </c>
      <c r="C64" s="34">
        <f>SNGS!C55</f>
        <v>25.8</v>
      </c>
      <c r="D64" s="34">
        <f>'FXGD ETF'!C55</f>
        <v>695.8</v>
      </c>
      <c r="E64" s="34">
        <f t="shared" si="0"/>
        <v>1047544.6638858336</v>
      </c>
      <c r="F64" s="3">
        <f t="shared" si="1"/>
        <v>-2.2788696572229039E-2</v>
      </c>
      <c r="G64" s="3">
        <f t="shared" si="2"/>
        <v>-4.3260918794451264E-2</v>
      </c>
      <c r="H64" s="34">
        <v>2615.1999999999998</v>
      </c>
      <c r="I64" s="3">
        <f t="shared" si="3"/>
        <v>-0.39534121984475812</v>
      </c>
      <c r="J64" s="3">
        <f t="shared" si="4"/>
        <v>-0.41581344206698034</v>
      </c>
      <c r="K64" s="3">
        <f t="shared" si="10"/>
        <v>1.8715070949401067E-3</v>
      </c>
      <c r="L64" s="3">
        <f t="shared" si="5"/>
        <v>0.17290081860359002</v>
      </c>
      <c r="M64" s="3">
        <f t="shared" si="6"/>
        <v>1.79884715509009E-2</v>
      </c>
      <c r="O64" s="8">
        <v>-1.1715344791031534</v>
      </c>
      <c r="P64" s="26">
        <f t="shared" si="7"/>
        <v>-1.1715344791031534E-2</v>
      </c>
      <c r="X64" s="7">
        <v>-1.1715344791031534E-2</v>
      </c>
      <c r="AF64" s="8">
        <v>-1.1715344791031534</v>
      </c>
      <c r="AG64" s="8">
        <f t="shared" si="8"/>
        <v>-1.1715344791031534</v>
      </c>
      <c r="AH64" s="8">
        <v>-2.2642030814170044</v>
      </c>
      <c r="AI64" s="7">
        <f t="shared" si="9"/>
        <v>-2.2642030814170044E-2</v>
      </c>
    </row>
    <row r="65" spans="1:35" x14ac:dyDescent="0.35">
      <c r="A65" s="9">
        <v>43696</v>
      </c>
      <c r="B65" s="10">
        <f>Расчеты!G69/360</f>
        <v>2.0472222222222222E-2</v>
      </c>
      <c r="C65" s="34">
        <f>SNGS!C56</f>
        <v>25.875</v>
      </c>
      <c r="D65" s="34">
        <f>'FXGD ETF'!C56</f>
        <v>693.8</v>
      </c>
      <c r="E65" s="34">
        <f t="shared" si="0"/>
        <v>1049389.2032787083</v>
      </c>
      <c r="F65" s="3">
        <f t="shared" si="1"/>
        <v>0.17608217162143891</v>
      </c>
      <c r="G65" s="3">
        <f t="shared" si="2"/>
        <v>0.15560994939921668</v>
      </c>
      <c r="H65" s="34">
        <v>2648.09</v>
      </c>
      <c r="I65" s="3">
        <f t="shared" si="3"/>
        <v>1.2576475986540325</v>
      </c>
      <c r="J65" s="3">
        <f t="shared" si="4"/>
        <v>1.2371753764318103</v>
      </c>
      <c r="K65" s="3">
        <f t="shared" si="10"/>
        <v>2.4214456352026778E-2</v>
      </c>
      <c r="L65" s="3">
        <f t="shared" si="5"/>
        <v>1.5306029120491915</v>
      </c>
      <c r="M65" s="3">
        <f t="shared" si="6"/>
        <v>0.19251679772451086</v>
      </c>
      <c r="O65" s="8">
        <v>-1.1701972144026795</v>
      </c>
      <c r="P65" s="26">
        <f t="shared" si="7"/>
        <v>-1.1701972144026795E-2</v>
      </c>
      <c r="X65" s="7">
        <v>-1.1701972144026795E-2</v>
      </c>
      <c r="AF65" s="8">
        <v>-1.1701972144026795</v>
      </c>
      <c r="AG65" s="8">
        <f t="shared" si="8"/>
        <v>-1.1701972144026795</v>
      </c>
      <c r="AH65" s="8">
        <v>-2.2127395421045915</v>
      </c>
      <c r="AI65" s="7">
        <f t="shared" si="9"/>
        <v>-2.2127395421045915E-2</v>
      </c>
    </row>
    <row r="66" spans="1:35" x14ac:dyDescent="0.35">
      <c r="A66" s="9">
        <v>43697</v>
      </c>
      <c r="B66" s="10">
        <f>Расчеты!G70/360</f>
        <v>2.0500000000000001E-2</v>
      </c>
      <c r="C66" s="34">
        <f>SNGS!C57</f>
        <v>26.055</v>
      </c>
      <c r="D66" s="34">
        <f>'FXGD ETF'!C57</f>
        <v>694.6</v>
      </c>
      <c r="E66" s="34">
        <f t="shared" si="0"/>
        <v>1055487.5311438555</v>
      </c>
      <c r="F66" s="3">
        <f t="shared" si="1"/>
        <v>0.58113118050897583</v>
      </c>
      <c r="G66" s="3">
        <f t="shared" si="2"/>
        <v>0.56063118050897587</v>
      </c>
      <c r="H66" s="34">
        <v>2672.84</v>
      </c>
      <c r="I66" s="3">
        <f t="shared" si="3"/>
        <v>0.93463590738984692</v>
      </c>
      <c r="J66" s="3">
        <f t="shared" si="4"/>
        <v>0.91413590738984696</v>
      </c>
      <c r="K66" s="3">
        <f t="shared" si="10"/>
        <v>0.31430732055888788</v>
      </c>
      <c r="L66" s="3">
        <f t="shared" si="5"/>
        <v>0.8356444571794589</v>
      </c>
      <c r="M66" s="3">
        <f t="shared" si="6"/>
        <v>0.51249309290561373</v>
      </c>
      <c r="O66" s="8">
        <v>-1.163843775435458</v>
      </c>
      <c r="P66" s="26">
        <f t="shared" si="7"/>
        <v>-1.163843775435458E-2</v>
      </c>
      <c r="X66" s="7">
        <v>-1.163843775435458E-2</v>
      </c>
      <c r="AF66" s="8">
        <v>-1.163843775435458</v>
      </c>
      <c r="AG66" s="8">
        <f t="shared" si="8"/>
        <v>-1.163843775435458</v>
      </c>
      <c r="AH66" s="8">
        <v>-2.2049093387164875</v>
      </c>
      <c r="AI66" s="7">
        <f t="shared" si="9"/>
        <v>-2.2049093387164875E-2</v>
      </c>
    </row>
    <row r="67" spans="1:35" x14ac:dyDescent="0.35">
      <c r="A67" s="9">
        <v>43698</v>
      </c>
      <c r="B67" s="10">
        <f>Расчеты!G71/360</f>
        <v>2.0500000000000001E-2</v>
      </c>
      <c r="C67" s="34">
        <f>SNGS!C58</f>
        <v>25.844999999999999</v>
      </c>
      <c r="D67" s="34">
        <f>'FXGD ETF'!C58</f>
        <v>685</v>
      </c>
      <c r="E67" s="34">
        <f t="shared" si="0"/>
        <v>1045786.0732548474</v>
      </c>
      <c r="F67" s="3">
        <f t="shared" si="1"/>
        <v>-0.91914471774899864</v>
      </c>
      <c r="G67" s="3">
        <f t="shared" si="2"/>
        <v>-0.9396447177489986</v>
      </c>
      <c r="H67" s="34">
        <v>2673.95</v>
      </c>
      <c r="I67" s="3">
        <f t="shared" si="3"/>
        <v>4.1528860687489733E-2</v>
      </c>
      <c r="J67" s="3">
        <f t="shared" si="4"/>
        <v>2.1028860687489732E-2</v>
      </c>
      <c r="K67" s="3">
        <f t="shared" si="10"/>
        <v>0.88293219559359526</v>
      </c>
      <c r="L67" s="3">
        <f t="shared" si="5"/>
        <v>4.4221298181385113E-4</v>
      </c>
      <c r="M67" s="3">
        <f t="shared" si="6"/>
        <v>-1.9759657865279303E-2</v>
      </c>
      <c r="O67" s="8">
        <v>-1.1500188978502024</v>
      </c>
      <c r="P67" s="26">
        <f t="shared" si="7"/>
        <v>-1.1500188978502024E-2</v>
      </c>
      <c r="X67" s="7">
        <v>-1.1500188978502024E-2</v>
      </c>
      <c r="AF67" s="8">
        <v>-1.1500188978502024</v>
      </c>
      <c r="AG67" s="8">
        <f t="shared" si="8"/>
        <v>-1.1500188978502024</v>
      </c>
      <c r="AH67" s="8">
        <v>-2.2038129810585394</v>
      </c>
      <c r="AI67" s="7">
        <f t="shared" si="9"/>
        <v>-2.2038129810585394E-2</v>
      </c>
    </row>
    <row r="68" spans="1:35" x14ac:dyDescent="0.35">
      <c r="A68" s="9">
        <v>43699</v>
      </c>
      <c r="B68" s="10">
        <f>Расчеты!G72/360</f>
        <v>2.0472222222222222E-2</v>
      </c>
      <c r="C68" s="34">
        <f>SNGS!C59</f>
        <v>25.55</v>
      </c>
      <c r="D68" s="34">
        <f>'FXGD ETF'!C59</f>
        <v>681.8</v>
      </c>
      <c r="E68" s="34">
        <f t="shared" si="0"/>
        <v>1035227.8143631929</v>
      </c>
      <c r="F68" s="3">
        <f t="shared" si="1"/>
        <v>-1.0096002578035446</v>
      </c>
      <c r="G68" s="3">
        <f t="shared" si="2"/>
        <v>-1.0300724800257668</v>
      </c>
      <c r="H68" s="34">
        <v>2675.13</v>
      </c>
      <c r="I68" s="3">
        <f t="shared" si="3"/>
        <v>4.4129471381304519E-2</v>
      </c>
      <c r="J68" s="3">
        <f t="shared" si="4"/>
        <v>2.3657249159082298E-2</v>
      </c>
      <c r="K68" s="3">
        <f t="shared" si="10"/>
        <v>1.0610493141064337</v>
      </c>
      <c r="L68" s="3">
        <f t="shared" si="5"/>
        <v>5.5966543777490009E-4</v>
      </c>
      <c r="M68" s="3">
        <f t="shared" si="6"/>
        <v>-2.4368681311883387E-2</v>
      </c>
      <c r="O68" s="8">
        <v>-1.1451662271554031</v>
      </c>
      <c r="P68" s="26">
        <f t="shared" si="7"/>
        <v>-1.1451662271554031E-2</v>
      </c>
      <c r="X68" s="7">
        <v>-1.1451662271554031E-2</v>
      </c>
      <c r="AF68" s="8">
        <v>-1.1451662271554031</v>
      </c>
      <c r="AG68" s="8">
        <f t="shared" si="8"/>
        <v>-1.1451662271554031</v>
      </c>
      <c r="AH68" s="8">
        <v>-2.1868811427661172</v>
      </c>
      <c r="AI68" s="7">
        <f t="shared" si="9"/>
        <v>-2.1868811427661172E-2</v>
      </c>
    </row>
    <row r="69" spans="1:35" x14ac:dyDescent="0.35">
      <c r="A69" s="9">
        <v>43700</v>
      </c>
      <c r="B69" s="10">
        <f>Расчеты!G73/360</f>
        <v>2.0388888888888887E-2</v>
      </c>
      <c r="C69" s="34">
        <f>SNGS!C60</f>
        <v>25.625</v>
      </c>
      <c r="D69" s="34">
        <f>'FXGD ETF'!C60</f>
        <v>697.8</v>
      </c>
      <c r="E69" s="34">
        <f t="shared" si="0"/>
        <v>1042444.8180061508</v>
      </c>
      <c r="F69" s="3">
        <f t="shared" si="1"/>
        <v>0.69714158978595453</v>
      </c>
      <c r="G69" s="3">
        <f t="shared" si="2"/>
        <v>0.67675270089706563</v>
      </c>
      <c r="H69" s="34">
        <v>2660.74</v>
      </c>
      <c r="I69" s="3">
        <f t="shared" si="3"/>
        <v>-0.53791778343483809</v>
      </c>
      <c r="J69" s="3">
        <f t="shared" si="4"/>
        <v>-0.55830667232372699</v>
      </c>
      <c r="K69" s="3">
        <f t="shared" si="10"/>
        <v>0.45799421817147318</v>
      </c>
      <c r="L69" s="3">
        <f t="shared" si="5"/>
        <v>0.31170634036119349</v>
      </c>
      <c r="M69" s="3">
        <f t="shared" si="6"/>
        <v>-0.37783554842393524</v>
      </c>
      <c r="O69" s="8">
        <v>-1.134153895939205</v>
      </c>
      <c r="P69" s="26">
        <f t="shared" si="7"/>
        <v>-1.134153895939205E-2</v>
      </c>
      <c r="X69" s="7">
        <v>-1.134153895939205E-2</v>
      </c>
      <c r="AF69" s="8">
        <v>-1.134153895939205</v>
      </c>
      <c r="AG69" s="8">
        <f t="shared" si="8"/>
        <v>-1.134153895939205</v>
      </c>
      <c r="AH69" s="8">
        <v>-2.126511513773921</v>
      </c>
      <c r="AI69" s="7">
        <f t="shared" si="9"/>
        <v>-2.126511513773921E-2</v>
      </c>
    </row>
    <row r="70" spans="1:35" x14ac:dyDescent="0.35">
      <c r="A70" s="9">
        <v>43703</v>
      </c>
      <c r="B70" s="10">
        <f>Расчеты!G74/360</f>
        <v>2.0527777777777777E-2</v>
      </c>
      <c r="C70" s="34">
        <f>SNGS!C61</f>
        <v>25.515000000000001</v>
      </c>
      <c r="D70" s="34">
        <f>'FXGD ETF'!C61</f>
        <v>699.8</v>
      </c>
      <c r="E70" s="34">
        <f t="shared" si="0"/>
        <v>1039460.9213428933</v>
      </c>
      <c r="F70" s="3">
        <f t="shared" si="1"/>
        <v>-0.28624025096740668</v>
      </c>
      <c r="G70" s="3">
        <f t="shared" si="2"/>
        <v>-0.30676802874518444</v>
      </c>
      <c r="H70" s="34">
        <v>2658.24</v>
      </c>
      <c r="I70" s="3">
        <f t="shared" si="3"/>
        <v>-9.3958823485196241E-2</v>
      </c>
      <c r="J70" s="3">
        <f t="shared" si="4"/>
        <v>-0.11448660126297402</v>
      </c>
      <c r="K70" s="3">
        <f t="shared" si="10"/>
        <v>9.4106623460206304E-2</v>
      </c>
      <c r="L70" s="3">
        <f t="shared" si="5"/>
        <v>1.3107181868747205E-2</v>
      </c>
      <c r="M70" s="3">
        <f t="shared" si="6"/>
        <v>3.5120828987178485E-2</v>
      </c>
      <c r="O70" s="8">
        <v>-1.1196257382642516</v>
      </c>
      <c r="P70" s="26">
        <f t="shared" si="7"/>
        <v>-1.1196257382642516E-2</v>
      </c>
      <c r="X70" s="7">
        <v>-1.1196257382642516E-2</v>
      </c>
      <c r="AF70" s="8">
        <v>-1.1196257382642516</v>
      </c>
      <c r="AG70" s="8">
        <f t="shared" si="8"/>
        <v>-1.1196257382642516</v>
      </c>
      <c r="AH70" s="8">
        <v>-2.0900443838627214</v>
      </c>
      <c r="AI70" s="7">
        <f t="shared" si="9"/>
        <v>-2.0900443838627214E-2</v>
      </c>
    </row>
    <row r="71" spans="1:35" x14ac:dyDescent="0.35">
      <c r="A71" s="9">
        <v>43704</v>
      </c>
      <c r="B71" s="10">
        <f>Расчеты!G75/360</f>
        <v>2.0583333333333335E-2</v>
      </c>
      <c r="C71" s="34">
        <f>SNGS!C62</f>
        <v>26.094999999999999</v>
      </c>
      <c r="D71" s="34">
        <f>'FXGD ETF'!C62</f>
        <v>710.6</v>
      </c>
      <c r="E71" s="34">
        <f t="shared" si="0"/>
        <v>1061565.1775164304</v>
      </c>
      <c r="F71" s="3">
        <f t="shared" si="1"/>
        <v>2.126511513773921</v>
      </c>
      <c r="G71" s="3">
        <f t="shared" si="2"/>
        <v>2.1059281804405878</v>
      </c>
      <c r="H71" s="34">
        <v>2659.35</v>
      </c>
      <c r="I71" s="3">
        <f t="shared" si="3"/>
        <v>4.1756951968219269E-2</v>
      </c>
      <c r="J71" s="3">
        <f t="shared" si="4"/>
        <v>2.1173618634885934E-2</v>
      </c>
      <c r="K71" s="3">
        <f t="shared" si="10"/>
        <v>4.4349335011738047</v>
      </c>
      <c r="L71" s="3">
        <f t="shared" si="5"/>
        <v>4.4832212609558885E-4</v>
      </c>
      <c r="M71" s="3">
        <f t="shared" si="6"/>
        <v>4.4590120165108257E-2</v>
      </c>
      <c r="O71" s="8">
        <v>-1.0875829723870356</v>
      </c>
      <c r="P71" s="26">
        <f t="shared" si="7"/>
        <v>-1.0875829723870356E-2</v>
      </c>
      <c r="X71" s="7">
        <v>-1.0875829723870356E-2</v>
      </c>
      <c r="AF71" s="8">
        <v>-1.0875829723870356</v>
      </c>
      <c r="AG71" s="8">
        <f t="shared" si="8"/>
        <v>-1.0875829723870356</v>
      </c>
      <c r="AH71" s="8">
        <v>-2.0827318083633806</v>
      </c>
      <c r="AI71" s="7">
        <f t="shared" si="9"/>
        <v>-2.0827318083633806E-2</v>
      </c>
    </row>
    <row r="72" spans="1:35" x14ac:dyDescent="0.35">
      <c r="A72" s="9">
        <v>43705</v>
      </c>
      <c r="B72" s="10">
        <f>Расчеты!G76/360</f>
        <v>2.0638888888888887E-2</v>
      </c>
      <c r="C72" s="34">
        <f>SNGS!C63</f>
        <v>26.274999999999999</v>
      </c>
      <c r="D72" s="34">
        <f>'FXGD ETF'!C63</f>
        <v>708.2</v>
      </c>
      <c r="E72" s="34">
        <f t="shared" si="0"/>
        <v>1066708.4006260075</v>
      </c>
      <c r="F72" s="3">
        <f t="shared" si="1"/>
        <v>0.48449433143709086</v>
      </c>
      <c r="G72" s="3">
        <f t="shared" si="2"/>
        <v>0.46385544254820199</v>
      </c>
      <c r="H72" s="34">
        <v>2677.31</v>
      </c>
      <c r="I72" s="3">
        <f t="shared" si="3"/>
        <v>0.67535299979317731</v>
      </c>
      <c r="J72" s="3">
        <f t="shared" si="4"/>
        <v>0.65471411090428844</v>
      </c>
      <c r="K72" s="3">
        <f t="shared" si="10"/>
        <v>0.21516187158158831</v>
      </c>
      <c r="L72" s="3">
        <f t="shared" si="5"/>
        <v>0.4286505670171929</v>
      </c>
      <c r="M72" s="3">
        <f t="shared" si="6"/>
        <v>0.30369270365606132</v>
      </c>
      <c r="O72" s="8">
        <v>-1.0525193983666692</v>
      </c>
      <c r="P72" s="26">
        <f t="shared" si="7"/>
        <v>-1.0525193983666692E-2</v>
      </c>
      <c r="X72" s="7">
        <v>-1.0525193983666692E-2</v>
      </c>
      <c r="AF72" s="8">
        <v>-1.0525193983666692</v>
      </c>
      <c r="AG72" s="8">
        <f t="shared" si="8"/>
        <v>-1.0525193983666692</v>
      </c>
      <c r="AH72" s="8">
        <v>-2.0763298227275184</v>
      </c>
      <c r="AI72" s="7">
        <f t="shared" si="9"/>
        <v>-2.0763298227275184E-2</v>
      </c>
    </row>
    <row r="73" spans="1:35" x14ac:dyDescent="0.35">
      <c r="A73" s="9">
        <v>43706</v>
      </c>
      <c r="B73" s="10">
        <f>Расчеты!G77/360</f>
        <v>2.0555555555555556E-2</v>
      </c>
      <c r="C73" s="34">
        <f>SNGS!C64</f>
        <v>26.54</v>
      </c>
      <c r="D73" s="34">
        <f>'FXGD ETF'!C64</f>
        <v>708.4</v>
      </c>
      <c r="E73" s="34">
        <f t="shared" si="0"/>
        <v>1075394.6568632722</v>
      </c>
      <c r="F73" s="3">
        <f t="shared" si="1"/>
        <v>0.81430466209575503</v>
      </c>
      <c r="G73" s="3">
        <f t="shared" si="2"/>
        <v>0.79374910654019948</v>
      </c>
      <c r="H73" s="34">
        <v>2714.25</v>
      </c>
      <c r="I73" s="3">
        <f t="shared" si="3"/>
        <v>1.3797431003507166</v>
      </c>
      <c r="J73" s="3">
        <f t="shared" si="4"/>
        <v>1.3591875447951609</v>
      </c>
      <c r="K73" s="3">
        <f t="shared" si="10"/>
        <v>0.63003764413336494</v>
      </c>
      <c r="L73" s="3">
        <f t="shared" si="5"/>
        <v>1.8473907819262976</v>
      </c>
      <c r="M73" s="3">
        <f t="shared" si="6"/>
        <v>1.0788538993017263</v>
      </c>
      <c r="O73" s="8">
        <v>-1.0505797314722121</v>
      </c>
      <c r="P73" s="26">
        <f t="shared" si="7"/>
        <v>-1.0505797314722121E-2</v>
      </c>
      <c r="X73" s="7">
        <v>-1.0505797314722121E-2</v>
      </c>
      <c r="AF73" s="8">
        <v>-1.0505797314722121</v>
      </c>
      <c r="AG73" s="8">
        <f t="shared" si="8"/>
        <v>-1.0505797314722121</v>
      </c>
      <c r="AH73" s="8">
        <v>-2.0081283418558415</v>
      </c>
      <c r="AI73" s="7">
        <f t="shared" si="9"/>
        <v>-2.0081283418558415E-2</v>
      </c>
    </row>
    <row r="74" spans="1:35" x14ac:dyDescent="0.35">
      <c r="A74" s="9">
        <v>43707</v>
      </c>
      <c r="B74" s="10">
        <f>Расчеты!G78/360</f>
        <v>2.0500000000000001E-2</v>
      </c>
      <c r="C74" s="34">
        <f>SNGS!C65</f>
        <v>27.45</v>
      </c>
      <c r="D74" s="34">
        <f>'FXGD ETF'!C65</f>
        <v>705.2</v>
      </c>
      <c r="E74" s="34">
        <f t="shared" si="0"/>
        <v>1104062.8411376562</v>
      </c>
      <c r="F74" s="3">
        <f t="shared" si="1"/>
        <v>2.6658291531784117</v>
      </c>
      <c r="G74" s="3">
        <f t="shared" si="2"/>
        <v>2.6453291531784116</v>
      </c>
      <c r="H74" s="34">
        <v>2740.04</v>
      </c>
      <c r="I74" s="3">
        <f t="shared" si="3"/>
        <v>0.95017039697891104</v>
      </c>
      <c r="J74" s="3">
        <f t="shared" si="4"/>
        <v>0.92967039697891107</v>
      </c>
      <c r="K74" s="3">
        <f t="shared" si="10"/>
        <v>6.9977663286556115</v>
      </c>
      <c r="L74" s="3">
        <f t="shared" si="5"/>
        <v>0.86428704701892611</v>
      </c>
      <c r="M74" s="3">
        <f t="shared" si="6"/>
        <v>2.4592842039752605</v>
      </c>
      <c r="O74" s="8">
        <v>-1.035367211334659</v>
      </c>
      <c r="P74" s="26">
        <f t="shared" si="7"/>
        <v>-1.035367211334659E-2</v>
      </c>
      <c r="X74" s="7">
        <v>-1.035367211334659E-2</v>
      </c>
      <c r="AF74" s="8">
        <v>-1.035367211334659</v>
      </c>
      <c r="AG74" s="8">
        <f t="shared" si="8"/>
        <v>-1.035367211334659</v>
      </c>
      <c r="AH74" s="8">
        <v>-2.0080122221598939</v>
      </c>
      <c r="AI74" s="7">
        <f t="shared" si="9"/>
        <v>-2.0080122221598939E-2</v>
      </c>
    </row>
    <row r="75" spans="1:35" x14ac:dyDescent="0.35">
      <c r="A75" s="9">
        <v>43710</v>
      </c>
      <c r="B75" s="10">
        <f>Расчеты!G79/360</f>
        <v>2.0500000000000001E-2</v>
      </c>
      <c r="C75" s="34">
        <f>SNGS!C66</f>
        <v>30.824999999999999</v>
      </c>
      <c r="D75" s="34">
        <f>'FXGD ETF'!C66</f>
        <v>704.6</v>
      </c>
      <c r="E75" s="34">
        <f t="shared" si="0"/>
        <v>1213750.3529257625</v>
      </c>
      <c r="F75" s="3">
        <f t="shared" si="1"/>
        <v>9.9348975168008771</v>
      </c>
      <c r="G75" s="3">
        <f t="shared" si="2"/>
        <v>9.9143975168008769</v>
      </c>
      <c r="H75" s="34">
        <v>2773.01</v>
      </c>
      <c r="I75" s="3">
        <f t="shared" si="3"/>
        <v>1.2032671055897115</v>
      </c>
      <c r="J75" s="3">
        <f t="shared" si="4"/>
        <v>1.1827671055897115</v>
      </c>
      <c r="K75" s="3">
        <f t="shared" si="10"/>
        <v>98.29527812114739</v>
      </c>
      <c r="L75" s="3">
        <f t="shared" si="5"/>
        <v>1.3989380260650639</v>
      </c>
      <c r="M75" s="3">
        <f t="shared" si="6"/>
        <v>11.726423254612397</v>
      </c>
      <c r="O75" s="8">
        <v>-1.0247239593922375</v>
      </c>
      <c r="P75" s="26">
        <f t="shared" si="7"/>
        <v>-1.0247239593922375E-2</v>
      </c>
      <c r="X75" s="7">
        <v>-1.0247239593922375E-2</v>
      </c>
      <c r="AF75" s="8">
        <v>-1.0247239593922375</v>
      </c>
      <c r="AG75" s="8">
        <f t="shared" si="8"/>
        <v>-1.0247239593922375</v>
      </c>
      <c r="AH75" s="8">
        <v>-1.9557591005055386</v>
      </c>
      <c r="AI75" s="7">
        <f t="shared" si="9"/>
        <v>-1.9557591005055386E-2</v>
      </c>
    </row>
    <row r="76" spans="1:35" x14ac:dyDescent="0.35">
      <c r="A76" s="9">
        <v>43711</v>
      </c>
      <c r="B76" s="10">
        <f>Расчеты!G80/360</f>
        <v>2.0472222222222222E-2</v>
      </c>
      <c r="C76" s="34">
        <f>SNGS!C67</f>
        <v>35.5</v>
      </c>
      <c r="D76" s="34">
        <f>'FXGD ETF'!C67</f>
        <v>718</v>
      </c>
      <c r="E76" s="34">
        <f t="shared" si="0"/>
        <v>1369935.4323479957</v>
      </c>
      <c r="F76" s="3">
        <f t="shared" si="1"/>
        <v>12.867973965630309</v>
      </c>
      <c r="G76" s="3">
        <f t="shared" si="2"/>
        <v>12.847501743408086</v>
      </c>
      <c r="H76" s="34">
        <v>2774.2</v>
      </c>
      <c r="I76" s="3">
        <f t="shared" si="3"/>
        <v>4.2913657000864802E-2</v>
      </c>
      <c r="J76" s="3">
        <f t="shared" si="4"/>
        <v>2.2441434778642581E-2</v>
      </c>
      <c r="K76" s="3">
        <f t="shared" si="10"/>
        <v>165.05830104687382</v>
      </c>
      <c r="L76" s="3">
        <f t="shared" si="5"/>
        <v>5.0361799492406874E-4</v>
      </c>
      <c r="M76" s="3">
        <f t="shared" si="6"/>
        <v>0.28831637244318942</v>
      </c>
      <c r="O76" s="8">
        <v>-1.0096002578035446</v>
      </c>
      <c r="P76" s="26">
        <f t="shared" si="7"/>
        <v>-1.0096002578035446E-2</v>
      </c>
      <c r="X76" s="7">
        <v>-1.0096002578035446E-2</v>
      </c>
      <c r="AF76" s="8">
        <v>-1.0096002578035446</v>
      </c>
      <c r="AG76" s="8">
        <f t="shared" si="8"/>
        <v>-1.0096002578035446</v>
      </c>
      <c r="AH76" s="8">
        <v>-1.9477385155897808</v>
      </c>
      <c r="AI76" s="7">
        <f t="shared" si="9"/>
        <v>-1.9477385155897808E-2</v>
      </c>
    </row>
    <row r="77" spans="1:35" x14ac:dyDescent="0.35">
      <c r="A77" s="9">
        <v>43712</v>
      </c>
      <c r="B77" s="10">
        <f>Расчеты!G81/360</f>
        <v>2.0250000000000001E-2</v>
      </c>
      <c r="C77" s="34">
        <f>SNGS!C68</f>
        <v>35.395000000000003</v>
      </c>
      <c r="D77" s="34">
        <f>'FXGD ETF'!C68</f>
        <v>708.6</v>
      </c>
      <c r="E77" s="34">
        <f t="shared" si="0"/>
        <v>1363711.7403173591</v>
      </c>
      <c r="F77" s="3">
        <f t="shared" si="1"/>
        <v>-0.45430550109719636</v>
      </c>
      <c r="G77" s="3">
        <f t="shared" si="2"/>
        <v>-0.47455550109719635</v>
      </c>
      <c r="H77" s="34">
        <v>2793.36</v>
      </c>
      <c r="I77" s="3">
        <f t="shared" si="3"/>
        <v>0.69064955662894167</v>
      </c>
      <c r="J77" s="3">
        <f t="shared" si="4"/>
        <v>0.67039955662894168</v>
      </c>
      <c r="K77" s="3">
        <f t="shared" si="10"/>
        <v>0.22520292362161112</v>
      </c>
      <c r="L77" s="3">
        <f t="shared" si="5"/>
        <v>0.44943556552828157</v>
      </c>
      <c r="M77" s="3">
        <f t="shared" si="6"/>
        <v>-0.31814179753138566</v>
      </c>
      <c r="O77" s="8">
        <v>-1.0011098838940358</v>
      </c>
      <c r="P77" s="26">
        <f t="shared" si="7"/>
        <v>-1.0011098838940358E-2</v>
      </c>
      <c r="X77" s="7">
        <v>-1.0011098838940358E-2</v>
      </c>
      <c r="AF77" s="8">
        <v>-1.0011098838940358</v>
      </c>
      <c r="AG77" s="8">
        <f t="shared" si="8"/>
        <v>-1.0011098838940358</v>
      </c>
      <c r="AH77" s="8">
        <v>-1.936505182218573</v>
      </c>
      <c r="AI77" s="7">
        <f t="shared" si="9"/>
        <v>-1.936505182218573E-2</v>
      </c>
    </row>
    <row r="78" spans="1:35" x14ac:dyDescent="0.35">
      <c r="A78" s="9">
        <v>43713</v>
      </c>
      <c r="B78" s="10">
        <f>Расчеты!G82/360</f>
        <v>2.0083333333333335E-2</v>
      </c>
      <c r="C78" s="34">
        <f>SNGS!C69</f>
        <v>33.65</v>
      </c>
      <c r="D78" s="34">
        <f>'FXGD ETF'!C69</f>
        <v>693.2</v>
      </c>
      <c r="E78" s="34">
        <f t="shared" si="0"/>
        <v>1302310.2004863743</v>
      </c>
      <c r="F78" s="3">
        <f t="shared" si="1"/>
        <v>-4.5025307046704484</v>
      </c>
      <c r="G78" s="3">
        <f t="shared" si="2"/>
        <v>-4.5226140380037814</v>
      </c>
      <c r="H78" s="34">
        <v>2807.06</v>
      </c>
      <c r="I78" s="3">
        <f t="shared" si="3"/>
        <v>0.4904487785319489</v>
      </c>
      <c r="J78" s="3">
        <f t="shared" si="4"/>
        <v>0.47036544519861556</v>
      </c>
      <c r="K78" s="3">
        <f t="shared" si="10"/>
        <v>20.454037736748869</v>
      </c>
      <c r="L78" s="3">
        <f t="shared" si="5"/>
        <v>0.22124365203689181</v>
      </c>
      <c r="M78" s="3">
        <f t="shared" si="6"/>
        <v>-2.127281365447157</v>
      </c>
      <c r="O78" s="8">
        <v>-0.980418730967203</v>
      </c>
      <c r="P78" s="26">
        <f t="shared" si="7"/>
        <v>-9.80418730967203E-3</v>
      </c>
      <c r="X78" s="7">
        <v>-9.80418730967203E-3</v>
      </c>
      <c r="AF78" s="8">
        <v>-0.980418730967203</v>
      </c>
      <c r="AG78" s="8">
        <f t="shared" si="8"/>
        <v>-0.980418730967203</v>
      </c>
      <c r="AH78" s="8">
        <v>-1.9251035191387711</v>
      </c>
      <c r="AI78" s="7">
        <f t="shared" si="9"/>
        <v>-1.9251035191387711E-2</v>
      </c>
    </row>
    <row r="79" spans="1:35" x14ac:dyDescent="0.35">
      <c r="A79" s="9">
        <v>43714</v>
      </c>
      <c r="B79" s="10">
        <f>Расчеты!G83/360</f>
        <v>1.963888888888889E-2</v>
      </c>
      <c r="C79" s="34">
        <f>SNGS!C70</f>
        <v>33.450000000000003</v>
      </c>
      <c r="D79" s="34">
        <f>'FXGD ETF'!C70</f>
        <v>691.8</v>
      </c>
      <c r="E79" s="34">
        <f t="shared" ref="E79:E142" si="11">$B$8*C79+$C$8*D79</f>
        <v>1295381.7291821961</v>
      </c>
      <c r="F79" s="3">
        <f t="shared" ref="F79:F142" si="12">(E79/E78-1)*100</f>
        <v>-0.5320139012648939</v>
      </c>
      <c r="G79" s="3">
        <f t="shared" ref="G79:G142" si="13">F79-B79</f>
        <v>-0.55165279015378277</v>
      </c>
      <c r="H79" s="34">
        <v>2797.55</v>
      </c>
      <c r="I79" s="3">
        <f t="shared" ref="I79:I142" si="14">(H79/H78-1)*100</f>
        <v>-0.33878862582202851</v>
      </c>
      <c r="J79" s="3">
        <f t="shared" ref="J79:J142" si="15">I79-B79</f>
        <v>-0.35842751471091738</v>
      </c>
      <c r="K79" s="3">
        <f t="shared" si="10"/>
        <v>0.30432080088445351</v>
      </c>
      <c r="L79" s="3">
        <f t="shared" ref="L79:L142" si="16">J79^2</f>
        <v>0.1284702833018449</v>
      </c>
      <c r="M79" s="3">
        <f t="shared" ref="M79:M142" si="17">G79*J79</f>
        <v>0.19772753855816361</v>
      </c>
      <c r="O79" s="8">
        <v>-0.96999854748122116</v>
      </c>
      <c r="P79" s="26">
        <f t="shared" ref="P79:P142" si="18">O79*$P$13</f>
        <v>-9.6999854748122116E-3</v>
      </c>
      <c r="X79" s="7">
        <v>-9.6999854748122116E-3</v>
      </c>
      <c r="AF79" s="8">
        <v>-0.96999854748122116</v>
      </c>
      <c r="AG79" s="8">
        <f t="shared" ref="AG79:AG142" si="19">IF(AF79&lt;0,AF79,AF79*(-1))</f>
        <v>-0.96999854748122116</v>
      </c>
      <c r="AH79" s="8">
        <v>-1.9049446538647263</v>
      </c>
      <c r="AI79" s="7">
        <f t="shared" ref="AI79:AI142" si="20">AH79*$AI$13</f>
        <v>-1.9049446538647263E-2</v>
      </c>
    </row>
    <row r="80" spans="1:35" x14ac:dyDescent="0.35">
      <c r="A80" s="9">
        <v>43717</v>
      </c>
      <c r="B80" s="10">
        <f>Расчеты!G84/360</f>
        <v>1.9416666666666669E-2</v>
      </c>
      <c r="C80" s="34">
        <f>SNGS!C71</f>
        <v>33.06</v>
      </c>
      <c r="D80" s="34">
        <f>'FXGD ETF'!C71</f>
        <v>680</v>
      </c>
      <c r="E80" s="34">
        <f t="shared" si="11"/>
        <v>1279164.0850974787</v>
      </c>
      <c r="F80" s="3">
        <f t="shared" si="12"/>
        <v>-1.2519586867228649</v>
      </c>
      <c r="G80" s="3">
        <f t="shared" si="13"/>
        <v>-1.2713753533895316</v>
      </c>
      <c r="H80" s="34">
        <v>2786.63</v>
      </c>
      <c r="I80" s="3">
        <f t="shared" si="14"/>
        <v>-0.39034154885525529</v>
      </c>
      <c r="J80" s="3">
        <f t="shared" si="15"/>
        <v>-0.40975821552192199</v>
      </c>
      <c r="K80" s="3">
        <f t="shared" ref="K80:K143" si="21">G80^2</f>
        <v>1.6163952892063562</v>
      </c>
      <c r="L80" s="3">
        <f t="shared" si="16"/>
        <v>0.16790179518770987</v>
      </c>
      <c r="M80" s="3">
        <f t="shared" si="17"/>
        <v>0.52095649606344741</v>
      </c>
      <c r="O80" s="8">
        <v>-0.96546084599099524</v>
      </c>
      <c r="P80" s="26">
        <f t="shared" si="18"/>
        <v>-9.6546084599099524E-3</v>
      </c>
      <c r="X80" s="7">
        <v>-9.6546084599099524E-3</v>
      </c>
      <c r="AF80" s="8">
        <v>-0.96546084599099524</v>
      </c>
      <c r="AG80" s="8">
        <f t="shared" si="19"/>
        <v>-0.96546084599099524</v>
      </c>
      <c r="AH80" s="8">
        <v>-1.8933055392270637</v>
      </c>
      <c r="AI80" s="7">
        <f t="shared" si="20"/>
        <v>-1.8933055392270637E-2</v>
      </c>
    </row>
    <row r="81" spans="1:35" x14ac:dyDescent="0.35">
      <c r="A81" s="9">
        <v>43718</v>
      </c>
      <c r="B81" s="10">
        <f>Расчеты!G85/360</f>
        <v>1.938888888888889E-2</v>
      </c>
      <c r="C81" s="34">
        <f>SNGS!C72</f>
        <v>33.590000000000003</v>
      </c>
      <c r="D81" s="34">
        <f>'FXGD ETF'!C72</f>
        <v>676.6</v>
      </c>
      <c r="E81" s="34">
        <f t="shared" si="11"/>
        <v>1295402.4106747685</v>
      </c>
      <c r="F81" s="3">
        <f t="shared" si="12"/>
        <v>1.2694482096917481</v>
      </c>
      <c r="G81" s="3">
        <f t="shared" si="13"/>
        <v>1.2500593208028592</v>
      </c>
      <c r="H81" s="34">
        <v>2787.52</v>
      </c>
      <c r="I81" s="3">
        <f t="shared" si="14"/>
        <v>3.1938219282778846E-2</v>
      </c>
      <c r="J81" s="3">
        <f t="shared" si="15"/>
        <v>1.2549330393889956E-2</v>
      </c>
      <c r="K81" s="3">
        <f t="shared" si="21"/>
        <v>1.5626483055261056</v>
      </c>
      <c r="L81" s="3">
        <f t="shared" si="16"/>
        <v>1.5748569333501024E-4</v>
      </c>
      <c r="M81" s="3">
        <f t="shared" si="17"/>
        <v>1.5687407428716757E-2</v>
      </c>
      <c r="O81" s="8">
        <v>-0.95978739638494792</v>
      </c>
      <c r="P81" s="26">
        <f t="shared" si="18"/>
        <v>-9.5978739638494792E-3</v>
      </c>
      <c r="X81" s="7">
        <v>-9.5978739638494792E-3</v>
      </c>
      <c r="AF81" s="8">
        <v>-0.95978739638494792</v>
      </c>
      <c r="AG81" s="8">
        <f t="shared" si="19"/>
        <v>-0.95978739638494792</v>
      </c>
      <c r="AH81" s="8">
        <v>-1.8813461150050781</v>
      </c>
      <c r="AI81" s="7">
        <f t="shared" si="20"/>
        <v>-1.8813461150050781E-2</v>
      </c>
    </row>
    <row r="82" spans="1:35" x14ac:dyDescent="0.35">
      <c r="A82" s="9">
        <v>43719</v>
      </c>
      <c r="B82" s="10">
        <f>Расчеты!G86/360</f>
        <v>1.9472222222222221E-2</v>
      </c>
      <c r="C82" s="34">
        <f>SNGS!C73</f>
        <v>36</v>
      </c>
      <c r="D82" s="34">
        <f>'FXGD ETF'!C73</f>
        <v>676</v>
      </c>
      <c r="E82" s="34">
        <f t="shared" si="11"/>
        <v>1373676.2148651758</v>
      </c>
      <c r="F82" s="3">
        <f t="shared" si="12"/>
        <v>6.0424315676265383</v>
      </c>
      <c r="G82" s="3">
        <f t="shared" si="13"/>
        <v>6.022959345404316</v>
      </c>
      <c r="H82" s="34">
        <v>2817.05</v>
      </c>
      <c r="I82" s="3">
        <f t="shared" si="14"/>
        <v>1.0593645964872112</v>
      </c>
      <c r="J82" s="3">
        <f t="shared" si="15"/>
        <v>1.039892374264989</v>
      </c>
      <c r="K82" s="3">
        <f t="shared" si="21"/>
        <v>36.276039276393185</v>
      </c>
      <c r="L82" s="3">
        <f t="shared" si="16"/>
        <v>1.0813761500544761</v>
      </c>
      <c r="M82" s="3">
        <f t="shared" si="17"/>
        <v>6.2632294937939985</v>
      </c>
      <c r="O82" s="8">
        <v>-0.91914471774899864</v>
      </c>
      <c r="P82" s="26">
        <f t="shared" si="18"/>
        <v>-9.1914471774899864E-3</v>
      </c>
      <c r="X82" s="7">
        <v>-9.1914471774899864E-3</v>
      </c>
      <c r="AF82" s="8">
        <v>-0.91914471774899864</v>
      </c>
      <c r="AG82" s="8">
        <f t="shared" si="19"/>
        <v>-0.91914471774899864</v>
      </c>
      <c r="AH82" s="8">
        <v>-1.8519751812987817</v>
      </c>
      <c r="AI82" s="7">
        <f t="shared" si="20"/>
        <v>-1.8519751812987817E-2</v>
      </c>
    </row>
    <row r="83" spans="1:35" x14ac:dyDescent="0.35">
      <c r="A83" s="9">
        <v>43720</v>
      </c>
      <c r="B83" s="10">
        <f>Расчеты!G87/360</f>
        <v>1.9527777777777779E-2</v>
      </c>
      <c r="C83" s="34">
        <f>SNGS!C74</f>
        <v>36.395000000000003</v>
      </c>
      <c r="D83" s="34">
        <f>'FXGD ETF'!C74</f>
        <v>674.8</v>
      </c>
      <c r="E83" s="34">
        <f t="shared" si="11"/>
        <v>1386176.5112047293</v>
      </c>
      <c r="F83" s="3">
        <f t="shared" si="12"/>
        <v>0.9099885551108855</v>
      </c>
      <c r="G83" s="3">
        <f t="shared" si="13"/>
        <v>0.89046077733310769</v>
      </c>
      <c r="H83" s="34">
        <v>2799.99</v>
      </c>
      <c r="I83" s="3">
        <f t="shared" si="14"/>
        <v>-0.6055980547026274</v>
      </c>
      <c r="J83" s="3">
        <f t="shared" si="15"/>
        <v>-0.62512583248040521</v>
      </c>
      <c r="K83" s="3">
        <f t="shared" si="21"/>
        <v>0.79292039596868236</v>
      </c>
      <c r="L83" s="3">
        <f t="shared" si="16"/>
        <v>0.39078230643431966</v>
      </c>
      <c r="M83" s="3">
        <f t="shared" si="17"/>
        <v>-0.55665003472150765</v>
      </c>
      <c r="O83" s="8">
        <v>-0.91855073124855746</v>
      </c>
      <c r="P83" s="26">
        <f t="shared" si="18"/>
        <v>-9.1855073124855746E-3</v>
      </c>
      <c r="X83" s="7">
        <v>-9.1855073124855746E-3</v>
      </c>
      <c r="AF83" s="8">
        <v>-0.91855073124855746</v>
      </c>
      <c r="AG83" s="8">
        <f t="shared" si="19"/>
        <v>-0.91855073124855746</v>
      </c>
      <c r="AH83" s="8">
        <v>-1.8364177917812308</v>
      </c>
      <c r="AI83" s="7">
        <f t="shared" si="20"/>
        <v>-1.8364177917812308E-2</v>
      </c>
    </row>
    <row r="84" spans="1:35" x14ac:dyDescent="0.35">
      <c r="A84" s="9">
        <v>43721</v>
      </c>
      <c r="B84" s="10">
        <f>Расчеты!G88/360</f>
        <v>1.95E-2</v>
      </c>
      <c r="C84" s="34">
        <f>SNGS!C75</f>
        <v>37.380000000000003</v>
      </c>
      <c r="D84" s="34">
        <f>'FXGD ETF'!C75</f>
        <v>663.8</v>
      </c>
      <c r="E84" s="34">
        <f t="shared" si="11"/>
        <v>1414958.1075025168</v>
      </c>
      <c r="F84" s="3">
        <f t="shared" si="12"/>
        <v>2.0763298227275184</v>
      </c>
      <c r="G84" s="3">
        <f t="shared" si="13"/>
        <v>2.0568298227275186</v>
      </c>
      <c r="H84" s="34">
        <v>2791.74</v>
      </c>
      <c r="I84" s="3">
        <f t="shared" si="14"/>
        <v>-0.29464390944253793</v>
      </c>
      <c r="J84" s="3">
        <f t="shared" si="15"/>
        <v>-0.31414390944253795</v>
      </c>
      <c r="K84" s="3">
        <f t="shared" si="21"/>
        <v>4.2305489196613157</v>
      </c>
      <c r="L84" s="3">
        <f t="shared" si="16"/>
        <v>9.8686395839841484E-2</v>
      </c>
      <c r="M84" s="3">
        <f t="shared" si="17"/>
        <v>-0.64614056156962496</v>
      </c>
      <c r="O84" s="8">
        <v>-0.83949042748822089</v>
      </c>
      <c r="P84" s="26">
        <f t="shared" si="18"/>
        <v>-8.3949042748822089E-3</v>
      </c>
      <c r="X84" s="7">
        <v>-8.3949042748822089E-3</v>
      </c>
      <c r="AF84" s="8">
        <v>-0.83949042748822089</v>
      </c>
      <c r="AG84" s="8">
        <f t="shared" si="19"/>
        <v>-0.83949042748822089</v>
      </c>
      <c r="AH84" s="8">
        <v>-1.8353236053961774</v>
      </c>
      <c r="AI84" s="7">
        <f t="shared" si="20"/>
        <v>-1.8353236053961774E-2</v>
      </c>
    </row>
    <row r="85" spans="1:35" x14ac:dyDescent="0.35">
      <c r="A85" s="9">
        <v>43724</v>
      </c>
      <c r="B85" s="10">
        <f>Расчеты!G89/360</f>
        <v>1.95E-2</v>
      </c>
      <c r="C85" s="34">
        <f>SNGS!C76</f>
        <v>37.700000000000003</v>
      </c>
      <c r="D85" s="34">
        <f>'FXGD ETF'!C76</f>
        <v>665.6</v>
      </c>
      <c r="E85" s="34">
        <f t="shared" si="11"/>
        <v>1425912.3346853114</v>
      </c>
      <c r="F85" s="3">
        <f t="shared" si="12"/>
        <v>0.77417325111690527</v>
      </c>
      <c r="G85" s="3">
        <f t="shared" si="13"/>
        <v>0.75467325111690531</v>
      </c>
      <c r="H85" s="34">
        <v>2834.32</v>
      </c>
      <c r="I85" s="3">
        <f t="shared" si="14"/>
        <v>1.5252136660290905</v>
      </c>
      <c r="J85" s="3">
        <f t="shared" si="15"/>
        <v>1.5057136660290904</v>
      </c>
      <c r="K85" s="3">
        <f t="shared" si="21"/>
        <v>0.56953171595135965</v>
      </c>
      <c r="L85" s="3">
        <f t="shared" si="16"/>
        <v>2.2671736440667631</v>
      </c>
      <c r="M85" s="3">
        <f t="shared" si="17"/>
        <v>1.1363218275933278</v>
      </c>
      <c r="O85" s="8">
        <v>-0.8303156326288641</v>
      </c>
      <c r="P85" s="26">
        <f t="shared" si="18"/>
        <v>-8.303156326288641E-3</v>
      </c>
      <c r="X85" s="7">
        <v>-8.303156326288641E-3</v>
      </c>
      <c r="AF85" s="8">
        <v>-0.8303156326288641</v>
      </c>
      <c r="AG85" s="8">
        <f t="shared" si="19"/>
        <v>-0.8303156326288641</v>
      </c>
      <c r="AH85" s="8">
        <v>-1.8042316833456806</v>
      </c>
      <c r="AI85" s="7">
        <f t="shared" si="20"/>
        <v>-1.8042316833456806E-2</v>
      </c>
    </row>
    <row r="86" spans="1:35" x14ac:dyDescent="0.35">
      <c r="A86" s="9">
        <v>43725</v>
      </c>
      <c r="B86" s="10">
        <f>Расчеты!G90/360</f>
        <v>1.95E-2</v>
      </c>
      <c r="C86" s="34">
        <f>SNGS!C77</f>
        <v>36.454999999999998</v>
      </c>
      <c r="D86" s="34">
        <f>'FXGD ETF'!C77</f>
        <v>670.4</v>
      </c>
      <c r="E86" s="34">
        <f t="shared" si="11"/>
        <v>1386816.426057905</v>
      </c>
      <c r="F86" s="3">
        <f t="shared" si="12"/>
        <v>-2.7418171283324133</v>
      </c>
      <c r="G86" s="3">
        <f t="shared" si="13"/>
        <v>-2.7613171283324132</v>
      </c>
      <c r="H86" s="34">
        <v>2820.86</v>
      </c>
      <c r="I86" s="3">
        <f t="shared" si="14"/>
        <v>-0.4748934488695733</v>
      </c>
      <c r="J86" s="3">
        <f t="shared" si="15"/>
        <v>-0.49439344886957332</v>
      </c>
      <c r="K86" s="3">
        <f t="shared" si="21"/>
        <v>7.6248722832219649</v>
      </c>
      <c r="L86" s="3">
        <f t="shared" si="16"/>
        <v>0.24442488228515141</v>
      </c>
      <c r="M86" s="3">
        <f t="shared" si="17"/>
        <v>1.365177098498888</v>
      </c>
      <c r="O86" s="8">
        <v>-0.81015728849067603</v>
      </c>
      <c r="P86" s="26">
        <f t="shared" si="18"/>
        <v>-8.1015728849067603E-3</v>
      </c>
      <c r="X86" s="7">
        <v>-8.1015728849067603E-3</v>
      </c>
      <c r="AF86" s="8">
        <v>-0.81015728849067603</v>
      </c>
      <c r="AG86" s="8">
        <f t="shared" si="19"/>
        <v>-0.81015728849067603</v>
      </c>
      <c r="AH86" s="8">
        <v>-1.7342565024828338</v>
      </c>
      <c r="AI86" s="7">
        <f t="shared" si="20"/>
        <v>-1.7342565024828338E-2</v>
      </c>
    </row>
    <row r="87" spans="1:35" x14ac:dyDescent="0.35">
      <c r="A87" s="9">
        <v>43726</v>
      </c>
      <c r="B87" s="10">
        <f>Расчеты!G91/360</f>
        <v>1.95E-2</v>
      </c>
      <c r="C87" s="34">
        <f>SNGS!C78</f>
        <v>35.505000000000003</v>
      </c>
      <c r="D87" s="34">
        <f>'FXGD ETF'!C78</f>
        <v>671.2</v>
      </c>
      <c r="E87" s="34">
        <f t="shared" si="11"/>
        <v>1356129.79062212</v>
      </c>
      <c r="F87" s="3">
        <f t="shared" si="12"/>
        <v>-2.2127395421045915</v>
      </c>
      <c r="G87" s="3">
        <f t="shared" si="13"/>
        <v>-2.2322395421045913</v>
      </c>
      <c r="H87" s="34">
        <v>2818.6</v>
      </c>
      <c r="I87" s="3">
        <f t="shared" si="14"/>
        <v>-8.0117411002322836E-2</v>
      </c>
      <c r="J87" s="3">
        <f t="shared" si="15"/>
        <v>-9.9617411002322839E-2</v>
      </c>
      <c r="K87" s="3">
        <f t="shared" si="21"/>
        <v>4.9828933733353153</v>
      </c>
      <c r="L87" s="3">
        <f t="shared" si="16"/>
        <v>9.923628574805712E-3</v>
      </c>
      <c r="M87" s="3">
        <f t="shared" si="17"/>
        <v>0.22236992392147001</v>
      </c>
      <c r="O87" s="8">
        <v>-0.8035524983162734</v>
      </c>
      <c r="P87" s="26">
        <f t="shared" si="18"/>
        <v>-8.035524983162734E-3</v>
      </c>
      <c r="X87" s="7">
        <v>-8.035524983162734E-3</v>
      </c>
      <c r="AF87" s="8">
        <v>-0.8035524983162734</v>
      </c>
      <c r="AG87" s="8">
        <f t="shared" si="19"/>
        <v>-0.8035524983162734</v>
      </c>
      <c r="AH87" s="8">
        <v>-1.7157707154300983</v>
      </c>
      <c r="AI87" s="7">
        <f t="shared" si="20"/>
        <v>-1.7157707154300983E-2</v>
      </c>
    </row>
    <row r="88" spans="1:35" x14ac:dyDescent="0.35">
      <c r="A88" s="9">
        <v>43727</v>
      </c>
      <c r="B88" s="10">
        <f>Расчеты!G92/360</f>
        <v>1.9527777777777779E-2</v>
      </c>
      <c r="C88" s="34">
        <f>SNGS!C79</f>
        <v>35.700000000000003</v>
      </c>
      <c r="D88" s="34">
        <f>'FXGD ETF'!C79</f>
        <v>662.6</v>
      </c>
      <c r="E88" s="34">
        <f t="shared" si="11"/>
        <v>1359910.7942408004</v>
      </c>
      <c r="F88" s="3">
        <f t="shared" si="12"/>
        <v>0.27880838875649072</v>
      </c>
      <c r="G88" s="3">
        <f t="shared" si="13"/>
        <v>0.25928061097871297</v>
      </c>
      <c r="H88" s="34">
        <v>2794.77</v>
      </c>
      <c r="I88" s="3">
        <f t="shared" si="14"/>
        <v>-0.84545519052011686</v>
      </c>
      <c r="J88" s="3">
        <f t="shared" si="15"/>
        <v>-0.86498296829789467</v>
      </c>
      <c r="K88" s="3">
        <f t="shared" si="21"/>
        <v>6.7226435229494688E-2</v>
      </c>
      <c r="L88" s="3">
        <f t="shared" si="16"/>
        <v>0.74819553544543671</v>
      </c>
      <c r="M88" s="3">
        <f t="shared" si="17"/>
        <v>-0.22427331250645885</v>
      </c>
      <c r="O88" s="8">
        <v>-0.80227011353637412</v>
      </c>
      <c r="P88" s="26">
        <f t="shared" si="18"/>
        <v>-8.0227011353637412E-3</v>
      </c>
      <c r="X88" s="7">
        <v>-8.0227011353637412E-3</v>
      </c>
      <c r="AF88" s="8">
        <v>-0.80227011353637412</v>
      </c>
      <c r="AG88" s="8">
        <f t="shared" si="19"/>
        <v>-0.80227011353637412</v>
      </c>
      <c r="AH88" s="8">
        <v>-1.7135628066986208</v>
      </c>
      <c r="AI88" s="7">
        <f t="shared" si="20"/>
        <v>-1.7135628066986208E-2</v>
      </c>
    </row>
    <row r="89" spans="1:35" x14ac:dyDescent="0.35">
      <c r="A89" s="9">
        <v>43728</v>
      </c>
      <c r="B89" s="10">
        <f>Расчеты!G93/360</f>
        <v>1.9527777777777779E-2</v>
      </c>
      <c r="C89" s="34">
        <f>SNGS!C80</f>
        <v>35.494999999999997</v>
      </c>
      <c r="D89" s="34">
        <f>'FXGD ETF'!C80</f>
        <v>664</v>
      </c>
      <c r="E89" s="34">
        <f t="shared" si="11"/>
        <v>1353655.2742734056</v>
      </c>
      <c r="F89" s="3">
        <f t="shared" si="12"/>
        <v>-0.45999487568499919</v>
      </c>
      <c r="G89" s="3">
        <f t="shared" si="13"/>
        <v>-0.47952265346277695</v>
      </c>
      <c r="H89" s="34">
        <v>2796.41</v>
      </c>
      <c r="I89" s="3">
        <f t="shared" si="14"/>
        <v>5.8681036364349737E-2</v>
      </c>
      <c r="J89" s="3">
        <f t="shared" si="15"/>
        <v>3.9153258586571954E-2</v>
      </c>
      <c r="K89" s="3">
        <f t="shared" si="21"/>
        <v>0.22994197518398246</v>
      </c>
      <c r="L89" s="3">
        <f t="shared" si="16"/>
        <v>1.5329776579469704E-3</v>
      </c>
      <c r="M89" s="3">
        <f t="shared" si="17"/>
        <v>-1.8774874449147241E-2</v>
      </c>
      <c r="O89" s="8">
        <v>-0.77702215162569477</v>
      </c>
      <c r="P89" s="26">
        <f t="shared" si="18"/>
        <v>-7.7702215162569477E-3</v>
      </c>
      <c r="X89" s="7">
        <v>-7.7702215162569477E-3</v>
      </c>
      <c r="AF89" s="8">
        <v>-0.77702215162569477</v>
      </c>
      <c r="AG89" s="8">
        <f t="shared" si="19"/>
        <v>-0.77702215162569477</v>
      </c>
      <c r="AH89" s="8">
        <v>-1.6766438721905419</v>
      </c>
      <c r="AI89" s="7">
        <f t="shared" si="20"/>
        <v>-1.6766438721905419E-2</v>
      </c>
    </row>
    <row r="90" spans="1:35" x14ac:dyDescent="0.35">
      <c r="A90" s="9">
        <v>43731</v>
      </c>
      <c r="B90" s="10">
        <f>Расчеты!G94/360</f>
        <v>1.95E-2</v>
      </c>
      <c r="C90" s="34">
        <f>SNGS!C81</f>
        <v>35.6</v>
      </c>
      <c r="D90" s="34">
        <f>'FXGD ETF'!C81</f>
        <v>674.2</v>
      </c>
      <c r="E90" s="34">
        <f t="shared" si="11"/>
        <v>1360117.7424929349</v>
      </c>
      <c r="F90" s="3">
        <f t="shared" si="12"/>
        <v>0.47740871271662044</v>
      </c>
      <c r="G90" s="3">
        <f t="shared" si="13"/>
        <v>0.45790871271662043</v>
      </c>
      <c r="H90" s="34">
        <v>2785.46</v>
      </c>
      <c r="I90" s="3">
        <f t="shared" si="14"/>
        <v>-0.39157348171404704</v>
      </c>
      <c r="J90" s="3">
        <f t="shared" si="15"/>
        <v>-0.41107348171404706</v>
      </c>
      <c r="K90" s="3">
        <f t="shared" si="21"/>
        <v>0.20968038918179241</v>
      </c>
      <c r="L90" s="3">
        <f t="shared" si="16"/>
        <v>0.16898140736850897</v>
      </c>
      <c r="M90" s="3">
        <f t="shared" si="17"/>
        <v>-0.18823412884361851</v>
      </c>
      <c r="O90" s="8">
        <v>-0.77608658668214536</v>
      </c>
      <c r="P90" s="26">
        <f t="shared" si="18"/>
        <v>-7.7608658668214536E-3</v>
      </c>
      <c r="X90" s="7">
        <v>-7.7608658668214536E-3</v>
      </c>
      <c r="AF90" s="8">
        <v>-0.77608658668214536</v>
      </c>
      <c r="AG90" s="8">
        <f t="shared" si="19"/>
        <v>-0.77608658668214536</v>
      </c>
      <c r="AH90" s="8">
        <v>-1.6608866484494333</v>
      </c>
      <c r="AI90" s="7">
        <f t="shared" si="20"/>
        <v>-1.6608866484494333E-2</v>
      </c>
    </row>
    <row r="91" spans="1:35" x14ac:dyDescent="0.35">
      <c r="A91" s="9">
        <v>43732</v>
      </c>
      <c r="B91" s="10">
        <f>Расчеты!G95/360</f>
        <v>1.95E-2</v>
      </c>
      <c r="C91" s="34">
        <f>SNGS!C82</f>
        <v>34.950000000000003</v>
      </c>
      <c r="D91" s="34">
        <f>'FXGD ETF'!C82</f>
        <v>674.4</v>
      </c>
      <c r="E91" s="34">
        <f t="shared" si="11"/>
        <v>1339017.9443759047</v>
      </c>
      <c r="F91" s="3">
        <f t="shared" si="12"/>
        <v>-1.5513214376835283</v>
      </c>
      <c r="G91" s="3">
        <f t="shared" si="13"/>
        <v>-1.5708214376835283</v>
      </c>
      <c r="H91" s="34">
        <v>2754.53</v>
      </c>
      <c r="I91" s="3">
        <f t="shared" si="14"/>
        <v>-1.110409052723782</v>
      </c>
      <c r="J91" s="3">
        <f t="shared" si="15"/>
        <v>-1.1299090527237821</v>
      </c>
      <c r="K91" s="3">
        <f t="shared" si="21"/>
        <v>2.4674799890861467</v>
      </c>
      <c r="L91" s="3">
        <f t="shared" si="16"/>
        <v>1.2766944674271545</v>
      </c>
      <c r="M91" s="3">
        <f t="shared" si="17"/>
        <v>1.7748853626512049</v>
      </c>
      <c r="O91" s="8">
        <v>-0.74040679994575864</v>
      </c>
      <c r="P91" s="26">
        <f t="shared" si="18"/>
        <v>-7.4040679994575864E-3</v>
      </c>
      <c r="X91" s="7">
        <v>-7.4040679994575864E-3</v>
      </c>
      <c r="AF91" s="8">
        <v>-0.74040679994575864</v>
      </c>
      <c r="AG91" s="8">
        <f t="shared" si="19"/>
        <v>-0.74040679994575864</v>
      </c>
      <c r="AH91" s="8">
        <v>-1.6341088224730682</v>
      </c>
      <c r="AI91" s="7">
        <f t="shared" si="20"/>
        <v>-1.6341088224730682E-2</v>
      </c>
    </row>
    <row r="92" spans="1:35" x14ac:dyDescent="0.35">
      <c r="A92" s="9">
        <v>43733</v>
      </c>
      <c r="B92" s="10">
        <f>Расчеты!G96/360</f>
        <v>1.9472222222222221E-2</v>
      </c>
      <c r="C92" s="34">
        <f>SNGS!C83</f>
        <v>34.545000000000002</v>
      </c>
      <c r="D92" s="34">
        <f>'FXGD ETF'!C83</f>
        <v>672.6</v>
      </c>
      <c r="E92" s="34">
        <f t="shared" si="11"/>
        <v>1325296.7066793235</v>
      </c>
      <c r="F92" s="3">
        <f t="shared" si="12"/>
        <v>-1.0247239593922375</v>
      </c>
      <c r="G92" s="3">
        <f t="shared" si="13"/>
        <v>-1.0441961816144596</v>
      </c>
      <c r="H92" s="34">
        <v>2760.29</v>
      </c>
      <c r="I92" s="3">
        <f t="shared" si="14"/>
        <v>0.20911008411597098</v>
      </c>
      <c r="J92" s="3">
        <f t="shared" si="15"/>
        <v>0.18963786189374876</v>
      </c>
      <c r="K92" s="3">
        <f t="shared" si="21"/>
        <v>1.0903456656982176</v>
      </c>
      <c r="L92" s="3">
        <f t="shared" si="16"/>
        <v>3.596251866363253E-2</v>
      </c>
      <c r="M92" s="3">
        <f t="shared" si="17"/>
        <v>-0.19801913127898269</v>
      </c>
      <c r="O92" s="8">
        <v>-0.70668341761601638</v>
      </c>
      <c r="P92" s="26">
        <f t="shared" si="18"/>
        <v>-7.0668341761601638E-3</v>
      </c>
      <c r="X92" s="7">
        <v>-7.0668341761601638E-3</v>
      </c>
      <c r="AF92" s="8">
        <v>-0.70668341761601638</v>
      </c>
      <c r="AG92" s="8">
        <f t="shared" si="19"/>
        <v>-0.70668341761601638</v>
      </c>
      <c r="AH92" s="8">
        <v>-1.6187239264656483</v>
      </c>
      <c r="AI92" s="7">
        <f t="shared" si="20"/>
        <v>-1.6187239264656483E-2</v>
      </c>
    </row>
    <row r="93" spans="1:35" x14ac:dyDescent="0.35">
      <c r="A93" s="9">
        <v>43734</v>
      </c>
      <c r="B93" s="10">
        <f>Расчеты!G97/360</f>
        <v>1.9444444444444445E-2</v>
      </c>
      <c r="C93" s="34">
        <f>SNGS!C84</f>
        <v>34.715000000000003</v>
      </c>
      <c r="D93" s="34">
        <f>'FXGD ETF'!C84</f>
        <v>671.2</v>
      </c>
      <c r="E93" s="34">
        <f t="shared" si="11"/>
        <v>1330412.8693763355</v>
      </c>
      <c r="F93" s="3">
        <f t="shared" si="12"/>
        <v>0.38603904101075504</v>
      </c>
      <c r="G93" s="3">
        <f t="shared" si="13"/>
        <v>0.3665945965663106</v>
      </c>
      <c r="H93" s="34">
        <v>2772.7</v>
      </c>
      <c r="I93" s="3">
        <f t="shared" si="14"/>
        <v>0.44959044158403572</v>
      </c>
      <c r="J93" s="3">
        <f t="shared" si="15"/>
        <v>0.43014599713959129</v>
      </c>
      <c r="K93" s="3">
        <f t="shared" si="21"/>
        <v>0.13439159823161603</v>
      </c>
      <c r="L93" s="3">
        <f t="shared" si="16"/>
        <v>0.18502557885521329</v>
      </c>
      <c r="M93" s="3">
        <f t="shared" si="17"/>
        <v>0.15768919828600186</v>
      </c>
      <c r="O93" s="8">
        <v>-0.68998355462508432</v>
      </c>
      <c r="P93" s="26">
        <f t="shared" si="18"/>
        <v>-6.8998355462508432E-3</v>
      </c>
      <c r="X93" s="7">
        <v>-6.8998355462508432E-3</v>
      </c>
      <c r="AF93" s="8">
        <v>-0.68998355462508432</v>
      </c>
      <c r="AG93" s="8">
        <f t="shared" si="19"/>
        <v>-0.68998355462508432</v>
      </c>
      <c r="AH93" s="8">
        <v>-1.5965215267851995</v>
      </c>
      <c r="AI93" s="7">
        <f t="shared" si="20"/>
        <v>-1.5965215267851995E-2</v>
      </c>
    </row>
    <row r="94" spans="1:35" x14ac:dyDescent="0.35">
      <c r="A94" s="9">
        <v>43735</v>
      </c>
      <c r="B94" s="10">
        <f>Расчеты!G98/360</f>
        <v>1.9527777777777779E-2</v>
      </c>
      <c r="C94" s="34">
        <f>SNGS!C85</f>
        <v>34.835000000000001</v>
      </c>
      <c r="D94" s="34">
        <f>'FXGD ETF'!C85</f>
        <v>668</v>
      </c>
      <c r="E94" s="34">
        <f t="shared" si="11"/>
        <v>1333364.1324049348</v>
      </c>
      <c r="F94" s="3">
        <f t="shared" si="12"/>
        <v>0.22183061337814891</v>
      </c>
      <c r="G94" s="3">
        <f t="shared" si="13"/>
        <v>0.20230283560037113</v>
      </c>
      <c r="H94" s="34">
        <v>2757.98</v>
      </c>
      <c r="I94" s="3">
        <f t="shared" si="14"/>
        <v>-0.53089046777508031</v>
      </c>
      <c r="J94" s="3">
        <f t="shared" si="15"/>
        <v>-0.55041824555285812</v>
      </c>
      <c r="K94" s="3">
        <f t="shared" si="21"/>
        <v>4.0926437291950786E-2</v>
      </c>
      <c r="L94" s="3">
        <f t="shared" si="16"/>
        <v>0.30296024503748642</v>
      </c>
      <c r="M94" s="3">
        <f t="shared" si="17"/>
        <v>-0.11135117184152456</v>
      </c>
      <c r="O94" s="8">
        <v>-0.68756872314932327</v>
      </c>
      <c r="P94" s="26">
        <f t="shared" si="18"/>
        <v>-6.8756872314932327E-3</v>
      </c>
      <c r="X94" s="7">
        <v>-6.8756872314932327E-3</v>
      </c>
      <c r="AF94" s="8">
        <v>-0.68756872314932327</v>
      </c>
      <c r="AG94" s="8">
        <f t="shared" si="19"/>
        <v>-0.68756872314932327</v>
      </c>
      <c r="AH94" s="8">
        <v>-1.5947494857420974</v>
      </c>
      <c r="AI94" s="7">
        <f t="shared" si="20"/>
        <v>-1.5947494857420974E-2</v>
      </c>
    </row>
    <row r="95" spans="1:35" x14ac:dyDescent="0.35">
      <c r="A95" s="9">
        <v>43738</v>
      </c>
      <c r="B95" s="10">
        <f>Расчеты!G99/360</f>
        <v>1.9555555555555555E-2</v>
      </c>
      <c r="C95" s="34">
        <f>SNGS!C86</f>
        <v>35.4</v>
      </c>
      <c r="D95" s="34">
        <f>'FXGD ETF'!C86</f>
        <v>660.4</v>
      </c>
      <c r="E95" s="34">
        <f t="shared" si="11"/>
        <v>1349488.2402609214</v>
      </c>
      <c r="F95" s="3">
        <f t="shared" si="12"/>
        <v>1.2092801556694122</v>
      </c>
      <c r="G95" s="3">
        <f t="shared" si="13"/>
        <v>1.1897246001138566</v>
      </c>
      <c r="H95" s="34">
        <v>2747.18</v>
      </c>
      <c r="I95" s="3">
        <f t="shared" si="14"/>
        <v>-0.39159094699744434</v>
      </c>
      <c r="J95" s="3">
        <f t="shared" si="15"/>
        <v>-0.41114650255299989</v>
      </c>
      <c r="K95" s="3">
        <f t="shared" si="21"/>
        <v>1.4154446241160761</v>
      </c>
      <c r="L95" s="3">
        <f t="shared" si="16"/>
        <v>0.16904144656156395</v>
      </c>
      <c r="M95" s="3">
        <f t="shared" si="17"/>
        <v>-0.48915110833807851</v>
      </c>
      <c r="O95" s="8">
        <v>-0.66666594577535765</v>
      </c>
      <c r="P95" s="26">
        <f t="shared" si="18"/>
        <v>-6.6666594577535765E-3</v>
      </c>
      <c r="X95" s="7">
        <v>-6.6666594577535765E-3</v>
      </c>
      <c r="AF95" s="8">
        <v>-0.66666594577535765</v>
      </c>
      <c r="AG95" s="8">
        <f t="shared" si="19"/>
        <v>-0.66666594577535765</v>
      </c>
      <c r="AH95" s="8">
        <v>-1.5854351037827508</v>
      </c>
      <c r="AI95" s="7">
        <f t="shared" si="20"/>
        <v>-1.5854351037827508E-2</v>
      </c>
    </row>
    <row r="96" spans="1:35" x14ac:dyDescent="0.35">
      <c r="A96" s="9">
        <v>43739</v>
      </c>
      <c r="B96" s="10">
        <f>Расчеты!G100/360</f>
        <v>1.961111111111111E-2</v>
      </c>
      <c r="C96" s="34">
        <f>SNGS!C87</f>
        <v>35.994999999999997</v>
      </c>
      <c r="D96" s="34">
        <f>'FXGD ETF'!C87</f>
        <v>670.6</v>
      </c>
      <c r="E96" s="34">
        <f t="shared" si="11"/>
        <v>1371901.7102658104</v>
      </c>
      <c r="F96" s="3">
        <f t="shared" si="12"/>
        <v>1.6608866484494333</v>
      </c>
      <c r="G96" s="3">
        <f t="shared" si="13"/>
        <v>1.6412755373383223</v>
      </c>
      <c r="H96" s="34">
        <v>2758.83</v>
      </c>
      <c r="I96" s="3">
        <f t="shared" si="14"/>
        <v>0.42407122940615327</v>
      </c>
      <c r="J96" s="3">
        <f t="shared" si="15"/>
        <v>0.40446011829504214</v>
      </c>
      <c r="K96" s="3">
        <f t="shared" si="21"/>
        <v>2.6937853894651989</v>
      </c>
      <c r="L96" s="3">
        <f t="shared" si="16"/>
        <v>0.16358798729123947</v>
      </c>
      <c r="M96" s="3">
        <f t="shared" si="17"/>
        <v>0.66383049798661664</v>
      </c>
      <c r="O96" s="8">
        <v>-0.6588166393829753</v>
      </c>
      <c r="P96" s="26">
        <f t="shared" si="18"/>
        <v>-6.588166393829753E-3</v>
      </c>
      <c r="X96" s="7">
        <v>-6.588166393829753E-3</v>
      </c>
      <c r="AF96" s="8">
        <v>-0.6588166393829753</v>
      </c>
      <c r="AG96" s="8">
        <f t="shared" si="19"/>
        <v>-0.6588166393829753</v>
      </c>
      <c r="AH96" s="8">
        <v>-1.5513214376835283</v>
      </c>
      <c r="AI96" s="7">
        <f t="shared" si="20"/>
        <v>-1.5513214376835283E-2</v>
      </c>
    </row>
    <row r="97" spans="1:35" x14ac:dyDescent="0.35">
      <c r="A97" s="9">
        <v>43740</v>
      </c>
      <c r="B97" s="10">
        <f>Расчеты!G101/360</f>
        <v>1.9722222222222221E-2</v>
      </c>
      <c r="C97" s="34">
        <f>SNGS!C88</f>
        <v>35.049999999999997</v>
      </c>
      <c r="D97" s="34">
        <f>'FXGD ETF'!C88</f>
        <v>677.6</v>
      </c>
      <c r="E97" s="34">
        <f t="shared" si="11"/>
        <v>1343228.3556182832</v>
      </c>
      <c r="F97" s="3">
        <f t="shared" si="12"/>
        <v>-2.0900443838627214</v>
      </c>
      <c r="G97" s="3">
        <f t="shared" si="13"/>
        <v>-2.1097666060849436</v>
      </c>
      <c r="H97" s="34">
        <v>2719.39</v>
      </c>
      <c r="I97" s="3">
        <f t="shared" si="14"/>
        <v>-1.4295915297426798</v>
      </c>
      <c r="J97" s="3">
        <f t="shared" si="15"/>
        <v>-1.449313751964902</v>
      </c>
      <c r="K97" s="3">
        <f t="shared" si="21"/>
        <v>4.4511151321511813</v>
      </c>
      <c r="L97" s="3">
        <f t="shared" si="16"/>
        <v>2.1005103516345813</v>
      </c>
      <c r="M97" s="3">
        <f t="shared" si="17"/>
        <v>3.057713755635227</v>
      </c>
      <c r="O97" s="8">
        <v>-0.61876295980026752</v>
      </c>
      <c r="P97" s="26">
        <f t="shared" si="18"/>
        <v>-6.1876295980026752E-3</v>
      </c>
      <c r="X97" s="7">
        <v>-6.1876295980026752E-3</v>
      </c>
      <c r="AF97" s="8">
        <v>-0.61876295980026752</v>
      </c>
      <c r="AG97" s="8">
        <f t="shared" si="19"/>
        <v>-0.61876295980026752</v>
      </c>
      <c r="AH97" s="8">
        <v>-1.5453926065467805</v>
      </c>
      <c r="AI97" s="7">
        <f t="shared" si="20"/>
        <v>-1.5453926065467805E-2</v>
      </c>
    </row>
    <row r="98" spans="1:35" x14ac:dyDescent="0.35">
      <c r="A98" s="9">
        <v>43741</v>
      </c>
      <c r="B98" s="10">
        <f>Расчеты!G102/360</f>
        <v>1.9722222222222221E-2</v>
      </c>
      <c r="C98" s="34">
        <f>SNGS!C89</f>
        <v>35.585000000000001</v>
      </c>
      <c r="D98" s="34">
        <f>'FXGD ETF'!C89</f>
        <v>680.2</v>
      </c>
      <c r="E98" s="34">
        <f t="shared" si="11"/>
        <v>1361420.2679366081</v>
      </c>
      <c r="F98" s="3">
        <f t="shared" si="12"/>
        <v>1.3543424870562148</v>
      </c>
      <c r="G98" s="3">
        <f t="shared" si="13"/>
        <v>1.3346202648339927</v>
      </c>
      <c r="H98" s="34">
        <v>2707.47</v>
      </c>
      <c r="I98" s="3">
        <f t="shared" si="14"/>
        <v>-0.4383335968728308</v>
      </c>
      <c r="J98" s="3">
        <f t="shared" si="15"/>
        <v>-0.458055819095053</v>
      </c>
      <c r="K98" s="3">
        <f t="shared" si="21"/>
        <v>1.7812112513055567</v>
      </c>
      <c r="L98" s="3">
        <f t="shared" si="16"/>
        <v>0.20981513340683991</v>
      </c>
      <c r="M98" s="3">
        <f t="shared" si="17"/>
        <v>-0.6113305785893911</v>
      </c>
      <c r="O98" s="8">
        <v>-0.56481387794971027</v>
      </c>
      <c r="P98" s="26">
        <f t="shared" si="18"/>
        <v>-5.6481387794971027E-3</v>
      </c>
      <c r="X98" s="7">
        <v>-5.6481387794971027E-3</v>
      </c>
      <c r="AF98" s="8">
        <v>-0.56481387794971027</v>
      </c>
      <c r="AG98" s="8">
        <f t="shared" si="19"/>
        <v>-0.56481387794971027</v>
      </c>
      <c r="AH98" s="8">
        <v>-1.5129213814556897</v>
      </c>
      <c r="AI98" s="7">
        <f t="shared" si="20"/>
        <v>-1.5129213814556897E-2</v>
      </c>
    </row>
    <row r="99" spans="1:35" x14ac:dyDescent="0.35">
      <c r="A99" s="9">
        <v>43742</v>
      </c>
      <c r="B99" s="10">
        <f>Расчеты!G103/360</f>
        <v>1.9666666666666666E-2</v>
      </c>
      <c r="C99" s="34">
        <f>SNGS!C90</f>
        <v>35.225000000000001</v>
      </c>
      <c r="D99" s="34">
        <f>'FXGD ETF'!C90</f>
        <v>673.8</v>
      </c>
      <c r="E99" s="34">
        <f t="shared" si="11"/>
        <v>1347790.955072958</v>
      </c>
      <c r="F99" s="3">
        <f t="shared" si="12"/>
        <v>-1.0011098838940358</v>
      </c>
      <c r="G99" s="3">
        <f t="shared" si="13"/>
        <v>-1.0207765505607025</v>
      </c>
      <c r="H99" s="34">
        <v>2692.55</v>
      </c>
      <c r="I99" s="3">
        <f t="shared" si="14"/>
        <v>-0.5510679712055766</v>
      </c>
      <c r="J99" s="3">
        <f t="shared" si="15"/>
        <v>-0.57073463787224332</v>
      </c>
      <c r="K99" s="3">
        <f t="shared" si="21"/>
        <v>1.0419847661746064</v>
      </c>
      <c r="L99" s="3">
        <f t="shared" si="16"/>
        <v>0.32573802686716075</v>
      </c>
      <c r="M99" s="3">
        <f t="shared" si="17"/>
        <v>0.58259253493274021</v>
      </c>
      <c r="O99" s="8">
        <v>-0.54018684269744321</v>
      </c>
      <c r="P99" s="26">
        <f t="shared" si="18"/>
        <v>-5.4018684269744321E-3</v>
      </c>
      <c r="X99" s="7">
        <v>-5.4018684269744321E-3</v>
      </c>
      <c r="AF99" s="8">
        <v>-0.54018684269744321</v>
      </c>
      <c r="AG99" s="8">
        <f t="shared" si="19"/>
        <v>-0.54018684269744321</v>
      </c>
      <c r="AH99" s="8">
        <v>-1.4764158640104386</v>
      </c>
      <c r="AI99" s="7">
        <f t="shared" si="20"/>
        <v>-1.4764158640104386E-2</v>
      </c>
    </row>
    <row r="100" spans="1:35" x14ac:dyDescent="0.35">
      <c r="A100" s="9">
        <v>43745</v>
      </c>
      <c r="B100" s="10">
        <f>Расчеты!G104/360</f>
        <v>1.9833333333333331E-2</v>
      </c>
      <c r="C100" s="34">
        <f>SNGS!C91</f>
        <v>36</v>
      </c>
      <c r="D100" s="34">
        <f>'FXGD ETF'!C91</f>
        <v>672.2</v>
      </c>
      <c r="E100" s="34">
        <f t="shared" si="11"/>
        <v>1372542.0279679359</v>
      </c>
      <c r="F100" s="3">
        <f t="shared" si="12"/>
        <v>1.8364177917812308</v>
      </c>
      <c r="G100" s="3">
        <f t="shared" si="13"/>
        <v>1.8165844584478974</v>
      </c>
      <c r="H100" s="34">
        <v>2719.22</v>
      </c>
      <c r="I100" s="3">
        <f t="shared" si="14"/>
        <v>0.99051085402312999</v>
      </c>
      <c r="J100" s="3">
        <f t="shared" si="15"/>
        <v>0.97067752068979662</v>
      </c>
      <c r="K100" s="3">
        <f t="shared" si="21"/>
        <v>3.2999790946744407</v>
      </c>
      <c r="L100" s="3">
        <f t="shared" si="16"/>
        <v>0.94221484917249054</v>
      </c>
      <c r="M100" s="3">
        <f t="shared" si="17"/>
        <v>1.763317698249822</v>
      </c>
      <c r="O100" s="8">
        <v>-0.53473834011567023</v>
      </c>
      <c r="P100" s="26">
        <f t="shared" si="18"/>
        <v>-5.3473834011567023E-3</v>
      </c>
      <c r="X100" s="7">
        <v>-5.3473834011567023E-3</v>
      </c>
      <c r="AF100" s="8">
        <v>-0.53473834011567023</v>
      </c>
      <c r="AG100" s="8">
        <f t="shared" si="19"/>
        <v>-0.53473834011567023</v>
      </c>
      <c r="AH100" s="8">
        <v>-1.4753494206560358</v>
      </c>
      <c r="AI100" s="7">
        <f t="shared" si="20"/>
        <v>-1.4753494206560358E-2</v>
      </c>
    </row>
    <row r="101" spans="1:35" x14ac:dyDescent="0.35">
      <c r="A101" s="9">
        <v>43746</v>
      </c>
      <c r="B101" s="10">
        <f>Расчеты!G105/360</f>
        <v>1.9944444444444445E-2</v>
      </c>
      <c r="C101" s="34">
        <f>SNGS!C92</f>
        <v>36.090000000000003</v>
      </c>
      <c r="D101" s="34">
        <f>'FXGD ETF'!C92</f>
        <v>679.4</v>
      </c>
      <c r="E101" s="34">
        <f t="shared" si="11"/>
        <v>1377620.7895060969</v>
      </c>
      <c r="F101" s="3">
        <f t="shared" si="12"/>
        <v>0.37002593980164367</v>
      </c>
      <c r="G101" s="3">
        <f t="shared" si="13"/>
        <v>0.35008149535719923</v>
      </c>
      <c r="H101" s="34">
        <v>2707.89</v>
      </c>
      <c r="I101" s="3">
        <f t="shared" si="14"/>
        <v>-0.41666360206235042</v>
      </c>
      <c r="J101" s="3">
        <f t="shared" si="15"/>
        <v>-0.43660804650679486</v>
      </c>
      <c r="K101" s="3">
        <f t="shared" si="21"/>
        <v>0.12255705339153271</v>
      </c>
      <c r="L101" s="3">
        <f t="shared" si="16"/>
        <v>0.19062658627447954</v>
      </c>
      <c r="M101" s="3">
        <f t="shared" si="17"/>
        <v>-0.15284839780608434</v>
      </c>
      <c r="O101" s="8">
        <v>-0.5320139012648939</v>
      </c>
      <c r="P101" s="26">
        <f t="shared" si="18"/>
        <v>-5.320139012648939E-3</v>
      </c>
      <c r="X101" s="7">
        <v>-5.320139012648939E-3</v>
      </c>
      <c r="AF101" s="8">
        <v>-0.5320139012648939</v>
      </c>
      <c r="AG101" s="8">
        <f t="shared" si="19"/>
        <v>-0.5320139012648939</v>
      </c>
      <c r="AH101" s="8">
        <v>-1.4606340960978237</v>
      </c>
      <c r="AI101" s="7">
        <f t="shared" si="20"/>
        <v>-1.4606340960978237E-2</v>
      </c>
    </row>
    <row r="102" spans="1:35" x14ac:dyDescent="0.35">
      <c r="A102" s="9">
        <v>43747</v>
      </c>
      <c r="B102" s="10">
        <f>Расчеты!G106/360</f>
        <v>1.988888888888889E-2</v>
      </c>
      <c r="C102" s="34">
        <f>SNGS!C93</f>
        <v>36.435000000000002</v>
      </c>
      <c r="D102" s="34">
        <f>'FXGD ETF'!C93</f>
        <v>676.4</v>
      </c>
      <c r="E102" s="34">
        <f t="shared" si="11"/>
        <v>1387956.1861772377</v>
      </c>
      <c r="F102" s="3">
        <f t="shared" si="12"/>
        <v>0.75023524251882634</v>
      </c>
      <c r="G102" s="3">
        <f t="shared" si="13"/>
        <v>0.73034635362993749</v>
      </c>
      <c r="H102" s="34">
        <v>2713.02</v>
      </c>
      <c r="I102" s="3">
        <f t="shared" si="14"/>
        <v>0.18944639553306608</v>
      </c>
      <c r="J102" s="3">
        <f t="shared" si="15"/>
        <v>0.16955750664417718</v>
      </c>
      <c r="K102" s="3">
        <f t="shared" si="21"/>
        <v>0.53340579626054574</v>
      </c>
      <c r="L102" s="3">
        <f t="shared" si="16"/>
        <v>2.8749748059390189E-2</v>
      </c>
      <c r="M102" s="3">
        <f t="shared" si="17"/>
        <v>0.1238357067081587</v>
      </c>
      <c r="O102" s="8">
        <v>-0.52631791999724342</v>
      </c>
      <c r="P102" s="26">
        <f t="shared" si="18"/>
        <v>-5.2631791999724342E-3</v>
      </c>
      <c r="X102" s="7">
        <v>-5.2631791999724342E-3</v>
      </c>
      <c r="AF102" s="8">
        <v>-0.52631791999724342</v>
      </c>
      <c r="AG102" s="8">
        <f t="shared" si="19"/>
        <v>-0.52631791999724342</v>
      </c>
      <c r="AH102" s="8">
        <v>-1.4241882341428092</v>
      </c>
      <c r="AI102" s="7">
        <f t="shared" si="20"/>
        <v>-1.4241882341428092E-2</v>
      </c>
    </row>
    <row r="103" spans="1:35" x14ac:dyDescent="0.35">
      <c r="A103" s="9">
        <v>43748</v>
      </c>
      <c r="B103" s="10">
        <f>Расчеты!G107/360</f>
        <v>1.9805555555555555E-2</v>
      </c>
      <c r="C103" s="34">
        <f>SNGS!C94</f>
        <v>36.54</v>
      </c>
      <c r="D103" s="34">
        <f>'FXGD ETF'!C94</f>
        <v>666.2</v>
      </c>
      <c r="E103" s="34">
        <f t="shared" si="11"/>
        <v>1388329.8615800058</v>
      </c>
      <c r="F103" s="3">
        <f t="shared" si="12"/>
        <v>2.6922708835463993E-2</v>
      </c>
      <c r="G103" s="3">
        <f t="shared" si="13"/>
        <v>7.1171532799084378E-3</v>
      </c>
      <c r="H103" s="34">
        <v>2721.51</v>
      </c>
      <c r="I103" s="3">
        <f t="shared" si="14"/>
        <v>0.31293540040251422</v>
      </c>
      <c r="J103" s="3">
        <f t="shared" si="15"/>
        <v>0.29312984484695864</v>
      </c>
      <c r="K103" s="3">
        <f t="shared" si="21"/>
        <v>5.0653870809711433E-5</v>
      </c>
      <c r="L103" s="3">
        <f t="shared" si="16"/>
        <v>8.592510594000205E-2</v>
      </c>
      <c r="M103" s="3">
        <f t="shared" si="17"/>
        <v>2.0862500366915834E-3</v>
      </c>
      <c r="O103" s="8">
        <v>-0.46218825499738658</v>
      </c>
      <c r="P103" s="26">
        <f t="shared" si="18"/>
        <v>-4.6218825499738658E-3</v>
      </c>
      <c r="X103" s="7">
        <v>-4.6218825499738658E-3</v>
      </c>
      <c r="AF103" s="8">
        <v>-0.46218825499738658</v>
      </c>
      <c r="AG103" s="8">
        <f t="shared" si="19"/>
        <v>-0.46218825499738658</v>
      </c>
      <c r="AH103" s="8">
        <v>-1.4031062324989185</v>
      </c>
      <c r="AI103" s="7">
        <f t="shared" si="20"/>
        <v>-1.4031062324989185E-2</v>
      </c>
    </row>
    <row r="104" spans="1:35" x14ac:dyDescent="0.35">
      <c r="A104" s="9">
        <v>43749</v>
      </c>
      <c r="B104" s="10">
        <f>Расчеты!G108/360</f>
        <v>1.977777777777778E-2</v>
      </c>
      <c r="C104" s="34">
        <f>SNGS!C95</f>
        <v>36.725000000000001</v>
      </c>
      <c r="D104" s="34">
        <f>'FXGD ETF'!C95</f>
        <v>656.2</v>
      </c>
      <c r="E104" s="34">
        <f t="shared" si="11"/>
        <v>1391367.4762194436</v>
      </c>
      <c r="F104" s="3">
        <f t="shared" si="12"/>
        <v>0.21879631948424905</v>
      </c>
      <c r="G104" s="3">
        <f t="shared" si="13"/>
        <v>0.19901854170647126</v>
      </c>
      <c r="H104" s="34">
        <v>2708.07</v>
      </c>
      <c r="I104" s="3">
        <f t="shared" si="14"/>
        <v>-0.49384349129710792</v>
      </c>
      <c r="J104" s="3">
        <f t="shared" si="15"/>
        <v>-0.5136212690748857</v>
      </c>
      <c r="K104" s="3">
        <f t="shared" si="21"/>
        <v>3.9608379942970444E-2</v>
      </c>
      <c r="L104" s="3">
        <f t="shared" si="16"/>
        <v>0.26380680804609613</v>
      </c>
      <c r="M104" s="3">
        <f t="shared" si="17"/>
        <v>-0.10222015596071084</v>
      </c>
      <c r="O104" s="8">
        <v>-0.45999487568499919</v>
      </c>
      <c r="P104" s="26">
        <f t="shared" si="18"/>
        <v>-4.5999487568499919E-3</v>
      </c>
      <c r="X104" s="7">
        <v>-4.5999487568499919E-3</v>
      </c>
      <c r="AF104" s="8">
        <v>-0.45999487568499919</v>
      </c>
      <c r="AG104" s="8">
        <f t="shared" si="19"/>
        <v>-0.45999487568499919</v>
      </c>
      <c r="AH104" s="8">
        <v>-1.395982360659187</v>
      </c>
      <c r="AI104" s="7">
        <f t="shared" si="20"/>
        <v>-1.395982360659187E-2</v>
      </c>
    </row>
    <row r="105" spans="1:35" x14ac:dyDescent="0.35">
      <c r="A105" s="9">
        <v>43752</v>
      </c>
      <c r="B105" s="10">
        <f>Расчеты!G109/360</f>
        <v>1.977777777777778E-2</v>
      </c>
      <c r="C105" s="34">
        <f>SNGS!C96</f>
        <v>36.25</v>
      </c>
      <c r="D105" s="34">
        <f>'FXGD ETF'!C96</f>
        <v>663</v>
      </c>
      <c r="E105" s="34">
        <f t="shared" si="11"/>
        <v>1377934.3680126918</v>
      </c>
      <c r="F105" s="3">
        <f t="shared" si="12"/>
        <v>-0.96546084599099524</v>
      </c>
      <c r="G105" s="3">
        <f t="shared" si="13"/>
        <v>-0.98523862376877303</v>
      </c>
      <c r="H105" s="34">
        <v>2697.46</v>
      </c>
      <c r="I105" s="3">
        <f t="shared" si="14"/>
        <v>-0.39179194038558851</v>
      </c>
      <c r="J105" s="3">
        <f t="shared" si="15"/>
        <v>-0.41156971816336629</v>
      </c>
      <c r="K105" s="3">
        <f t="shared" si="21"/>
        <v>0.97069514576578586</v>
      </c>
      <c r="L105" s="3">
        <f t="shared" si="16"/>
        <v>0.16938963290907277</v>
      </c>
      <c r="M105" s="3">
        <f t="shared" si="17"/>
        <v>0.40549438270817678</v>
      </c>
      <c r="O105" s="8">
        <v>-0.45430550109719636</v>
      </c>
      <c r="P105" s="26">
        <f t="shared" si="18"/>
        <v>-4.5430550109719636E-3</v>
      </c>
      <c r="X105" s="7">
        <v>-4.5430550109719636E-3</v>
      </c>
      <c r="AF105" s="8">
        <v>-0.45430550109719636</v>
      </c>
      <c r="AG105" s="8">
        <f t="shared" si="19"/>
        <v>-0.45430550109719636</v>
      </c>
      <c r="AH105" s="8">
        <v>-1.3797937357135082</v>
      </c>
      <c r="AI105" s="7">
        <f t="shared" si="20"/>
        <v>-1.3797937357135082E-2</v>
      </c>
    </row>
    <row r="106" spans="1:35" x14ac:dyDescent="0.35">
      <c r="A106" s="9">
        <v>43753</v>
      </c>
      <c r="B106" s="10">
        <f>Расчеты!G110/360</f>
        <v>1.9805555555555555E-2</v>
      </c>
      <c r="C106" s="34">
        <f>SNGS!C97</f>
        <v>35.96</v>
      </c>
      <c r="D106" s="34">
        <f>'FXGD ETF'!C97</f>
        <v>658.8</v>
      </c>
      <c r="E106" s="34">
        <f t="shared" si="11"/>
        <v>1367240.404209262</v>
      </c>
      <c r="F106" s="3">
        <f t="shared" si="12"/>
        <v>-0.77608658668214536</v>
      </c>
      <c r="G106" s="3">
        <f t="shared" si="13"/>
        <v>-0.79589214223770088</v>
      </c>
      <c r="H106" s="34">
        <v>2715.26</v>
      </c>
      <c r="I106" s="3">
        <f t="shared" si="14"/>
        <v>0.65988003529247052</v>
      </c>
      <c r="J106" s="3">
        <f t="shared" si="15"/>
        <v>0.640074479736915</v>
      </c>
      <c r="K106" s="3">
        <f t="shared" si="21"/>
        <v>0.63344430207571667</v>
      </c>
      <c r="L106" s="3">
        <f t="shared" si="16"/>
        <v>0.40969533961048243</v>
      </c>
      <c r="M106" s="3">
        <f t="shared" si="17"/>
        <v>-0.50943024886949517</v>
      </c>
      <c r="O106" s="8">
        <v>-0.4181971452995259</v>
      </c>
      <c r="P106" s="26">
        <f t="shared" si="18"/>
        <v>-4.181971452995259E-3</v>
      </c>
      <c r="X106" s="7">
        <v>-4.181971452995259E-3</v>
      </c>
      <c r="AF106" s="8">
        <v>-0.4181971452995259</v>
      </c>
      <c r="AG106" s="8">
        <f t="shared" si="19"/>
        <v>-0.4181971452995259</v>
      </c>
      <c r="AH106" s="8">
        <v>-1.3691657720381945</v>
      </c>
      <c r="AI106" s="7">
        <f t="shared" si="20"/>
        <v>-1.3691657720381945E-2</v>
      </c>
    </row>
    <row r="107" spans="1:35" x14ac:dyDescent="0.35">
      <c r="A107" s="9">
        <v>43754</v>
      </c>
      <c r="B107" s="10">
        <f>Расчеты!G111/360</f>
        <v>1.977777777777778E-2</v>
      </c>
      <c r="C107" s="34">
        <f>SNGS!C98</f>
        <v>36.725000000000001</v>
      </c>
      <c r="D107" s="34">
        <f>'FXGD ETF'!C98</f>
        <v>660.2</v>
      </c>
      <c r="E107" s="34">
        <f t="shared" si="11"/>
        <v>1392561.3571639066</v>
      </c>
      <c r="F107" s="3">
        <f t="shared" si="12"/>
        <v>1.8519751812987817</v>
      </c>
      <c r="G107" s="3">
        <f t="shared" si="13"/>
        <v>1.832197403521004</v>
      </c>
      <c r="H107" s="34">
        <v>2744.35</v>
      </c>
      <c r="I107" s="3">
        <f t="shared" si="14"/>
        <v>1.0713522830226196</v>
      </c>
      <c r="J107" s="3">
        <f t="shared" si="15"/>
        <v>1.051574505244842</v>
      </c>
      <c r="K107" s="3">
        <f t="shared" si="21"/>
        <v>3.3569473254691089</v>
      </c>
      <c r="L107" s="3">
        <f t="shared" si="16"/>
        <v>1.1058089400809341</v>
      </c>
      <c r="M107" s="3">
        <f t="shared" si="17"/>
        <v>1.926692078118484</v>
      </c>
      <c r="O107" s="8">
        <v>-0.41644411177105267</v>
      </c>
      <c r="P107" s="26">
        <f t="shared" si="18"/>
        <v>-4.1644411177105267E-3</v>
      </c>
      <c r="X107" s="7">
        <v>-4.1644411177105267E-3</v>
      </c>
      <c r="AF107" s="8">
        <v>-0.41644411177105267</v>
      </c>
      <c r="AG107" s="8">
        <f t="shared" si="19"/>
        <v>-0.41644411177105267</v>
      </c>
      <c r="AH107" s="8">
        <v>-1.3625080314276339</v>
      </c>
      <c r="AI107" s="7">
        <f t="shared" si="20"/>
        <v>-1.3625080314276339E-2</v>
      </c>
    </row>
    <row r="108" spans="1:35" x14ac:dyDescent="0.35">
      <c r="A108" s="9">
        <v>43755</v>
      </c>
      <c r="B108" s="10">
        <f>Расчеты!G112/360</f>
        <v>1.9722222222222221E-2</v>
      </c>
      <c r="C108" s="34">
        <f>SNGS!C99</f>
        <v>36.200000000000003</v>
      </c>
      <c r="D108" s="34">
        <f>'FXGD ETF'!C99</f>
        <v>662.8</v>
      </c>
      <c r="E108" s="34">
        <f t="shared" si="11"/>
        <v>1376247.0207220647</v>
      </c>
      <c r="F108" s="3">
        <f t="shared" si="12"/>
        <v>-1.1715344791031534</v>
      </c>
      <c r="G108" s="3">
        <f t="shared" si="13"/>
        <v>-1.1912567013253756</v>
      </c>
      <c r="H108" s="34">
        <v>2748.64</v>
      </c>
      <c r="I108" s="3">
        <f t="shared" si="14"/>
        <v>0.15632116894710446</v>
      </c>
      <c r="J108" s="3">
        <f t="shared" si="15"/>
        <v>0.13659894672488224</v>
      </c>
      <c r="K108" s="3">
        <f t="shared" si="21"/>
        <v>1.4190925284526152</v>
      </c>
      <c r="L108" s="3">
        <f t="shared" si="16"/>
        <v>1.8659272246347215E-2</v>
      </c>
      <c r="M108" s="3">
        <f t="shared" si="17"/>
        <v>-0.16272441068000393</v>
      </c>
      <c r="O108" s="8">
        <v>-0.36387000614791498</v>
      </c>
      <c r="P108" s="26">
        <f t="shared" si="18"/>
        <v>-3.6387000614791498E-3</v>
      </c>
      <c r="X108" s="7">
        <v>-3.6387000614791498E-3</v>
      </c>
      <c r="AF108" s="8">
        <v>-0.36387000614791498</v>
      </c>
      <c r="AG108" s="8">
        <f t="shared" si="19"/>
        <v>-0.36387000614791498</v>
      </c>
      <c r="AH108" s="8">
        <v>-1.3543424870562148</v>
      </c>
      <c r="AI108" s="7">
        <f t="shared" si="20"/>
        <v>-1.3543424870562148E-2</v>
      </c>
    </row>
    <row r="109" spans="1:35" x14ac:dyDescent="0.35">
      <c r="A109" s="9">
        <v>43756</v>
      </c>
      <c r="B109" s="10">
        <f>Расчеты!G113/360</f>
        <v>1.9722222222222221E-2</v>
      </c>
      <c r="C109" s="34">
        <f>SNGS!C100</f>
        <v>36.17</v>
      </c>
      <c r="D109" s="34">
        <f>'FXGD ETF'!C100</f>
        <v>660.4</v>
      </c>
      <c r="E109" s="34">
        <f t="shared" si="11"/>
        <v>1374554.1002093444</v>
      </c>
      <c r="F109" s="3">
        <f t="shared" si="12"/>
        <v>-0.12300993115552661</v>
      </c>
      <c r="G109" s="3">
        <f t="shared" si="13"/>
        <v>-0.14273215337774883</v>
      </c>
      <c r="H109" s="34">
        <v>2752.91</v>
      </c>
      <c r="I109" s="3">
        <f t="shared" si="14"/>
        <v>0.15534955468885503</v>
      </c>
      <c r="J109" s="3">
        <f t="shared" si="15"/>
        <v>0.13562733246663281</v>
      </c>
      <c r="K109" s="3">
        <f t="shared" si="21"/>
        <v>2.0372467607849217E-2</v>
      </c>
      <c r="L109" s="3">
        <f t="shared" si="16"/>
        <v>1.8394773312014549E-2</v>
      </c>
      <c r="M109" s="3">
        <f t="shared" si="17"/>
        <v>-1.9358381219842367E-2</v>
      </c>
      <c r="O109" s="8">
        <v>-0.33905505240980904</v>
      </c>
      <c r="P109" s="26">
        <f t="shared" si="18"/>
        <v>-3.3905505240980904E-3</v>
      </c>
      <c r="X109" s="7">
        <v>-3.3905505240980904E-3</v>
      </c>
      <c r="AF109" s="8">
        <v>-0.33905505240980904</v>
      </c>
      <c r="AG109" s="8">
        <f t="shared" si="19"/>
        <v>-0.33905505240980904</v>
      </c>
      <c r="AH109" s="8">
        <v>-1.3492524219708479</v>
      </c>
      <c r="AI109" s="7">
        <f t="shared" si="20"/>
        <v>-1.3492524219708479E-2</v>
      </c>
    </row>
    <row r="110" spans="1:35" x14ac:dyDescent="0.35">
      <c r="A110" s="9">
        <v>43759</v>
      </c>
      <c r="B110" s="10">
        <f>Расчеты!G114/360</f>
        <v>1.9666666666666666E-2</v>
      </c>
      <c r="C110" s="34">
        <f>SNGS!C101</f>
        <v>36.04</v>
      </c>
      <c r="D110" s="34">
        <f>'FXGD ETF'!C101</f>
        <v>655.4</v>
      </c>
      <c r="E110" s="34">
        <f t="shared" si="11"/>
        <v>1368829.850595915</v>
      </c>
      <c r="F110" s="3">
        <f t="shared" si="12"/>
        <v>-0.41644411177105267</v>
      </c>
      <c r="G110" s="3">
        <f t="shared" si="13"/>
        <v>-0.43611077843771934</v>
      </c>
      <c r="H110" s="34">
        <v>2761.15</v>
      </c>
      <c r="I110" s="3">
        <f t="shared" si="14"/>
        <v>0.29931962904707898</v>
      </c>
      <c r="J110" s="3">
        <f t="shared" si="15"/>
        <v>0.27965296238041232</v>
      </c>
      <c r="K110" s="3">
        <f t="shared" si="21"/>
        <v>0.19019261106955351</v>
      </c>
      <c r="L110" s="3">
        <f t="shared" si="16"/>
        <v>7.8205779368140313E-2</v>
      </c>
      <c r="M110" s="3">
        <f t="shared" si="17"/>
        <v>-0.12195967111613586</v>
      </c>
      <c r="O110" s="8">
        <v>-0.33020604182049107</v>
      </c>
      <c r="P110" s="26">
        <f t="shared" si="18"/>
        <v>-3.3020604182049107E-3</v>
      </c>
      <c r="X110" s="7">
        <v>-3.3020604182049107E-3</v>
      </c>
      <c r="AF110" s="8">
        <v>-0.33020604182049107</v>
      </c>
      <c r="AG110" s="8">
        <f t="shared" si="19"/>
        <v>-0.33020604182049107</v>
      </c>
      <c r="AH110" s="8">
        <v>-1.319299483942582</v>
      </c>
      <c r="AI110" s="7">
        <f t="shared" si="20"/>
        <v>-1.319299483942582E-2</v>
      </c>
    </row>
    <row r="111" spans="1:35" x14ac:dyDescent="0.35">
      <c r="A111" s="9">
        <v>43760</v>
      </c>
      <c r="B111" s="10">
        <f>Расчеты!G115/360</f>
        <v>1.9472222222222221E-2</v>
      </c>
      <c r="C111" s="34">
        <f>SNGS!C102</f>
        <v>36.725000000000001</v>
      </c>
      <c r="D111" s="34">
        <f>'FXGD ETF'!C102</f>
        <v>653.4</v>
      </c>
      <c r="E111" s="34">
        <f t="shared" si="11"/>
        <v>1390531.7595583196</v>
      </c>
      <c r="F111" s="3">
        <f t="shared" si="12"/>
        <v>1.5854351037827508</v>
      </c>
      <c r="G111" s="3">
        <f t="shared" si="13"/>
        <v>1.5659628815605287</v>
      </c>
      <c r="H111" s="34">
        <v>2802.23</v>
      </c>
      <c r="I111" s="3">
        <f t="shared" si="14"/>
        <v>1.4877858863154847</v>
      </c>
      <c r="J111" s="3">
        <f t="shared" si="15"/>
        <v>1.4683136640932626</v>
      </c>
      <c r="K111" s="3">
        <f t="shared" si="21"/>
        <v>2.4522397464253545</v>
      </c>
      <c r="L111" s="3">
        <f t="shared" si="16"/>
        <v>2.1559450161629825</v>
      </c>
      <c r="M111" s="3">
        <f t="shared" si="17"/>
        <v>2.2993246964581835</v>
      </c>
      <c r="O111" s="8">
        <v>-0.31155569645924253</v>
      </c>
      <c r="P111" s="26">
        <f t="shared" si="18"/>
        <v>-3.1155569645924253E-3</v>
      </c>
      <c r="X111" s="7">
        <v>-3.1155569645924253E-3</v>
      </c>
      <c r="AF111" s="8">
        <v>-0.31155569645924253</v>
      </c>
      <c r="AG111" s="8">
        <f t="shared" si="19"/>
        <v>-0.31155569645924253</v>
      </c>
      <c r="AH111" s="8">
        <v>-1.3115354141514102</v>
      </c>
      <c r="AI111" s="7">
        <f t="shared" si="20"/>
        <v>-1.3115354141514102E-2</v>
      </c>
    </row>
    <row r="112" spans="1:35" x14ac:dyDescent="0.35">
      <c r="A112" s="9">
        <v>43761</v>
      </c>
      <c r="B112" s="10">
        <f>Расчеты!G116/360</f>
        <v>1.925E-2</v>
      </c>
      <c r="C112" s="34">
        <f>SNGS!C103</f>
        <v>40.17</v>
      </c>
      <c r="D112" s="34">
        <f>'FXGD ETF'!C103</f>
        <v>660</v>
      </c>
      <c r="E112" s="34">
        <f t="shared" si="11"/>
        <v>1504646.9715872249</v>
      </c>
      <c r="F112" s="3">
        <f t="shared" si="12"/>
        <v>8.2065879649632976</v>
      </c>
      <c r="G112" s="3">
        <f t="shared" si="13"/>
        <v>8.187337964963298</v>
      </c>
      <c r="H112" s="34">
        <v>2821.58</v>
      </c>
      <c r="I112" s="3">
        <f t="shared" si="14"/>
        <v>0.69052147753752013</v>
      </c>
      <c r="J112" s="3">
        <f t="shared" si="15"/>
        <v>0.67127147753752014</v>
      </c>
      <c r="K112" s="3">
        <f t="shared" si="21"/>
        <v>67.032502952529356</v>
      </c>
      <c r="L112" s="3">
        <f t="shared" si="16"/>
        <v>0.45060539655540544</v>
      </c>
      <c r="M112" s="3">
        <f t="shared" si="17"/>
        <v>5.4959264528399467</v>
      </c>
      <c r="O112" s="8">
        <v>-0.29642916205459002</v>
      </c>
      <c r="P112" s="26">
        <f t="shared" si="18"/>
        <v>-2.9642916205459002E-3</v>
      </c>
      <c r="X112" s="7">
        <v>-2.9642916205459002E-3</v>
      </c>
      <c r="AF112" s="8">
        <v>-0.29642916205459002</v>
      </c>
      <c r="AG112" s="8">
        <f t="shared" si="19"/>
        <v>-0.29642916205459002</v>
      </c>
      <c r="AH112" s="8">
        <v>-1.3035512182732356</v>
      </c>
      <c r="AI112" s="7">
        <f t="shared" si="20"/>
        <v>-1.3035512182732356E-2</v>
      </c>
    </row>
    <row r="113" spans="1:35" x14ac:dyDescent="0.35">
      <c r="A113" s="9">
        <v>43762</v>
      </c>
      <c r="B113" s="10">
        <f>Расчеты!G117/360</f>
        <v>1.9277777777777779E-2</v>
      </c>
      <c r="C113" s="34">
        <f>SNGS!C104</f>
        <v>43.55</v>
      </c>
      <c r="D113" s="34">
        <f>'FXGD ETF'!C104</f>
        <v>664.2</v>
      </c>
      <c r="E113" s="34">
        <f t="shared" si="11"/>
        <v>1615929.9058330273</v>
      </c>
      <c r="F113" s="3">
        <f t="shared" si="12"/>
        <v>7.3959497707566602</v>
      </c>
      <c r="G113" s="3">
        <f t="shared" si="13"/>
        <v>7.3766719929788822</v>
      </c>
      <c r="H113" s="34">
        <v>2877.05</v>
      </c>
      <c r="I113" s="3">
        <f t="shared" si="14"/>
        <v>1.9659198037978776</v>
      </c>
      <c r="J113" s="3">
        <f t="shared" si="15"/>
        <v>1.9466420260200998</v>
      </c>
      <c r="K113" s="3">
        <f t="shared" si="21"/>
        <v>54.415289691999035</v>
      </c>
      <c r="L113" s="3">
        <f t="shared" si="16"/>
        <v>3.7894151774676392</v>
      </c>
      <c r="M113" s="3">
        <f t="shared" si="17"/>
        <v>14.359739713698138</v>
      </c>
      <c r="O113" s="8">
        <v>-0.28837788567045441</v>
      </c>
      <c r="P113" s="26">
        <f t="shared" si="18"/>
        <v>-2.8837788567045441E-3</v>
      </c>
      <c r="X113" s="7">
        <v>-2.8837788567045441E-3</v>
      </c>
      <c r="AF113" s="8">
        <v>-0.28837788567045441</v>
      </c>
      <c r="AG113" s="8">
        <f t="shared" si="19"/>
        <v>-0.28837788567045441</v>
      </c>
      <c r="AH113" s="8">
        <v>-1.3007290801574922</v>
      </c>
      <c r="AI113" s="7">
        <f t="shared" si="20"/>
        <v>-1.3007290801574922E-2</v>
      </c>
    </row>
    <row r="114" spans="1:35" x14ac:dyDescent="0.35">
      <c r="A114" s="9">
        <v>43763</v>
      </c>
      <c r="B114" s="10">
        <f>Расчеты!G118/360</f>
        <v>1.9527777777777779E-2</v>
      </c>
      <c r="C114" s="34">
        <f>SNGS!C105</f>
        <v>46.58</v>
      </c>
      <c r="D114" s="34">
        <f>'FXGD ETF'!C105</f>
        <v>664.4</v>
      </c>
      <c r="E114" s="34">
        <f t="shared" si="11"/>
        <v>1714625.386430538</v>
      </c>
      <c r="F114" s="3">
        <f t="shared" si="12"/>
        <v>6.1076585216505608</v>
      </c>
      <c r="G114" s="3">
        <f t="shared" si="13"/>
        <v>6.0881307438727834</v>
      </c>
      <c r="H114" s="34">
        <v>2873.41</v>
      </c>
      <c r="I114" s="3">
        <f t="shared" si="14"/>
        <v>-0.12651848247338116</v>
      </c>
      <c r="J114" s="3">
        <f t="shared" si="15"/>
        <v>-0.14604626025115894</v>
      </c>
      <c r="K114" s="3">
        <f t="shared" si="21"/>
        <v>37.065335954488972</v>
      </c>
      <c r="L114" s="3">
        <f t="shared" si="16"/>
        <v>2.1329510133349248E-2</v>
      </c>
      <c r="M114" s="3">
        <f t="shared" si="17"/>
        <v>-0.88914872706272641</v>
      </c>
      <c r="O114" s="8">
        <v>-0.28624025096740668</v>
      </c>
      <c r="P114" s="26">
        <f t="shared" si="18"/>
        <v>-2.8624025096740668E-3</v>
      </c>
      <c r="X114" s="7">
        <v>-2.8624025096740668E-3</v>
      </c>
      <c r="AF114" s="8">
        <v>-0.28624025096740668</v>
      </c>
      <c r="AG114" s="8">
        <f t="shared" si="19"/>
        <v>-0.28624025096740668</v>
      </c>
      <c r="AH114" s="8">
        <v>-1.2694482096917481</v>
      </c>
      <c r="AI114" s="7">
        <f t="shared" si="20"/>
        <v>-1.2694482096917481E-2</v>
      </c>
    </row>
    <row r="115" spans="1:35" x14ac:dyDescent="0.35">
      <c r="A115" s="9">
        <v>43766</v>
      </c>
      <c r="B115" s="10">
        <f>Расчеты!G119/360</f>
        <v>1.8805555555555555E-2</v>
      </c>
      <c r="C115" s="34">
        <f>SNGS!C106</f>
        <v>44.6</v>
      </c>
      <c r="D115" s="34">
        <f>'FXGD ETF'!C106</f>
        <v>661.8</v>
      </c>
      <c r="E115" s="34">
        <f t="shared" si="11"/>
        <v>1649394.2953778354</v>
      </c>
      <c r="F115" s="3">
        <f t="shared" si="12"/>
        <v>-3.8043931676818965</v>
      </c>
      <c r="G115" s="3">
        <f t="shared" si="13"/>
        <v>-3.8231987232374522</v>
      </c>
      <c r="H115" s="34">
        <v>2856.91</v>
      </c>
      <c r="I115" s="3">
        <f t="shared" si="14"/>
        <v>-0.57423061797654551</v>
      </c>
      <c r="J115" s="3">
        <f t="shared" si="15"/>
        <v>-0.59303617353210103</v>
      </c>
      <c r="K115" s="3">
        <f t="shared" si="21"/>
        <v>14.616848477364485</v>
      </c>
      <c r="L115" s="3">
        <f t="shared" si="16"/>
        <v>0.35169190311759624</v>
      </c>
      <c r="M115" s="3">
        <f t="shared" si="17"/>
        <v>2.267295141481553</v>
      </c>
      <c r="O115" s="8">
        <v>-0.28102397916218713</v>
      </c>
      <c r="P115" s="26">
        <f t="shared" si="18"/>
        <v>-2.8102397916218713E-3</v>
      </c>
      <c r="X115" s="7">
        <v>-2.8102397916218713E-3</v>
      </c>
      <c r="AF115" s="8">
        <v>-0.28102397916218713</v>
      </c>
      <c r="AG115" s="8">
        <f t="shared" si="19"/>
        <v>-0.28102397916218713</v>
      </c>
      <c r="AH115" s="8">
        <v>-1.2645552666189497</v>
      </c>
      <c r="AI115" s="7">
        <f t="shared" si="20"/>
        <v>-1.2645552666189497E-2</v>
      </c>
    </row>
    <row r="116" spans="1:35" x14ac:dyDescent="0.35">
      <c r="A116" s="9">
        <v>43767</v>
      </c>
      <c r="B116" s="10">
        <f>Расчеты!G120/360</f>
        <v>1.8833333333333334E-2</v>
      </c>
      <c r="C116" s="34">
        <f>SNGS!C107</f>
        <v>44.55</v>
      </c>
      <c r="D116" s="34">
        <f>'FXGD ETF'!C107</f>
        <v>657</v>
      </c>
      <c r="E116" s="34">
        <f t="shared" si="11"/>
        <v>1646333.9850010755</v>
      </c>
      <c r="F116" s="3">
        <f t="shared" si="12"/>
        <v>-0.18554146727292053</v>
      </c>
      <c r="G116" s="3">
        <f t="shared" si="13"/>
        <v>-0.20437480060625388</v>
      </c>
      <c r="H116" s="34">
        <v>2886.48</v>
      </c>
      <c r="I116" s="3">
        <f t="shared" si="14"/>
        <v>1.0350343552999686</v>
      </c>
      <c r="J116" s="3">
        <f t="shared" si="15"/>
        <v>1.0162010219666353</v>
      </c>
      <c r="K116" s="3">
        <f t="shared" si="21"/>
        <v>4.1769059122846029E-2</v>
      </c>
      <c r="L116" s="3">
        <f t="shared" si="16"/>
        <v>1.032664517046034</v>
      </c>
      <c r="M116" s="3">
        <f t="shared" si="17"/>
        <v>-0.20768588124030252</v>
      </c>
      <c r="O116" s="8">
        <v>-0.25778300148874278</v>
      </c>
      <c r="P116" s="26">
        <f t="shared" si="18"/>
        <v>-2.5778300148874278E-3</v>
      </c>
      <c r="X116" s="7">
        <v>-2.5778300148874278E-3</v>
      </c>
      <c r="AF116" s="8">
        <v>-0.25778300148874278</v>
      </c>
      <c r="AG116" s="8">
        <f t="shared" si="19"/>
        <v>-0.25778300148874278</v>
      </c>
      <c r="AH116" s="8">
        <v>-1.2543953237484917</v>
      </c>
      <c r="AI116" s="7">
        <f t="shared" si="20"/>
        <v>-1.2543953237484917E-2</v>
      </c>
    </row>
    <row r="117" spans="1:35" x14ac:dyDescent="0.35">
      <c r="A117" s="9">
        <v>43768</v>
      </c>
      <c r="B117" s="10">
        <f>Расчеты!G121/360</f>
        <v>1.8833333333333334E-2</v>
      </c>
      <c r="C117" s="34">
        <f>SNGS!C108</f>
        <v>43.4</v>
      </c>
      <c r="D117" s="34">
        <f>'FXGD ETF'!C108</f>
        <v>661.8</v>
      </c>
      <c r="E117" s="34">
        <f t="shared" si="11"/>
        <v>1610330.6175361371</v>
      </c>
      <c r="F117" s="3">
        <f t="shared" si="12"/>
        <v>-2.1868811427661172</v>
      </c>
      <c r="G117" s="3">
        <f t="shared" si="13"/>
        <v>-2.2057144760994505</v>
      </c>
      <c r="H117" s="34">
        <v>2911.15</v>
      </c>
      <c r="I117" s="3">
        <f t="shared" si="14"/>
        <v>0.85467420526039728</v>
      </c>
      <c r="J117" s="3">
        <f t="shared" si="15"/>
        <v>0.83584087192706391</v>
      </c>
      <c r="K117" s="3">
        <f t="shared" si="21"/>
        <v>4.8651763500746732</v>
      </c>
      <c r="L117" s="3">
        <f t="shared" si="16"/>
        <v>0.69862996318379444</v>
      </c>
      <c r="M117" s="3">
        <f t="shared" si="17"/>
        <v>-1.8436263109251116</v>
      </c>
      <c r="O117" s="8">
        <v>-0.24930273305652229</v>
      </c>
      <c r="P117" s="26">
        <f t="shared" si="18"/>
        <v>-2.4930273305652229E-3</v>
      </c>
      <c r="X117" s="7">
        <v>-2.4930273305652229E-3</v>
      </c>
      <c r="AF117" s="8">
        <v>-0.24930273305652229</v>
      </c>
      <c r="AG117" s="8">
        <f t="shared" si="19"/>
        <v>-0.24930273305652229</v>
      </c>
      <c r="AH117" s="8">
        <v>-1.2519586867228649</v>
      </c>
      <c r="AI117" s="7">
        <f t="shared" si="20"/>
        <v>-1.2519586867228649E-2</v>
      </c>
    </row>
    <row r="118" spans="1:35" x14ac:dyDescent="0.35">
      <c r="A118" s="9">
        <v>43769</v>
      </c>
      <c r="B118" s="10">
        <f>Расчеты!G122/360</f>
        <v>1.8722222222222223E-2</v>
      </c>
      <c r="C118" s="34">
        <f>SNGS!C109</f>
        <v>43</v>
      </c>
      <c r="D118" s="34">
        <f>'FXGD ETF'!C109</f>
        <v>668.2</v>
      </c>
      <c r="E118" s="34">
        <f t="shared" si="11"/>
        <v>1599219.6011000453</v>
      </c>
      <c r="F118" s="3">
        <f t="shared" si="12"/>
        <v>-0.68998355462508432</v>
      </c>
      <c r="G118" s="3">
        <f t="shared" si="13"/>
        <v>-0.70870577684730651</v>
      </c>
      <c r="H118" s="34">
        <v>2893.98</v>
      </c>
      <c r="I118" s="3">
        <f t="shared" si="14"/>
        <v>-0.58980128128059972</v>
      </c>
      <c r="J118" s="3">
        <f t="shared" si="15"/>
        <v>-0.60852350350282192</v>
      </c>
      <c r="K118" s="3">
        <f t="shared" si="21"/>
        <v>0.50226387813674422</v>
      </c>
      <c r="L118" s="3">
        <f t="shared" si="16"/>
        <v>0.37030085431534893</v>
      </c>
      <c r="M118" s="3">
        <f t="shared" si="17"/>
        <v>0.43126412227981203</v>
      </c>
      <c r="O118" s="8">
        <v>-0.23288034898716337</v>
      </c>
      <c r="P118" s="26">
        <f t="shared" si="18"/>
        <v>-2.3288034898716337E-3</v>
      </c>
      <c r="X118" s="7">
        <v>-2.3288034898716337E-3</v>
      </c>
      <c r="AF118" s="8">
        <v>-0.23288034898716337</v>
      </c>
      <c r="AG118" s="8">
        <f t="shared" si="19"/>
        <v>-0.23288034898716337</v>
      </c>
      <c r="AH118" s="8">
        <v>-1.2489587495263854</v>
      </c>
      <c r="AI118" s="7">
        <f t="shared" si="20"/>
        <v>-1.2489587495263854E-2</v>
      </c>
    </row>
    <row r="119" spans="1:35" x14ac:dyDescent="0.35">
      <c r="A119" s="9">
        <v>43770</v>
      </c>
      <c r="B119" s="10">
        <f>Расчеты!G123/360</f>
        <v>1.8611111111111113E-2</v>
      </c>
      <c r="C119" s="34">
        <f>SNGS!C110</f>
        <v>46.255000000000003</v>
      </c>
      <c r="D119" s="34">
        <f>'FXGD ETF'!C110</f>
        <v>662.8</v>
      </c>
      <c r="E119" s="34">
        <f t="shared" si="11"/>
        <v>1703568.0879706265</v>
      </c>
      <c r="F119" s="3">
        <f t="shared" si="12"/>
        <v>6.5249629756165994</v>
      </c>
      <c r="G119" s="3">
        <f t="shared" si="13"/>
        <v>6.5063518645054881</v>
      </c>
      <c r="H119" s="34">
        <v>2930.4</v>
      </c>
      <c r="I119" s="3">
        <f t="shared" si="14"/>
        <v>1.2584744884208021</v>
      </c>
      <c r="J119" s="3">
        <f t="shared" si="15"/>
        <v>1.239863377309691</v>
      </c>
      <c r="K119" s="3">
        <f t="shared" si="21"/>
        <v>42.33261458475404</v>
      </c>
      <c r="L119" s="3">
        <f t="shared" si="16"/>
        <v>1.5372611943937931</v>
      </c>
      <c r="M119" s="3">
        <f t="shared" si="17"/>
        <v>8.0669873966909798</v>
      </c>
      <c r="O119" s="8">
        <v>-0.21754739184983718</v>
      </c>
      <c r="P119" s="26">
        <f t="shared" si="18"/>
        <v>-2.1754739184983718E-3</v>
      </c>
      <c r="X119" s="7">
        <v>-2.1754739184983718E-3</v>
      </c>
      <c r="AF119" s="8">
        <v>-0.21754739184983718</v>
      </c>
      <c r="AG119" s="8">
        <f t="shared" si="19"/>
        <v>-0.21754739184983718</v>
      </c>
      <c r="AH119" s="8">
        <v>-1.2467343230483929</v>
      </c>
      <c r="AI119" s="7">
        <f t="shared" si="20"/>
        <v>-1.2467343230483929E-2</v>
      </c>
    </row>
    <row r="120" spans="1:35" x14ac:dyDescent="0.35">
      <c r="A120" s="9">
        <v>43774</v>
      </c>
      <c r="B120" s="10">
        <f>Расчеты!G124/360</f>
        <v>1.8555555555555554E-2</v>
      </c>
      <c r="C120" s="34">
        <f>SNGS!C111</f>
        <v>46.115000000000002</v>
      </c>
      <c r="D120" s="34">
        <f>'FXGD ETF'!C111</f>
        <v>654.20000000000005</v>
      </c>
      <c r="E120" s="34">
        <f t="shared" si="11"/>
        <v>1696443.8148584997</v>
      </c>
      <c r="F120" s="3">
        <f t="shared" si="12"/>
        <v>-0.4181971452995259</v>
      </c>
      <c r="G120" s="3">
        <f t="shared" si="13"/>
        <v>-0.43675270085508144</v>
      </c>
      <c r="H120" s="34">
        <v>2949.55</v>
      </c>
      <c r="I120" s="3">
        <f t="shared" si="14"/>
        <v>0.65349440349440346</v>
      </c>
      <c r="J120" s="3">
        <f t="shared" si="15"/>
        <v>0.63493884793884792</v>
      </c>
      <c r="K120" s="3">
        <f t="shared" si="21"/>
        <v>0.19075292170420827</v>
      </c>
      <c r="L120" s="3">
        <f t="shared" si="16"/>
        <v>0.40314734062191143</v>
      </c>
      <c r="M120" s="3">
        <f t="shared" si="17"/>
        <v>-0.2773112567151057</v>
      </c>
      <c r="O120" s="8">
        <v>-0.21158946928930833</v>
      </c>
      <c r="P120" s="26">
        <f t="shared" si="18"/>
        <v>-2.1158946928930833E-3</v>
      </c>
      <c r="X120" s="7">
        <v>-2.1158946928930833E-3</v>
      </c>
      <c r="AF120" s="8">
        <v>-0.21158946928930833</v>
      </c>
      <c r="AG120" s="8">
        <f t="shared" si="19"/>
        <v>-0.21158946928930833</v>
      </c>
      <c r="AH120" s="8">
        <v>-1.2233556935728807</v>
      </c>
      <c r="AI120" s="7">
        <f t="shared" si="20"/>
        <v>-1.2233556935728807E-2</v>
      </c>
    </row>
    <row r="121" spans="1:35" x14ac:dyDescent="0.35">
      <c r="A121" s="9">
        <v>43775</v>
      </c>
      <c r="B121" s="10">
        <f>Расчеты!G125/360</f>
        <v>1.8583333333333334E-2</v>
      </c>
      <c r="C121" s="34">
        <f>SNGS!C112</f>
        <v>46.22</v>
      </c>
      <c r="D121" s="34">
        <f>'FXGD ETF'!C112</f>
        <v>657.4</v>
      </c>
      <c r="E121" s="34">
        <f t="shared" si="11"/>
        <v>1700816.9914252185</v>
      </c>
      <c r="F121" s="3">
        <f t="shared" si="12"/>
        <v>0.25778493389618795</v>
      </c>
      <c r="G121" s="3">
        <f t="shared" si="13"/>
        <v>0.23920160056285461</v>
      </c>
      <c r="H121" s="34">
        <v>2980.84</v>
      </c>
      <c r="I121" s="3">
        <f t="shared" si="14"/>
        <v>1.0608397891203714</v>
      </c>
      <c r="J121" s="3">
        <f t="shared" si="15"/>
        <v>1.042256455787038</v>
      </c>
      <c r="K121" s="3">
        <f t="shared" si="21"/>
        <v>5.7217405711831447E-2</v>
      </c>
      <c r="L121" s="3">
        <f t="shared" si="16"/>
        <v>1.0862985196297579</v>
      </c>
      <c r="M121" s="3">
        <f t="shared" si="17"/>
        <v>0.24930941242122759</v>
      </c>
      <c r="O121" s="8">
        <v>-0.18886427543196582</v>
      </c>
      <c r="P121" s="26">
        <f t="shared" si="18"/>
        <v>-1.8886427543196582E-3</v>
      </c>
      <c r="X121" s="7">
        <v>-1.8886427543196582E-3</v>
      </c>
      <c r="AF121" s="8">
        <v>-0.18886427543196582</v>
      </c>
      <c r="AG121" s="8">
        <f t="shared" si="19"/>
        <v>-0.18886427543196582</v>
      </c>
      <c r="AH121" s="8">
        <v>-1.2092801556694122</v>
      </c>
      <c r="AI121" s="7">
        <f t="shared" si="20"/>
        <v>-1.2092801556694122E-2</v>
      </c>
    </row>
    <row r="122" spans="1:35" x14ac:dyDescent="0.35">
      <c r="A122" s="9">
        <v>43776</v>
      </c>
      <c r="B122" s="10">
        <f>Расчеты!G126/360</f>
        <v>1.8555555555555554E-2</v>
      </c>
      <c r="C122" s="34">
        <f>SNGS!C113</f>
        <v>47.29</v>
      </c>
      <c r="D122" s="34">
        <f>'FXGD ETF'!C113</f>
        <v>650.4</v>
      </c>
      <c r="E122" s="34">
        <f t="shared" si="11"/>
        <v>1733559.4791812557</v>
      </c>
      <c r="F122" s="3">
        <f t="shared" si="12"/>
        <v>1.9251035191387711</v>
      </c>
      <c r="G122" s="3">
        <f t="shared" si="13"/>
        <v>1.9065479635832154</v>
      </c>
      <c r="H122" s="34">
        <v>3008.54</v>
      </c>
      <c r="I122" s="3">
        <f t="shared" si="14"/>
        <v>0.92926825995356399</v>
      </c>
      <c r="J122" s="3">
        <f t="shared" si="15"/>
        <v>0.91071270439800844</v>
      </c>
      <c r="K122" s="3">
        <f t="shared" si="21"/>
        <v>3.6349251374433056</v>
      </c>
      <c r="L122" s="3">
        <f t="shared" si="16"/>
        <v>0.82939762995193433</v>
      </c>
      <c r="M122" s="3">
        <f t="shared" si="17"/>
        <v>1.7363174519793858</v>
      </c>
      <c r="O122" s="8">
        <v>-0.18554146727292053</v>
      </c>
      <c r="P122" s="26">
        <f t="shared" si="18"/>
        <v>-1.8554146727292053E-3</v>
      </c>
      <c r="X122" s="7">
        <v>-1.8554146727292053E-3</v>
      </c>
      <c r="AF122" s="8">
        <v>-0.18554146727292053</v>
      </c>
      <c r="AG122" s="8">
        <f t="shared" si="19"/>
        <v>-0.18554146727292053</v>
      </c>
      <c r="AH122" s="8">
        <v>-1.202072094748452</v>
      </c>
      <c r="AI122" s="7">
        <f t="shared" si="20"/>
        <v>-1.202072094748452E-2</v>
      </c>
    </row>
    <row r="123" spans="1:35" x14ac:dyDescent="0.35">
      <c r="A123" s="9">
        <v>43777</v>
      </c>
      <c r="B123" s="10">
        <f>Расчеты!G127/360</f>
        <v>1.8555555555555554E-2</v>
      </c>
      <c r="C123" s="34">
        <f>SNGS!C114</f>
        <v>46.655000000000001</v>
      </c>
      <c r="D123" s="34">
        <f>'FXGD ETF'!C114</f>
        <v>646.79999999999995</v>
      </c>
      <c r="E123" s="34">
        <f t="shared" si="11"/>
        <v>1711813.7901400074</v>
      </c>
      <c r="F123" s="3">
        <f t="shared" si="12"/>
        <v>-1.2543953237484917</v>
      </c>
      <c r="G123" s="3">
        <f t="shared" si="13"/>
        <v>-1.2729508793040474</v>
      </c>
      <c r="H123" s="34">
        <v>2973.19</v>
      </c>
      <c r="I123" s="3">
        <f t="shared" si="14"/>
        <v>-1.1749885326437393</v>
      </c>
      <c r="J123" s="3">
        <f t="shared" si="15"/>
        <v>-1.1935440881992949</v>
      </c>
      <c r="K123" s="3">
        <f t="shared" si="21"/>
        <v>1.6204039411209474</v>
      </c>
      <c r="L123" s="3">
        <f t="shared" si="16"/>
        <v>1.4245474904754862</v>
      </c>
      <c r="M123" s="3">
        <f t="shared" si="17"/>
        <v>1.5193229965614399</v>
      </c>
      <c r="O123" s="8">
        <v>-0.17367866440676227</v>
      </c>
      <c r="P123" s="26">
        <f t="shared" si="18"/>
        <v>-1.7367866440676227E-3</v>
      </c>
      <c r="X123" s="7">
        <v>-1.7367866440676227E-3</v>
      </c>
      <c r="AF123" s="8">
        <v>-0.17367866440676227</v>
      </c>
      <c r="AG123" s="8">
        <f t="shared" si="19"/>
        <v>-0.17367866440676227</v>
      </c>
      <c r="AH123" s="8">
        <v>-1.1989260282401437</v>
      </c>
      <c r="AI123" s="7">
        <f t="shared" si="20"/>
        <v>-1.1989260282401437E-2</v>
      </c>
    </row>
    <row r="124" spans="1:35" x14ac:dyDescent="0.35">
      <c r="A124" s="9">
        <v>43780</v>
      </c>
      <c r="B124" s="10">
        <f>Расчеты!G128/360</f>
        <v>1.8555555555555554E-2</v>
      </c>
      <c r="C124" s="34">
        <f>SNGS!C115</f>
        <v>48.545000000000002</v>
      </c>
      <c r="D124" s="34">
        <f>'FXGD ETF'!C115</f>
        <v>642</v>
      </c>
      <c r="E124" s="34">
        <f t="shared" si="11"/>
        <v>1771906.4256073264</v>
      </c>
      <c r="F124" s="3">
        <f t="shared" si="12"/>
        <v>3.5104656717600102</v>
      </c>
      <c r="G124" s="3">
        <f t="shared" si="13"/>
        <v>3.4919101162044548</v>
      </c>
      <c r="H124" s="34">
        <v>2961.46</v>
      </c>
      <c r="I124" s="3">
        <f t="shared" si="14"/>
        <v>-0.39452574507515825</v>
      </c>
      <c r="J124" s="3">
        <f t="shared" si="15"/>
        <v>-0.4130813006307138</v>
      </c>
      <c r="K124" s="3">
        <f t="shared" si="21"/>
        <v>12.193436259651008</v>
      </c>
      <c r="L124" s="3">
        <f t="shared" si="16"/>
        <v>0.17063616093076214</v>
      </c>
      <c r="M124" s="3">
        <f t="shared" si="17"/>
        <v>-1.4424427724872833</v>
      </c>
      <c r="O124" s="8">
        <v>-0.15946723612326741</v>
      </c>
      <c r="P124" s="26">
        <f t="shared" si="18"/>
        <v>-1.5946723612326741E-3</v>
      </c>
      <c r="X124" s="7">
        <v>-1.5946723612326741E-3</v>
      </c>
      <c r="AF124" s="8">
        <v>-0.15946723612326741</v>
      </c>
      <c r="AG124" s="8">
        <f t="shared" si="19"/>
        <v>-0.15946723612326741</v>
      </c>
      <c r="AH124" s="8">
        <v>-1.1715344791031534</v>
      </c>
      <c r="AI124" s="7">
        <f t="shared" si="20"/>
        <v>-1.1715344791031534E-2</v>
      </c>
    </row>
    <row r="125" spans="1:35" x14ac:dyDescent="0.35">
      <c r="A125" s="9">
        <v>43781</v>
      </c>
      <c r="B125" s="10">
        <f>Расчеты!G129/360</f>
        <v>1.8527777777777778E-2</v>
      </c>
      <c r="C125" s="34">
        <f>SNGS!C116</f>
        <v>47.935000000000002</v>
      </c>
      <c r="D125" s="34">
        <f>'FXGD ETF'!C116</f>
        <v>641.20000000000005</v>
      </c>
      <c r="E125" s="34">
        <f t="shared" si="11"/>
        <v>1751810.2798489039</v>
      </c>
      <c r="F125" s="3">
        <f t="shared" si="12"/>
        <v>-1.134153895939205</v>
      </c>
      <c r="G125" s="3">
        <f t="shared" si="13"/>
        <v>-1.1526816737169827</v>
      </c>
      <c r="H125" s="34">
        <v>2951.16</v>
      </c>
      <c r="I125" s="3">
        <f t="shared" si="14"/>
        <v>-0.34780142227145427</v>
      </c>
      <c r="J125" s="3">
        <f t="shared" si="15"/>
        <v>-0.36632920004923203</v>
      </c>
      <c r="K125" s="3">
        <f t="shared" si="21"/>
        <v>1.3286750409229846</v>
      </c>
      <c r="L125" s="3">
        <f t="shared" si="16"/>
        <v>0.13419708280871026</v>
      </c>
      <c r="M125" s="3">
        <f t="shared" si="17"/>
        <v>0.42226095544415215</v>
      </c>
      <c r="O125" s="8">
        <v>-0.15371034176143716</v>
      </c>
      <c r="P125" s="26">
        <f t="shared" si="18"/>
        <v>-1.5371034176143716E-3</v>
      </c>
      <c r="X125" s="7">
        <v>-1.5371034176143716E-3</v>
      </c>
      <c r="AF125" s="8">
        <v>-0.15371034176143716</v>
      </c>
      <c r="AG125" s="8">
        <f t="shared" si="19"/>
        <v>-0.15371034176143716</v>
      </c>
      <c r="AH125" s="8">
        <v>-1.1701972144026795</v>
      </c>
      <c r="AI125" s="7">
        <f t="shared" si="20"/>
        <v>-1.1701972144026795E-2</v>
      </c>
    </row>
    <row r="126" spans="1:35" x14ac:dyDescent="0.35">
      <c r="A126" s="9">
        <v>43782</v>
      </c>
      <c r="B126" s="10">
        <f>Расчеты!G130/360</f>
        <v>1.8416666666666668E-2</v>
      </c>
      <c r="C126" s="34">
        <f>SNGS!C117</f>
        <v>47.79</v>
      </c>
      <c r="D126" s="34">
        <f>'FXGD ETF'!C117</f>
        <v>649.4</v>
      </c>
      <c r="E126" s="34">
        <f t="shared" si="11"/>
        <v>1749537.541379181</v>
      </c>
      <c r="F126" s="3">
        <f t="shared" si="12"/>
        <v>-0.12973656427675007</v>
      </c>
      <c r="G126" s="3">
        <f t="shared" si="13"/>
        <v>-0.14815323094341673</v>
      </c>
      <c r="H126" s="34">
        <v>2933.89</v>
      </c>
      <c r="I126" s="3">
        <f t="shared" si="14"/>
        <v>-0.58519361878041076</v>
      </c>
      <c r="J126" s="3">
        <f t="shared" si="15"/>
        <v>-0.6036102854470774</v>
      </c>
      <c r="K126" s="3">
        <f t="shared" si="21"/>
        <v>2.1949379838973371E-2</v>
      </c>
      <c r="L126" s="3">
        <f t="shared" si="16"/>
        <v>0.36434537669750228</v>
      </c>
      <c r="M126" s="3">
        <f t="shared" si="17"/>
        <v>8.9426814019662557E-2</v>
      </c>
      <c r="O126" s="8">
        <v>-0.13810080422385074</v>
      </c>
      <c r="P126" s="26">
        <f t="shared" si="18"/>
        <v>-1.3810080422385074E-3</v>
      </c>
      <c r="X126" s="7">
        <v>-1.3810080422385074E-3</v>
      </c>
      <c r="AF126" s="8">
        <v>-0.13810080422385074</v>
      </c>
      <c r="AG126" s="8">
        <f t="shared" si="19"/>
        <v>-0.13810080422385074</v>
      </c>
      <c r="AH126" s="8">
        <v>-1.1643794968843491</v>
      </c>
      <c r="AI126" s="7">
        <f t="shared" si="20"/>
        <v>-1.1643794968843491E-2</v>
      </c>
    </row>
    <row r="127" spans="1:35" x14ac:dyDescent="0.35">
      <c r="A127" s="9">
        <v>43783</v>
      </c>
      <c r="B127" s="10">
        <f>Расчеты!G131/360</f>
        <v>1.8416666666666668E-2</v>
      </c>
      <c r="C127" s="34">
        <f>SNGS!C118</f>
        <v>47.3</v>
      </c>
      <c r="D127" s="34">
        <f>'FXGD ETF'!C118</f>
        <v>649</v>
      </c>
      <c r="E127" s="34">
        <f t="shared" si="11"/>
        <v>1733467.1514993745</v>
      </c>
      <c r="F127" s="3">
        <f t="shared" si="12"/>
        <v>-0.91855073124855746</v>
      </c>
      <c r="G127" s="3">
        <f t="shared" si="13"/>
        <v>-0.9369673979152241</v>
      </c>
      <c r="H127" s="34">
        <v>2922.45</v>
      </c>
      <c r="I127" s="3">
        <f t="shared" si="14"/>
        <v>-0.38992600267904187</v>
      </c>
      <c r="J127" s="3">
        <f t="shared" si="15"/>
        <v>-0.40834266934570856</v>
      </c>
      <c r="K127" s="3">
        <f t="shared" si="21"/>
        <v>0.87790790475602587</v>
      </c>
      <c r="L127" s="3">
        <f t="shared" si="16"/>
        <v>0.16674373560837868</v>
      </c>
      <c r="M127" s="3">
        <f t="shared" si="17"/>
        <v>0.3826037683546053</v>
      </c>
      <c r="O127" s="8">
        <v>-0.12973656427675007</v>
      </c>
      <c r="P127" s="26">
        <f t="shared" si="18"/>
        <v>-1.2973656427675007E-3</v>
      </c>
      <c r="X127" s="7">
        <v>-1.2973656427675007E-3</v>
      </c>
      <c r="AF127" s="8">
        <v>-0.12973656427675007</v>
      </c>
      <c r="AG127" s="8">
        <f t="shared" si="19"/>
        <v>-0.12973656427675007</v>
      </c>
      <c r="AH127" s="8">
        <v>-1.163843775435458</v>
      </c>
      <c r="AI127" s="7">
        <f t="shared" si="20"/>
        <v>-1.163843775435458E-2</v>
      </c>
    </row>
    <row r="128" spans="1:35" x14ac:dyDescent="0.35">
      <c r="A128" s="9">
        <v>43784</v>
      </c>
      <c r="B128" s="10">
        <f>Расчеты!G132/360</f>
        <v>1.8416666666666668E-2</v>
      </c>
      <c r="C128" s="34">
        <f>SNGS!C119</f>
        <v>46.45</v>
      </c>
      <c r="D128" s="34">
        <f>'FXGD ETF'!C119</f>
        <v>646.79999999999995</v>
      </c>
      <c r="E128" s="34">
        <f t="shared" si="11"/>
        <v>1705140.4118420507</v>
      </c>
      <c r="F128" s="3">
        <f t="shared" si="12"/>
        <v>-1.6341088224730682</v>
      </c>
      <c r="G128" s="3">
        <f t="shared" si="13"/>
        <v>-1.652525489139735</v>
      </c>
      <c r="H128" s="34">
        <v>2934.82</v>
      </c>
      <c r="I128" s="3">
        <f t="shared" si="14"/>
        <v>0.42327499187326811</v>
      </c>
      <c r="J128" s="3">
        <f t="shared" si="15"/>
        <v>0.40485832520660142</v>
      </c>
      <c r="K128" s="3">
        <f t="shared" si="21"/>
        <v>2.7308404922565201</v>
      </c>
      <c r="L128" s="3">
        <f t="shared" si="16"/>
        <v>0.16391026348909424</v>
      </c>
      <c r="M128" s="3">
        <f t="shared" si="17"/>
        <v>-0.6690387018943329</v>
      </c>
      <c r="O128" s="8">
        <v>-0.12300993115552661</v>
      </c>
      <c r="P128" s="26">
        <f t="shared" si="18"/>
        <v>-1.2300993115552661E-3</v>
      </c>
      <c r="X128" s="7">
        <v>-1.2300993115552661E-3</v>
      </c>
      <c r="AF128" s="8">
        <v>-0.12300993115552661</v>
      </c>
      <c r="AG128" s="8">
        <f t="shared" si="19"/>
        <v>-0.12300993115552661</v>
      </c>
      <c r="AH128" s="8">
        <v>-1.1500188978502024</v>
      </c>
      <c r="AI128" s="7">
        <f t="shared" si="20"/>
        <v>-1.1500188978502024E-2</v>
      </c>
    </row>
    <row r="129" spans="1:35" x14ac:dyDescent="0.35">
      <c r="A129" s="9">
        <v>43787</v>
      </c>
      <c r="B129" s="10">
        <f>Расчеты!G133/360</f>
        <v>1.8416666666666668E-2</v>
      </c>
      <c r="C129" s="34">
        <f>SNGS!C120</f>
        <v>46.33</v>
      </c>
      <c r="D129" s="34">
        <f>'FXGD ETF'!C120</f>
        <v>647.79999999999995</v>
      </c>
      <c r="E129" s="34">
        <f t="shared" si="11"/>
        <v>1701532.5142939966</v>
      </c>
      <c r="F129" s="3">
        <f t="shared" si="12"/>
        <v>-0.21158946928930833</v>
      </c>
      <c r="G129" s="3">
        <f t="shared" si="13"/>
        <v>-0.23000613595597499</v>
      </c>
      <c r="H129" s="34">
        <v>2924.48</v>
      </c>
      <c r="I129" s="3">
        <f t="shared" si="14"/>
        <v>-0.35232143708984198</v>
      </c>
      <c r="J129" s="3">
        <f t="shared" si="15"/>
        <v>-0.37073810375650867</v>
      </c>
      <c r="K129" s="3">
        <f t="shared" si="21"/>
        <v>5.2902822577398451E-2</v>
      </c>
      <c r="L129" s="3">
        <f t="shared" si="16"/>
        <v>0.13744674157697179</v>
      </c>
      <c r="M129" s="3">
        <f t="shared" si="17"/>
        <v>8.5272038696679903E-2</v>
      </c>
      <c r="O129" s="8">
        <v>-9.0543394235498287E-2</v>
      </c>
      <c r="P129" s="26">
        <f t="shared" si="18"/>
        <v>-9.0543394235498287E-4</v>
      </c>
      <c r="X129" s="7">
        <v>-9.0543394235498287E-4</v>
      </c>
      <c r="AF129" s="8">
        <v>-9.0543394235498287E-2</v>
      </c>
      <c r="AG129" s="8">
        <f t="shared" si="19"/>
        <v>-9.0543394235498287E-2</v>
      </c>
      <c r="AH129" s="8">
        <v>-1.1462730601596416</v>
      </c>
      <c r="AI129" s="7">
        <f t="shared" si="20"/>
        <v>-1.1462730601596416E-2</v>
      </c>
    </row>
    <row r="130" spans="1:35" x14ac:dyDescent="0.35">
      <c r="A130" s="9">
        <v>43788</v>
      </c>
      <c r="B130" s="10">
        <f>Расчеты!G134/360</f>
        <v>1.8472222222222223E-2</v>
      </c>
      <c r="C130" s="34">
        <f>SNGS!C121</f>
        <v>46.8</v>
      </c>
      <c r="D130" s="34">
        <f>'FXGD ETF'!C121</f>
        <v>647.79999999999995</v>
      </c>
      <c r="E130" s="34">
        <f t="shared" si="11"/>
        <v>1716832.4547819949</v>
      </c>
      <c r="F130" s="3">
        <f t="shared" si="12"/>
        <v>0.89918590208937221</v>
      </c>
      <c r="G130" s="3">
        <f t="shared" si="13"/>
        <v>0.88071367986714999</v>
      </c>
      <c r="H130" s="34">
        <v>2941.69</v>
      </c>
      <c r="I130" s="3">
        <f t="shared" si="14"/>
        <v>0.58848068716490509</v>
      </c>
      <c r="J130" s="3">
        <f t="shared" si="15"/>
        <v>0.57000846494268287</v>
      </c>
      <c r="K130" s="3">
        <f t="shared" si="21"/>
        <v>0.77565658590513675</v>
      </c>
      <c r="L130" s="3">
        <f t="shared" si="16"/>
        <v>0.32490965010631373</v>
      </c>
      <c r="M130" s="3">
        <f t="shared" si="17"/>
        <v>0.50201425271509559</v>
      </c>
      <c r="O130" s="8">
        <v>-8.1874152383976107E-2</v>
      </c>
      <c r="P130" s="26">
        <f t="shared" si="18"/>
        <v>-8.1874152383976107E-4</v>
      </c>
      <c r="X130" s="7">
        <v>-8.1874152383976107E-4</v>
      </c>
      <c r="AF130" s="8">
        <v>-8.1874152383976107E-2</v>
      </c>
      <c r="AG130" s="8">
        <f t="shared" si="19"/>
        <v>-8.1874152383976107E-2</v>
      </c>
      <c r="AH130" s="8">
        <v>-1.1451662271554031</v>
      </c>
      <c r="AI130" s="7">
        <f t="shared" si="20"/>
        <v>-1.1451662271554031E-2</v>
      </c>
    </row>
    <row r="131" spans="1:35" x14ac:dyDescent="0.35">
      <c r="A131" s="9">
        <v>43789</v>
      </c>
      <c r="B131" s="10">
        <f>Расчеты!G135/360</f>
        <v>1.8472222222222223E-2</v>
      </c>
      <c r="C131" s="34">
        <f>SNGS!C122</f>
        <v>46.47</v>
      </c>
      <c r="D131" s="34">
        <f>'FXGD ETF'!C122</f>
        <v>648.20000000000005</v>
      </c>
      <c r="E131" s="34">
        <f t="shared" si="11"/>
        <v>1706209.3314699742</v>
      </c>
      <c r="F131" s="3">
        <f t="shared" si="12"/>
        <v>-0.61876295980026752</v>
      </c>
      <c r="G131" s="3">
        <f t="shared" si="13"/>
        <v>-0.63723518202248974</v>
      </c>
      <c r="H131" s="34">
        <v>2936.47</v>
      </c>
      <c r="I131" s="3">
        <f t="shared" si="14"/>
        <v>-0.17744901740156527</v>
      </c>
      <c r="J131" s="3">
        <f t="shared" si="15"/>
        <v>-0.19592123962378749</v>
      </c>
      <c r="K131" s="3">
        <f t="shared" si="21"/>
        <v>0.40606867720723566</v>
      </c>
      <c r="L131" s="3">
        <f t="shared" si="16"/>
        <v>3.8385132135721554E-2</v>
      </c>
      <c r="M131" s="3">
        <f t="shared" si="17"/>
        <v>0.12484790679373606</v>
      </c>
      <c r="O131" s="8">
        <v>-6.4846064875379028E-2</v>
      </c>
      <c r="P131" s="26">
        <f t="shared" si="18"/>
        <v>-6.4846064875379028E-4</v>
      </c>
      <c r="X131" s="7">
        <v>-6.4846064875379028E-4</v>
      </c>
      <c r="AF131" s="8">
        <v>-6.4846064875379028E-2</v>
      </c>
      <c r="AG131" s="8">
        <f t="shared" si="19"/>
        <v>-6.4846064875379028E-2</v>
      </c>
      <c r="AH131" s="8">
        <v>-1.134153895939205</v>
      </c>
      <c r="AI131" s="7">
        <f t="shared" si="20"/>
        <v>-1.134153895939205E-2</v>
      </c>
    </row>
    <row r="132" spans="1:35" x14ac:dyDescent="0.35">
      <c r="A132" s="9">
        <v>43790</v>
      </c>
      <c r="B132" s="10">
        <f>Расчеты!G136/360</f>
        <v>1.8444444444444444E-2</v>
      </c>
      <c r="C132" s="34">
        <f>SNGS!C123</f>
        <v>45.875</v>
      </c>
      <c r="D132" s="34">
        <f>'FXGD ETF'!C123</f>
        <v>646.20000000000005</v>
      </c>
      <c r="E132" s="34">
        <f t="shared" si="11"/>
        <v>1686243.3174012341</v>
      </c>
      <c r="F132" s="3">
        <f t="shared" si="12"/>
        <v>-1.1701972144026795</v>
      </c>
      <c r="G132" s="3">
        <f t="shared" si="13"/>
        <v>-1.188641658847124</v>
      </c>
      <c r="H132" s="34">
        <v>2942.6</v>
      </c>
      <c r="I132" s="3">
        <f t="shared" si="14"/>
        <v>0.20875404822797705</v>
      </c>
      <c r="J132" s="3">
        <f t="shared" si="15"/>
        <v>0.19030960378353262</v>
      </c>
      <c r="K132" s="3">
        <f t="shared" si="21"/>
        <v>1.4128689931468428</v>
      </c>
      <c r="L132" s="3">
        <f t="shared" si="16"/>
        <v>3.6217745292245175E-2</v>
      </c>
      <c r="M132" s="3">
        <f t="shared" si="17"/>
        <v>-0.22620992313579713</v>
      </c>
      <c r="O132" s="8">
        <v>-6.2788993356721612E-2</v>
      </c>
      <c r="P132" s="26">
        <f t="shared" si="18"/>
        <v>-6.2788993356721612E-4</v>
      </c>
      <c r="X132" s="7">
        <v>-6.2788993356721612E-4</v>
      </c>
      <c r="AF132" s="8">
        <v>-6.2788993356721612E-2</v>
      </c>
      <c r="AG132" s="8">
        <f t="shared" si="19"/>
        <v>-6.2788993356721612E-2</v>
      </c>
      <c r="AH132" s="8">
        <v>-1.1279155708153743</v>
      </c>
      <c r="AI132" s="7">
        <f t="shared" si="20"/>
        <v>-1.1279155708153743E-2</v>
      </c>
    </row>
    <row r="133" spans="1:35" x14ac:dyDescent="0.35">
      <c r="A133" s="9">
        <v>43791</v>
      </c>
      <c r="B133" s="10">
        <f>Расчеты!G137/360</f>
        <v>1.8388888888888889E-2</v>
      </c>
      <c r="C133" s="34">
        <f>SNGS!C124</f>
        <v>46.73</v>
      </c>
      <c r="D133" s="34">
        <f>'FXGD ETF'!C124</f>
        <v>644.4</v>
      </c>
      <c r="E133" s="34">
        <f t="shared" si="11"/>
        <v>1713538.9414384358</v>
      </c>
      <c r="F133" s="3">
        <f t="shared" si="12"/>
        <v>1.6187239264656483</v>
      </c>
      <c r="G133" s="3">
        <f t="shared" si="13"/>
        <v>1.6003350375767595</v>
      </c>
      <c r="H133" s="34">
        <v>2947.68</v>
      </c>
      <c r="I133" s="3">
        <f t="shared" si="14"/>
        <v>0.17263644396112721</v>
      </c>
      <c r="J133" s="3">
        <f t="shared" si="15"/>
        <v>0.15424755507223831</v>
      </c>
      <c r="K133" s="3">
        <f t="shared" si="21"/>
        <v>2.5610722324958082</v>
      </c>
      <c r="L133" s="3">
        <f t="shared" si="16"/>
        <v>2.3792308245763189E-2</v>
      </c>
      <c r="M133" s="3">
        <f t="shared" si="17"/>
        <v>0.24684776684265378</v>
      </c>
      <c r="O133" s="8">
        <v>-5.8765927898196679E-2</v>
      </c>
      <c r="P133" s="26">
        <f t="shared" si="18"/>
        <v>-5.8765927898196679E-4</v>
      </c>
      <c r="X133" s="7">
        <v>-5.8765927898196679E-4</v>
      </c>
      <c r="AF133" s="8">
        <v>-5.8765927898196679E-2</v>
      </c>
      <c r="AG133" s="8">
        <f t="shared" si="19"/>
        <v>-5.8765927898196679E-2</v>
      </c>
      <c r="AH133" s="8">
        <v>-1.1196257382642516</v>
      </c>
      <c r="AI133" s="7">
        <f t="shared" si="20"/>
        <v>-1.1196257382642516E-2</v>
      </c>
    </row>
    <row r="134" spans="1:35" x14ac:dyDescent="0.35">
      <c r="A134" s="9">
        <v>43794</v>
      </c>
      <c r="B134" s="10">
        <f>Расчеты!G138/360</f>
        <v>1.8388888888888889E-2</v>
      </c>
      <c r="C134" s="34">
        <f>SNGS!C125</f>
        <v>46.185000000000002</v>
      </c>
      <c r="D134" s="34">
        <f>'FXGD ETF'!C125</f>
        <v>644.4</v>
      </c>
      <c r="E134" s="34">
        <f t="shared" si="11"/>
        <v>1695797.5210853312</v>
      </c>
      <c r="F134" s="3">
        <f t="shared" si="12"/>
        <v>-1.035367211334659</v>
      </c>
      <c r="G134" s="3">
        <f t="shared" si="13"/>
        <v>-1.0537561002235478</v>
      </c>
      <c r="H134" s="34">
        <v>2955.32</v>
      </c>
      <c r="I134" s="3">
        <f t="shared" si="14"/>
        <v>0.25918688595778505</v>
      </c>
      <c r="J134" s="3">
        <f t="shared" si="15"/>
        <v>0.24079799706889615</v>
      </c>
      <c r="K134" s="3">
        <f t="shared" si="21"/>
        <v>1.1104019187583398</v>
      </c>
      <c r="L134" s="3">
        <f t="shared" si="16"/>
        <v>5.7983675392392117E-2</v>
      </c>
      <c r="M134" s="3">
        <f t="shared" si="17"/>
        <v>-0.25374235833296133</v>
      </c>
      <c r="O134" s="8">
        <v>-3.4022888416262997E-2</v>
      </c>
      <c r="P134" s="26">
        <f t="shared" si="18"/>
        <v>-3.4022888416262997E-4</v>
      </c>
      <c r="X134" s="7">
        <v>-3.4022888416262997E-4</v>
      </c>
      <c r="AF134" s="8">
        <v>-3.4022888416262997E-2</v>
      </c>
      <c r="AG134" s="8">
        <f t="shared" si="19"/>
        <v>-3.4022888416262997E-2</v>
      </c>
      <c r="AH134" s="8">
        <v>-1.0875829723870356</v>
      </c>
      <c r="AI134" s="7">
        <f t="shared" si="20"/>
        <v>-1.0875829723870356E-2</v>
      </c>
    </row>
    <row r="135" spans="1:35" x14ac:dyDescent="0.35">
      <c r="A135" s="9">
        <v>43795</v>
      </c>
      <c r="B135" s="10">
        <f>Расчеты!G139/360</f>
        <v>1.8416666666666668E-2</v>
      </c>
      <c r="C135" s="34">
        <f>SNGS!C126</f>
        <v>45</v>
      </c>
      <c r="D135" s="34">
        <f>'FXGD ETF'!C126</f>
        <v>645</v>
      </c>
      <c r="E135" s="34">
        <f t="shared" si="11"/>
        <v>1657401.2213583239</v>
      </c>
      <c r="F135" s="3">
        <f t="shared" si="12"/>
        <v>-2.2642030814170044</v>
      </c>
      <c r="G135" s="3">
        <f t="shared" si="13"/>
        <v>-2.282619748083671</v>
      </c>
      <c r="H135" s="34">
        <v>2930.62</v>
      </c>
      <c r="I135" s="3">
        <f t="shared" si="14"/>
        <v>-0.8357808968233682</v>
      </c>
      <c r="J135" s="3">
        <f t="shared" si="15"/>
        <v>-0.85419756349003484</v>
      </c>
      <c r="K135" s="3">
        <f t="shared" si="21"/>
        <v>5.2103529143415619</v>
      </c>
      <c r="L135" s="3">
        <f t="shared" si="16"/>
        <v>0.72965347747231213</v>
      </c>
      <c r="M135" s="3">
        <f t="shared" si="17"/>
        <v>1.949808227187309</v>
      </c>
      <c r="O135" s="8">
        <v>-2.2788696572229039E-2</v>
      </c>
      <c r="P135" s="26">
        <f t="shared" si="18"/>
        <v>-2.2788696572229039E-4</v>
      </c>
      <c r="X135" s="7">
        <v>-2.2788696572229039E-4</v>
      </c>
      <c r="AF135" s="8">
        <v>-2.2788696572229039E-2</v>
      </c>
      <c r="AG135" s="8">
        <f t="shared" si="19"/>
        <v>-2.2788696572229039E-2</v>
      </c>
      <c r="AH135" s="8">
        <v>-1.0525193983666692</v>
      </c>
      <c r="AI135" s="7">
        <f t="shared" si="20"/>
        <v>-1.0525193983666692E-2</v>
      </c>
    </row>
    <row r="136" spans="1:35" x14ac:dyDescent="0.35">
      <c r="A136" s="9">
        <v>43796</v>
      </c>
      <c r="B136" s="10">
        <f>Расчеты!G140/360</f>
        <v>1.8416666666666668E-2</v>
      </c>
      <c r="C136" s="34">
        <f>SNGS!C127</f>
        <v>44.51</v>
      </c>
      <c r="D136" s="34">
        <f>'FXGD ETF'!C127</f>
        <v>644</v>
      </c>
      <c r="E136" s="34">
        <f t="shared" si="11"/>
        <v>1641151.7493368478</v>
      </c>
      <c r="F136" s="3">
        <f t="shared" si="12"/>
        <v>-0.980418730967203</v>
      </c>
      <c r="G136" s="3">
        <f t="shared" si="13"/>
        <v>-0.99883539763386964</v>
      </c>
      <c r="H136" s="34">
        <v>2929.05</v>
      </c>
      <c r="I136" s="3">
        <f t="shared" si="14"/>
        <v>-5.3572281633229579E-2</v>
      </c>
      <c r="J136" s="3">
        <f t="shared" si="15"/>
        <v>-7.1988948299896244E-2</v>
      </c>
      <c r="K136" s="3">
        <f t="shared" si="21"/>
        <v>0.99767215156641043</v>
      </c>
      <c r="L136" s="3">
        <f t="shared" si="16"/>
        <v>5.1824086773251347E-3</v>
      </c>
      <c r="M136" s="3">
        <f t="shared" si="17"/>
        <v>7.1905109800370945E-2</v>
      </c>
      <c r="O136" s="8">
        <v>-5.2156183341089957E-4</v>
      </c>
      <c r="P136" s="26">
        <f t="shared" si="18"/>
        <v>-5.2156183341089957E-6</v>
      </c>
      <c r="AF136" s="8">
        <v>-5.2156183341089957E-4</v>
      </c>
      <c r="AG136" s="8">
        <f t="shared" si="19"/>
        <v>-5.2156183341089957E-4</v>
      </c>
      <c r="AH136" s="8">
        <v>-1.0505797314722121</v>
      </c>
      <c r="AI136" s="7">
        <f t="shared" si="20"/>
        <v>-1.0505797314722121E-2</v>
      </c>
    </row>
    <row r="137" spans="1:35" x14ac:dyDescent="0.35">
      <c r="A137" s="9">
        <v>43797</v>
      </c>
      <c r="B137" s="10">
        <f>Расчеты!G141/360</f>
        <v>1.8416666666666668E-2</v>
      </c>
      <c r="C137" s="34">
        <f>SNGS!C128</f>
        <v>43.645000000000003</v>
      </c>
      <c r="D137" s="34">
        <f>'FXGD ETF'!C128</f>
        <v>644</v>
      </c>
      <c r="E137" s="34">
        <f t="shared" si="11"/>
        <v>1612993.3482259575</v>
      </c>
      <c r="F137" s="3">
        <f t="shared" si="12"/>
        <v>-1.7157707154300983</v>
      </c>
      <c r="G137" s="3">
        <f t="shared" si="13"/>
        <v>-1.734187382096765</v>
      </c>
      <c r="H137" s="34">
        <v>2927.57</v>
      </c>
      <c r="I137" s="3">
        <f t="shared" si="14"/>
        <v>-5.0528328297572145E-2</v>
      </c>
      <c r="J137" s="3">
        <f t="shared" si="15"/>
        <v>-6.8944994964238809E-2</v>
      </c>
      <c r="K137" s="3">
        <f t="shared" si="21"/>
        <v>3.0074058762236313</v>
      </c>
      <c r="L137" s="3">
        <f t="shared" si="16"/>
        <v>4.7534123306189145E-3</v>
      </c>
      <c r="M137" s="3">
        <f t="shared" si="17"/>
        <v>0.11956354032570796</v>
      </c>
      <c r="O137" s="8">
        <v>3.3920962618116945E-3</v>
      </c>
      <c r="P137" s="26">
        <f t="shared" si="18"/>
        <v>3.3920962618116945E-5</v>
      </c>
      <c r="AF137" s="8">
        <v>3.3920962618116945E-3</v>
      </c>
      <c r="AG137" s="8">
        <f t="shared" si="19"/>
        <v>-3.3920962618116945E-3</v>
      </c>
      <c r="AH137" s="8">
        <v>-1.035367211334659</v>
      </c>
      <c r="AI137" s="7">
        <f t="shared" si="20"/>
        <v>-1.035367211334659E-2</v>
      </c>
    </row>
    <row r="138" spans="1:35" x14ac:dyDescent="0.35">
      <c r="A138" s="9">
        <v>43798</v>
      </c>
      <c r="B138" s="10">
        <f>Расчеты!G142/360</f>
        <v>1.8444444444444444E-2</v>
      </c>
      <c r="C138" s="34">
        <f>SNGS!C129</f>
        <v>44.1</v>
      </c>
      <c r="D138" s="34">
        <f>'FXGD ETF'!C129</f>
        <v>649</v>
      </c>
      <c r="E138" s="34">
        <f t="shared" si="11"/>
        <v>1629297.3439215131</v>
      </c>
      <c r="F138" s="3">
        <f t="shared" si="12"/>
        <v>1.0107912542533182</v>
      </c>
      <c r="G138" s="3">
        <f t="shared" si="13"/>
        <v>0.99234680980887369</v>
      </c>
      <c r="H138" s="34">
        <v>2935.37</v>
      </c>
      <c r="I138" s="3">
        <f t="shared" si="14"/>
        <v>0.26643257035696699</v>
      </c>
      <c r="J138" s="3">
        <f t="shared" si="15"/>
        <v>0.24798812591252256</v>
      </c>
      <c r="K138" s="3">
        <f t="shared" si="21"/>
        <v>0.98475219093784894</v>
      </c>
      <c r="L138" s="3">
        <f t="shared" si="16"/>
        <v>6.1498110593605146E-2</v>
      </c>
      <c r="M138" s="3">
        <f t="shared" si="17"/>
        <v>0.24609022561977303</v>
      </c>
      <c r="O138" s="8">
        <v>2.6922708835463993E-2</v>
      </c>
      <c r="P138" s="26">
        <f t="shared" si="18"/>
        <v>2.6922708835463993E-4</v>
      </c>
      <c r="AF138" s="8">
        <v>2.6922708835463993E-2</v>
      </c>
      <c r="AG138" s="8">
        <f t="shared" si="19"/>
        <v>-2.6922708835463993E-2</v>
      </c>
      <c r="AH138" s="8">
        <v>-1.0247239593922375</v>
      </c>
      <c r="AI138" s="7">
        <f t="shared" si="20"/>
        <v>-1.0247239593922375E-2</v>
      </c>
    </row>
    <row r="139" spans="1:35" x14ac:dyDescent="0.35">
      <c r="A139" s="9">
        <v>43801</v>
      </c>
      <c r="B139" s="10">
        <f>Расчеты!G143/360</f>
        <v>1.8444444444444444E-2</v>
      </c>
      <c r="C139" s="34">
        <f>SNGS!C130</f>
        <v>43.27</v>
      </c>
      <c r="D139" s="34">
        <f>'FXGD ETF'!C130</f>
        <v>648</v>
      </c>
      <c r="E139" s="34">
        <f t="shared" si="11"/>
        <v>1601979.8298448897</v>
      </c>
      <c r="F139" s="3">
        <f t="shared" si="12"/>
        <v>-1.6766438721905419</v>
      </c>
      <c r="G139" s="3">
        <f t="shared" si="13"/>
        <v>-1.6950883166349864</v>
      </c>
      <c r="H139" s="34">
        <v>2921.18</v>
      </c>
      <c r="I139" s="3">
        <f t="shared" si="14"/>
        <v>-0.4834143566228466</v>
      </c>
      <c r="J139" s="3">
        <f t="shared" si="15"/>
        <v>-0.50185880106729108</v>
      </c>
      <c r="K139" s="3">
        <f t="shared" si="21"/>
        <v>2.8733244011924319</v>
      </c>
      <c r="L139" s="3">
        <f t="shared" si="16"/>
        <v>0.25186225620869884</v>
      </c>
      <c r="M139" s="3">
        <f t="shared" si="17"/>
        <v>0.85069499028960693</v>
      </c>
      <c r="O139" s="8">
        <v>2.9209835010934881E-2</v>
      </c>
      <c r="P139" s="26">
        <f t="shared" si="18"/>
        <v>2.9209835010934881E-4</v>
      </c>
      <c r="AF139" s="8">
        <v>2.9209835010934881E-2</v>
      </c>
      <c r="AG139" s="8">
        <f t="shared" si="19"/>
        <v>-2.9209835010934881E-2</v>
      </c>
      <c r="AH139" s="8">
        <v>-1.0107912542533182</v>
      </c>
      <c r="AI139" s="7">
        <f t="shared" si="20"/>
        <v>-1.0107912542533182E-2</v>
      </c>
    </row>
    <row r="140" spans="1:35" x14ac:dyDescent="0.35">
      <c r="A140" s="9">
        <v>43802</v>
      </c>
      <c r="B140" s="10">
        <f>Расчеты!G144/360</f>
        <v>1.8499999999999999E-2</v>
      </c>
      <c r="C140" s="34">
        <f>SNGS!C131</f>
        <v>42.54</v>
      </c>
      <c r="D140" s="34">
        <f>'FXGD ETF'!C131</f>
        <v>655.20000000000005</v>
      </c>
      <c r="E140" s="34">
        <f t="shared" si="11"/>
        <v>1580365.0781912231</v>
      </c>
      <c r="F140" s="3">
        <f t="shared" si="12"/>
        <v>-1.3492524219708479</v>
      </c>
      <c r="G140" s="3">
        <f t="shared" si="13"/>
        <v>-1.3677524219708479</v>
      </c>
      <c r="H140" s="34">
        <v>2883.48</v>
      </c>
      <c r="I140" s="3">
        <f t="shared" si="14"/>
        <v>-1.2905743569379458</v>
      </c>
      <c r="J140" s="3">
        <f t="shared" si="15"/>
        <v>-1.3090743569379457</v>
      </c>
      <c r="K140" s="3">
        <f t="shared" si="21"/>
        <v>1.8707466878071204</v>
      </c>
      <c r="L140" s="3">
        <f t="shared" si="16"/>
        <v>1.7136756719924962</v>
      </c>
      <c r="M140" s="3">
        <f t="shared" si="17"/>
        <v>1.7904896222418054</v>
      </c>
      <c r="O140" s="8">
        <v>4.1791815683156486E-2</v>
      </c>
      <c r="P140" s="26">
        <f t="shared" si="18"/>
        <v>4.1791815683156486E-4</v>
      </c>
      <c r="AF140" s="8">
        <v>4.1791815683156486E-2</v>
      </c>
      <c r="AG140" s="8">
        <f t="shared" si="19"/>
        <v>-4.1791815683156486E-2</v>
      </c>
      <c r="AH140" s="8">
        <v>-1.0096002578035446</v>
      </c>
      <c r="AI140" s="7">
        <f t="shared" si="20"/>
        <v>-1.0096002578035446E-2</v>
      </c>
    </row>
    <row r="141" spans="1:35" x14ac:dyDescent="0.35">
      <c r="A141" s="9">
        <v>43803</v>
      </c>
      <c r="B141" s="10">
        <f>Расчеты!G145/360</f>
        <v>1.8416666666666668E-2</v>
      </c>
      <c r="C141" s="34">
        <f>SNGS!C132</f>
        <v>43.7</v>
      </c>
      <c r="D141" s="34">
        <f>'FXGD ETF'!C132</f>
        <v>649.6</v>
      </c>
      <c r="E141" s="34">
        <f t="shared" si="11"/>
        <v>1616455.2001159498</v>
      </c>
      <c r="F141" s="3">
        <f t="shared" si="12"/>
        <v>2.2836572651955267</v>
      </c>
      <c r="G141" s="3">
        <f t="shared" si="13"/>
        <v>2.2652405985288602</v>
      </c>
      <c r="H141" s="34">
        <v>2900.66</v>
      </c>
      <c r="I141" s="3">
        <f t="shared" si="14"/>
        <v>0.59580784330044434</v>
      </c>
      <c r="J141" s="3">
        <f t="shared" si="15"/>
        <v>0.5773911766337777</v>
      </c>
      <c r="K141" s="3">
        <f t="shared" si="21"/>
        <v>5.1313149692233884</v>
      </c>
      <c r="L141" s="3">
        <f t="shared" si="16"/>
        <v>0.33338057085453826</v>
      </c>
      <c r="M141" s="3">
        <f t="shared" si="17"/>
        <v>1.3079299345431814</v>
      </c>
      <c r="O141" s="8">
        <v>5.1879437650637072E-2</v>
      </c>
      <c r="P141" s="26">
        <f t="shared" si="18"/>
        <v>5.1879437650637072E-4</v>
      </c>
      <c r="AF141" s="8">
        <v>5.1879437650637072E-2</v>
      </c>
      <c r="AG141" s="8">
        <f t="shared" si="19"/>
        <v>-5.1879437650637072E-2</v>
      </c>
      <c r="AH141" s="8">
        <v>-1.0011098838940358</v>
      </c>
      <c r="AI141" s="7">
        <f t="shared" si="20"/>
        <v>-1.0011098838940358E-2</v>
      </c>
    </row>
    <row r="142" spans="1:35" x14ac:dyDescent="0.35">
      <c r="A142" s="9">
        <v>43804</v>
      </c>
      <c r="B142" s="10">
        <f>Расчеты!G146/360</f>
        <v>1.8416666666666668E-2</v>
      </c>
      <c r="C142" s="34">
        <f>SNGS!C133</f>
        <v>43.2</v>
      </c>
      <c r="D142" s="34">
        <f>'FXGD ETF'!C133</f>
        <v>651.6</v>
      </c>
      <c r="E142" s="34">
        <f t="shared" si="11"/>
        <v>1600775.6081541404</v>
      </c>
      <c r="F142" s="3">
        <f t="shared" si="12"/>
        <v>-0.96999854748122116</v>
      </c>
      <c r="G142" s="3">
        <f t="shared" si="13"/>
        <v>-0.9884152141478878</v>
      </c>
      <c r="H142" s="34">
        <v>2899.29</v>
      </c>
      <c r="I142" s="3">
        <f t="shared" si="14"/>
        <v>-4.7230630270345131E-2</v>
      </c>
      <c r="J142" s="3">
        <f t="shared" si="15"/>
        <v>-6.5647296937011795E-2</v>
      </c>
      <c r="K142" s="3">
        <f t="shared" si="21"/>
        <v>0.97696463555901492</v>
      </c>
      <c r="L142" s="3">
        <f t="shared" si="16"/>
        <v>4.3095675951361984E-3</v>
      </c>
      <c r="M142" s="3">
        <f t="shared" si="17"/>
        <v>6.4886787060226492E-2</v>
      </c>
      <c r="O142" s="8">
        <v>5.3840887810974181E-2</v>
      </c>
      <c r="P142" s="26">
        <f t="shared" si="18"/>
        <v>5.3840887810974181E-4</v>
      </c>
      <c r="AF142" s="8">
        <v>5.3840887810974181E-2</v>
      </c>
      <c r="AG142" s="8">
        <f t="shared" si="19"/>
        <v>-5.3840887810974181E-2</v>
      </c>
      <c r="AH142" s="8">
        <v>-0.99197418803880222</v>
      </c>
      <c r="AI142" s="7">
        <f t="shared" si="20"/>
        <v>-9.9197418803880222E-3</v>
      </c>
    </row>
    <row r="143" spans="1:35" x14ac:dyDescent="0.35">
      <c r="A143" s="9">
        <v>43805</v>
      </c>
      <c r="B143" s="10">
        <f>Расчеты!G147/360</f>
        <v>1.8277777777777778E-2</v>
      </c>
      <c r="C143" s="34">
        <f>SNGS!C134</f>
        <v>43.344999999999999</v>
      </c>
      <c r="D143" s="34">
        <f>'FXGD ETF'!C134</f>
        <v>645.6</v>
      </c>
      <c r="E143" s="34">
        <f t="shared" ref="E143:E206" si="22">$B$8*C143+$C$8*D143</f>
        <v>1603704.9811433181</v>
      </c>
      <c r="F143" s="3">
        <f t="shared" ref="F143:F206" si="23">(E143/E142-1)*100</f>
        <v>0.18299710304527927</v>
      </c>
      <c r="G143" s="3">
        <f t="shared" ref="G143:G206" si="24">F143-B143</f>
        <v>0.16471932526750149</v>
      </c>
      <c r="H143" s="34">
        <v>2928.76</v>
      </c>
      <c r="I143" s="3">
        <f t="shared" ref="I143:I206" si="25">(H143/H142-1)*100</f>
        <v>1.0164557529602103</v>
      </c>
      <c r="J143" s="3">
        <f t="shared" ref="J143:J206" si="26">I143-B143</f>
        <v>0.99817797518243256</v>
      </c>
      <c r="K143" s="3">
        <f t="shared" si="21"/>
        <v>2.7132456116580956E-2</v>
      </c>
      <c r="L143" s="3">
        <f t="shared" ref="L143:L206" si="27">J143^2</f>
        <v>0.99635927013930092</v>
      </c>
      <c r="M143" s="3">
        <f t="shared" ref="M143:M206" si="28">G143*J143</f>
        <v>0.16441920256893114</v>
      </c>
      <c r="O143" s="8">
        <v>0.10806930104749757</v>
      </c>
      <c r="P143" s="26">
        <f t="shared" ref="P143:P206" si="29">O143*$P$13</f>
        <v>1.0806930104749757E-3</v>
      </c>
      <c r="AF143" s="8">
        <v>0.10806930104749757</v>
      </c>
      <c r="AG143" s="8">
        <f t="shared" ref="AG143:AG206" si="30">IF(AF143&lt;0,AF143,AF143*(-1))</f>
        <v>-0.10806930104749757</v>
      </c>
      <c r="AH143" s="8">
        <v>-0.98933089903441296</v>
      </c>
      <c r="AI143" s="7">
        <f t="shared" ref="AI143:AI206" si="31">AH143*$AI$13</f>
        <v>-9.8933089903441296E-3</v>
      </c>
    </row>
    <row r="144" spans="1:35" x14ac:dyDescent="0.35">
      <c r="A144" s="9">
        <v>43808</v>
      </c>
      <c r="B144" s="10">
        <f>Расчеты!G148/360</f>
        <v>1.822222222222222E-2</v>
      </c>
      <c r="C144" s="34">
        <f>SNGS!C135</f>
        <v>43.93</v>
      </c>
      <c r="D144" s="34">
        <f>'FXGD ETF'!C135</f>
        <v>642.4</v>
      </c>
      <c r="E144" s="34">
        <f t="shared" si="22"/>
        <v>1621793.4193355755</v>
      </c>
      <c r="F144" s="3">
        <f t="shared" si="23"/>
        <v>1.1279155708153743</v>
      </c>
      <c r="G144" s="3">
        <f t="shared" si="24"/>
        <v>1.1096933485931522</v>
      </c>
      <c r="H144" s="34">
        <v>2945.03</v>
      </c>
      <c r="I144" s="3">
        <f t="shared" si="25"/>
        <v>0.55552520520629756</v>
      </c>
      <c r="J144" s="3">
        <f t="shared" si="26"/>
        <v>0.53730298298407531</v>
      </c>
      <c r="K144" s="3">
        <f t="shared" ref="K144:K207" si="32">G144^2</f>
        <v>1.231419327911883</v>
      </c>
      <c r="L144" s="3">
        <f t="shared" si="27"/>
        <v>0.2886944955235855</v>
      </c>
      <c r="M144" s="3">
        <f t="shared" si="28"/>
        <v>0.59624154639668803</v>
      </c>
      <c r="O144" s="8">
        <v>0.11896696815021368</v>
      </c>
      <c r="P144" s="26">
        <f t="shared" si="29"/>
        <v>1.1896696815021368E-3</v>
      </c>
      <c r="AF144" s="8">
        <v>0.11896696815021368</v>
      </c>
      <c r="AG144" s="8">
        <f t="shared" si="30"/>
        <v>-0.11896696815021368</v>
      </c>
      <c r="AH144" s="8">
        <v>-0.980418730967203</v>
      </c>
      <c r="AI144" s="7">
        <f t="shared" si="31"/>
        <v>-9.80418730967203E-3</v>
      </c>
    </row>
    <row r="145" spans="1:35" x14ac:dyDescent="0.35">
      <c r="A145" s="9">
        <v>43809</v>
      </c>
      <c r="B145" s="10">
        <f>Расчеты!G149/360</f>
        <v>1.822222222222222E-2</v>
      </c>
      <c r="C145" s="34">
        <f>SNGS!C136</f>
        <v>43.39</v>
      </c>
      <c r="D145" s="34">
        <f>'FXGD ETF'!C136</f>
        <v>642.20000000000005</v>
      </c>
      <c r="E145" s="34">
        <f t="shared" si="22"/>
        <v>1604155.0702595883</v>
      </c>
      <c r="F145" s="3">
        <f t="shared" si="23"/>
        <v>-1.0875829723870356</v>
      </c>
      <c r="G145" s="3">
        <f t="shared" si="24"/>
        <v>-1.1058051946092577</v>
      </c>
      <c r="H145" s="34">
        <v>2932.4</v>
      </c>
      <c r="I145" s="3">
        <f t="shared" si="25"/>
        <v>-0.42885811010414665</v>
      </c>
      <c r="J145" s="3">
        <f t="shared" si="26"/>
        <v>-0.44708033232636885</v>
      </c>
      <c r="K145" s="3">
        <f t="shared" si="32"/>
        <v>1.2228051284248185</v>
      </c>
      <c r="L145" s="3">
        <f t="shared" si="27"/>
        <v>0.19988082355305642</v>
      </c>
      <c r="M145" s="3">
        <f t="shared" si="28"/>
        <v>0.49438375389413192</v>
      </c>
      <c r="O145" s="8">
        <v>0.15478600239584583</v>
      </c>
      <c r="P145" s="26">
        <f t="shared" si="29"/>
        <v>1.5478600239584583E-3</v>
      </c>
      <c r="AF145" s="8">
        <v>0.15478600239584583</v>
      </c>
      <c r="AG145" s="8">
        <f t="shared" si="30"/>
        <v>-0.15478600239584583</v>
      </c>
      <c r="AH145" s="8">
        <v>-0.97616402454034912</v>
      </c>
      <c r="AI145" s="7">
        <f t="shared" si="31"/>
        <v>-9.7616402454034912E-3</v>
      </c>
    </row>
    <row r="146" spans="1:35" x14ac:dyDescent="0.35">
      <c r="A146" s="9">
        <v>43810</v>
      </c>
      <c r="B146" s="10">
        <f>Расчеты!G150/360</f>
        <v>1.8111111111111109E-2</v>
      </c>
      <c r="C146" s="34">
        <f>SNGS!C137</f>
        <v>45.034999999999997</v>
      </c>
      <c r="D146" s="34">
        <f>'FXGD ETF'!C137</f>
        <v>645.6</v>
      </c>
      <c r="E146" s="34">
        <f t="shared" si="22"/>
        <v>1658719.6607703757</v>
      </c>
      <c r="F146" s="3">
        <f t="shared" si="23"/>
        <v>3.4014536077212165</v>
      </c>
      <c r="G146" s="3">
        <f t="shared" si="24"/>
        <v>3.3833424966101053</v>
      </c>
      <c r="H146" s="34">
        <v>2954.4</v>
      </c>
      <c r="I146" s="3">
        <f t="shared" si="25"/>
        <v>0.75023871231756356</v>
      </c>
      <c r="J146" s="3">
        <f t="shared" si="26"/>
        <v>0.73212760120645248</v>
      </c>
      <c r="K146" s="3">
        <f t="shared" si="32"/>
        <v>11.447006449367901</v>
      </c>
      <c r="L146" s="3">
        <f t="shared" si="27"/>
        <v>0.53601082444831427</v>
      </c>
      <c r="M146" s="3">
        <f t="shared" si="28"/>
        <v>2.4770384261030065</v>
      </c>
      <c r="O146" s="8">
        <v>0.17608217162143891</v>
      </c>
      <c r="P146" s="26">
        <f t="shared" si="29"/>
        <v>1.7608217162143891E-3</v>
      </c>
      <c r="AF146" s="8">
        <v>0.17608217162143891</v>
      </c>
      <c r="AG146" s="8">
        <f t="shared" si="30"/>
        <v>-0.17608217162143891</v>
      </c>
      <c r="AH146" s="8">
        <v>-0.96999854748122116</v>
      </c>
      <c r="AI146" s="7">
        <f t="shared" si="31"/>
        <v>-9.6999854748122116E-3</v>
      </c>
    </row>
    <row r="147" spans="1:35" x14ac:dyDescent="0.35">
      <c r="A147" s="9">
        <v>43811</v>
      </c>
      <c r="B147" s="10">
        <f>Расчеты!G151/360</f>
        <v>1.7916666666666668E-2</v>
      </c>
      <c r="C147" s="34">
        <f>SNGS!C138</f>
        <v>48.2</v>
      </c>
      <c r="D147" s="34">
        <f>'FXGD ETF'!C138</f>
        <v>636</v>
      </c>
      <c r="E147" s="34">
        <f t="shared" si="22"/>
        <v>1758884.7968111439</v>
      </c>
      <c r="F147" s="3">
        <f t="shared" si="23"/>
        <v>6.0387019223156368</v>
      </c>
      <c r="G147" s="3">
        <f t="shared" si="24"/>
        <v>6.0207852556489705</v>
      </c>
      <c r="H147" s="34">
        <v>2982.86</v>
      </c>
      <c r="I147" s="3">
        <f t="shared" si="25"/>
        <v>0.96330896290279799</v>
      </c>
      <c r="J147" s="3">
        <f t="shared" si="26"/>
        <v>0.9453922962361313</v>
      </c>
      <c r="K147" s="3">
        <f t="shared" si="32"/>
        <v>36.24985509464004</v>
      </c>
      <c r="L147" s="3">
        <f t="shared" si="27"/>
        <v>0.89376659378262502</v>
      </c>
      <c r="M147" s="3">
        <f t="shared" si="28"/>
        <v>5.6920039979826234</v>
      </c>
      <c r="O147" s="8">
        <v>0.18299710304527927</v>
      </c>
      <c r="P147" s="26">
        <f t="shared" si="29"/>
        <v>1.8299710304527927E-3</v>
      </c>
      <c r="AF147" s="8">
        <v>0.18299710304527927</v>
      </c>
      <c r="AG147" s="8">
        <f t="shared" si="30"/>
        <v>-0.18299710304527927</v>
      </c>
      <c r="AH147" s="8">
        <v>-0.96546084599099524</v>
      </c>
      <c r="AI147" s="7">
        <f t="shared" si="31"/>
        <v>-9.6546084599099524E-3</v>
      </c>
    </row>
    <row r="148" spans="1:35" x14ac:dyDescent="0.35">
      <c r="A148" s="9">
        <v>43812</v>
      </c>
      <c r="B148" s="10">
        <f>Расчеты!G152/360</f>
        <v>1.7611111111111112E-2</v>
      </c>
      <c r="C148" s="34">
        <f>SNGS!C139</f>
        <v>47.505000000000003</v>
      </c>
      <c r="D148" s="34">
        <f>'FXGD ETF'!C139</f>
        <v>638.20000000000005</v>
      </c>
      <c r="E148" s="34">
        <f t="shared" si="22"/>
        <v>1736917.0512472817</v>
      </c>
      <c r="F148" s="3">
        <f t="shared" si="23"/>
        <v>-1.2489587495263854</v>
      </c>
      <c r="G148" s="3">
        <f t="shared" si="24"/>
        <v>-1.2665698606374964</v>
      </c>
      <c r="H148" s="34">
        <v>2996.63</v>
      </c>
      <c r="I148" s="3">
        <f t="shared" si="25"/>
        <v>0.46163748885297284</v>
      </c>
      <c r="J148" s="3">
        <f t="shared" si="26"/>
        <v>0.44402637774186171</v>
      </c>
      <c r="K148" s="3">
        <f t="shared" si="32"/>
        <v>1.6041992118752872</v>
      </c>
      <c r="L148" s="3">
        <f t="shared" si="27"/>
        <v>0.19715942413055845</v>
      </c>
      <c r="M148" s="3">
        <f t="shared" si="28"/>
        <v>-0.56239042737588218</v>
      </c>
      <c r="O148" s="8">
        <v>0.18317005096191163</v>
      </c>
      <c r="P148" s="26">
        <f t="shared" si="29"/>
        <v>1.8317005096191163E-3</v>
      </c>
      <c r="AF148" s="8">
        <v>0.18317005096191163</v>
      </c>
      <c r="AG148" s="8">
        <f t="shared" si="30"/>
        <v>-0.18317005096191163</v>
      </c>
      <c r="AH148" s="8">
        <v>-0.95978739638494792</v>
      </c>
      <c r="AI148" s="7">
        <f t="shared" si="31"/>
        <v>-9.5978739638494792E-3</v>
      </c>
    </row>
    <row r="149" spans="1:35" x14ac:dyDescent="0.35">
      <c r="A149" s="9">
        <v>43815</v>
      </c>
      <c r="B149" s="10">
        <f>Расчеты!G153/360</f>
        <v>1.7250000000000001E-2</v>
      </c>
      <c r="C149" s="34">
        <f>SNGS!C140</f>
        <v>48.024999999999999</v>
      </c>
      <c r="D149" s="34">
        <f>'FXGD ETF'!C140</f>
        <v>636.20000000000005</v>
      </c>
      <c r="E149" s="34">
        <f t="shared" si="22"/>
        <v>1753247.7045064527</v>
      </c>
      <c r="F149" s="3">
        <f t="shared" si="23"/>
        <v>0.94020916240322716</v>
      </c>
      <c r="G149" s="3">
        <f t="shared" si="24"/>
        <v>0.92295916240322717</v>
      </c>
      <c r="H149" s="34">
        <v>3006.16</v>
      </c>
      <c r="I149" s="3">
        <f t="shared" si="25"/>
        <v>0.31802391352953041</v>
      </c>
      <c r="J149" s="3">
        <f t="shared" si="26"/>
        <v>0.30077391352953042</v>
      </c>
      <c r="K149" s="3">
        <f t="shared" si="32"/>
        <v>0.85185361546406668</v>
      </c>
      <c r="L149" s="3">
        <f t="shared" si="27"/>
        <v>9.0464947059869447E-2</v>
      </c>
      <c r="M149" s="3">
        <f t="shared" si="28"/>
        <v>0.27760203930395605</v>
      </c>
      <c r="O149" s="8">
        <v>0.18770406960670893</v>
      </c>
      <c r="P149" s="26">
        <f t="shared" si="29"/>
        <v>1.8770406960670893E-3</v>
      </c>
      <c r="AF149" s="8">
        <v>0.18770406960670893</v>
      </c>
      <c r="AG149" s="8">
        <f t="shared" si="30"/>
        <v>-0.18770406960670893</v>
      </c>
      <c r="AH149" s="8">
        <v>-0.94020916240322716</v>
      </c>
      <c r="AI149" s="7">
        <f t="shared" si="31"/>
        <v>-9.4020916240322716E-3</v>
      </c>
    </row>
    <row r="150" spans="1:35" x14ac:dyDescent="0.35">
      <c r="A150" s="9">
        <v>43816</v>
      </c>
      <c r="B150" s="10">
        <f>Расчеты!G154/360</f>
        <v>1.7222222222222222E-2</v>
      </c>
      <c r="C150" s="34">
        <f>SNGS!C141</f>
        <v>48.305</v>
      </c>
      <c r="D150" s="34">
        <f>'FXGD ETF'!C141</f>
        <v>636.20000000000005</v>
      </c>
      <c r="E150" s="34">
        <f t="shared" si="22"/>
        <v>1762362.5626695156</v>
      </c>
      <c r="F150" s="3">
        <f t="shared" si="23"/>
        <v>0.51988422056019612</v>
      </c>
      <c r="G150" s="3">
        <f t="shared" si="24"/>
        <v>0.50266199833797387</v>
      </c>
      <c r="H150" s="34">
        <v>3013.29</v>
      </c>
      <c r="I150" s="3">
        <f t="shared" si="25"/>
        <v>0.23717965776939298</v>
      </c>
      <c r="J150" s="3">
        <f t="shared" si="26"/>
        <v>0.21995743554717076</v>
      </c>
      <c r="K150" s="3">
        <f t="shared" si="32"/>
        <v>0.25266908457312526</v>
      </c>
      <c r="L150" s="3">
        <f t="shared" si="27"/>
        <v>4.8381273452487779E-2</v>
      </c>
      <c r="M150" s="3">
        <f t="shared" si="28"/>
        <v>0.11056424410143695</v>
      </c>
      <c r="O150" s="8">
        <v>0.21879631948424905</v>
      </c>
      <c r="P150" s="26">
        <f t="shared" si="29"/>
        <v>2.1879631948424905E-3</v>
      </c>
      <c r="AF150" s="8">
        <v>0.21879631948424905</v>
      </c>
      <c r="AG150" s="8">
        <f t="shared" si="30"/>
        <v>-0.21879631948424905</v>
      </c>
      <c r="AH150" s="8">
        <v>-0.92508008910465733</v>
      </c>
      <c r="AI150" s="7">
        <f t="shared" si="31"/>
        <v>-9.2508008910465733E-3</v>
      </c>
    </row>
    <row r="151" spans="1:35" x14ac:dyDescent="0.35">
      <c r="A151" s="9">
        <v>43817</v>
      </c>
      <c r="B151" s="10">
        <f>Расчеты!G155/360</f>
        <v>1.7250000000000001E-2</v>
      </c>
      <c r="C151" s="34">
        <f>SNGS!C142</f>
        <v>48.42</v>
      </c>
      <c r="D151" s="34">
        <f>'FXGD ETF'!C142</f>
        <v>637.4</v>
      </c>
      <c r="E151" s="34">
        <f t="shared" si="22"/>
        <v>1766464.3294126838</v>
      </c>
      <c r="F151" s="3">
        <f t="shared" si="23"/>
        <v>0.23274250316320799</v>
      </c>
      <c r="G151" s="3">
        <f t="shared" si="24"/>
        <v>0.215492503163208</v>
      </c>
      <c r="H151" s="34">
        <v>3023.92</v>
      </c>
      <c r="I151" s="3">
        <f t="shared" si="25"/>
        <v>0.35277055975362348</v>
      </c>
      <c r="J151" s="3">
        <f t="shared" si="26"/>
        <v>0.33552055975362349</v>
      </c>
      <c r="K151" s="3">
        <f t="shared" si="32"/>
        <v>4.6437018919545214E-2</v>
      </c>
      <c r="L151" s="3">
        <f t="shared" si="27"/>
        <v>0.11257404601738483</v>
      </c>
      <c r="M151" s="3">
        <f t="shared" si="28"/>
        <v>7.2302165284029024E-2</v>
      </c>
      <c r="O151" s="8">
        <v>0.22183061337814891</v>
      </c>
      <c r="P151" s="26">
        <f t="shared" si="29"/>
        <v>2.2183061337814891E-3</v>
      </c>
      <c r="AF151" s="8">
        <v>0.22183061337814891</v>
      </c>
      <c r="AG151" s="8">
        <f t="shared" si="30"/>
        <v>-0.22183061337814891</v>
      </c>
      <c r="AH151" s="8">
        <v>-0.92167705478420903</v>
      </c>
      <c r="AI151" s="7">
        <f t="shared" si="31"/>
        <v>-9.2167705478420903E-3</v>
      </c>
    </row>
    <row r="152" spans="1:35" x14ac:dyDescent="0.35">
      <c r="A152" s="9">
        <v>43818</v>
      </c>
      <c r="B152" s="10">
        <f>Расчеты!G156/360</f>
        <v>1.7305555555555557E-2</v>
      </c>
      <c r="C152" s="34">
        <f>SNGS!C143</f>
        <v>48.15</v>
      </c>
      <c r="D152" s="34">
        <f>'FXGD ETF'!C143</f>
        <v>635.20000000000005</v>
      </c>
      <c r="E152" s="34">
        <f t="shared" si="22"/>
        <v>1757018.367378847</v>
      </c>
      <c r="F152" s="3">
        <f t="shared" si="23"/>
        <v>-0.53473834011567023</v>
      </c>
      <c r="G152" s="3">
        <f t="shared" si="24"/>
        <v>-0.5520438956712258</v>
      </c>
      <c r="H152" s="34">
        <v>3008.39</v>
      </c>
      <c r="I152" s="3">
        <f t="shared" si="25"/>
        <v>-0.51357178761343159</v>
      </c>
      <c r="J152" s="3">
        <f t="shared" si="26"/>
        <v>-0.53087734316898716</v>
      </c>
      <c r="K152" s="3">
        <f t="shared" si="32"/>
        <v>0.30475246274786322</v>
      </c>
      <c r="L152" s="3">
        <f t="shared" si="27"/>
        <v>0.28183075349016257</v>
      </c>
      <c r="M152" s="3">
        <f t="shared" si="28"/>
        <v>0.29306759664659787</v>
      </c>
      <c r="O152" s="8">
        <v>0.23274250316320799</v>
      </c>
      <c r="P152" s="26">
        <f t="shared" si="29"/>
        <v>2.3274250316320799E-3</v>
      </c>
      <c r="AF152" s="8">
        <v>0.23274250316320799</v>
      </c>
      <c r="AG152" s="8">
        <f t="shared" si="30"/>
        <v>-0.23274250316320799</v>
      </c>
      <c r="AH152" s="8">
        <v>-0.91914471774899864</v>
      </c>
      <c r="AI152" s="7">
        <f t="shared" si="31"/>
        <v>-9.1914471774899864E-3</v>
      </c>
    </row>
    <row r="153" spans="1:35" x14ac:dyDescent="0.35">
      <c r="A153" s="9">
        <v>43819</v>
      </c>
      <c r="B153" s="10">
        <f>Расчеты!G157/360</f>
        <v>1.7583333333333333E-2</v>
      </c>
      <c r="C153" s="34">
        <f>SNGS!C144</f>
        <v>48.115000000000002</v>
      </c>
      <c r="D153" s="34">
        <f>'FXGD ETF'!C144</f>
        <v>635.20000000000005</v>
      </c>
      <c r="E153" s="34">
        <f t="shared" si="22"/>
        <v>1755879.0101084642</v>
      </c>
      <c r="F153" s="3">
        <f t="shared" si="23"/>
        <v>-6.4846064875379028E-2</v>
      </c>
      <c r="G153" s="3">
        <f t="shared" si="24"/>
        <v>-8.2429398208712368E-2</v>
      </c>
      <c r="H153" s="34">
        <v>3015.93</v>
      </c>
      <c r="I153" s="3">
        <f t="shared" si="25"/>
        <v>0.25063239806009108</v>
      </c>
      <c r="J153" s="3">
        <f t="shared" si="26"/>
        <v>0.23304906472675774</v>
      </c>
      <c r="K153" s="3">
        <f t="shared" si="32"/>
        <v>6.7946056890504734E-3</v>
      </c>
      <c r="L153" s="3">
        <f t="shared" si="27"/>
        <v>5.431186657001652E-2</v>
      </c>
      <c r="M153" s="3">
        <f t="shared" si="28"/>
        <v>-1.9210094158529898E-2</v>
      </c>
      <c r="O153" s="8">
        <v>0.2475369092984181</v>
      </c>
      <c r="P153" s="26">
        <f t="shared" si="29"/>
        <v>2.475369092984181E-3</v>
      </c>
      <c r="AF153" s="8">
        <v>0.2475369092984181</v>
      </c>
      <c r="AG153" s="8">
        <f t="shared" si="30"/>
        <v>-0.2475369092984181</v>
      </c>
      <c r="AH153" s="8">
        <v>-0.91855073124855746</v>
      </c>
      <c r="AI153" s="7">
        <f t="shared" si="31"/>
        <v>-9.1855073124855746E-3</v>
      </c>
    </row>
    <row r="154" spans="1:35" x14ac:dyDescent="0.35">
      <c r="A154" s="9">
        <v>43822</v>
      </c>
      <c r="B154" s="10">
        <f>Расчеты!G158/360</f>
        <v>1.7444444444444446E-2</v>
      </c>
      <c r="C154" s="34">
        <f>SNGS!C145</f>
        <v>51.655000000000001</v>
      </c>
      <c r="D154" s="34">
        <f>'FXGD ETF'!C145</f>
        <v>637.20000000000005</v>
      </c>
      <c r="E154" s="34">
        <f t="shared" si="22"/>
        <v>1871713.800213705</v>
      </c>
      <c r="F154" s="3">
        <f t="shared" si="23"/>
        <v>6.5969687796476162</v>
      </c>
      <c r="G154" s="3">
        <f t="shared" si="24"/>
        <v>6.579524335203172</v>
      </c>
      <c r="H154" s="34">
        <v>3033.81</v>
      </c>
      <c r="I154" s="3">
        <f t="shared" si="25"/>
        <v>0.59285195611304964</v>
      </c>
      <c r="J154" s="3">
        <f t="shared" si="26"/>
        <v>0.57540751166860515</v>
      </c>
      <c r="K154" s="3">
        <f t="shared" si="32"/>
        <v>43.290140477530741</v>
      </c>
      <c r="L154" s="3">
        <f t="shared" si="27"/>
        <v>0.33109380448465597</v>
      </c>
      <c r="M154" s="3">
        <f t="shared" si="28"/>
        <v>3.7859077256822906</v>
      </c>
      <c r="O154" s="8">
        <v>0.25608865173898376</v>
      </c>
      <c r="P154" s="26">
        <f t="shared" si="29"/>
        <v>2.5608865173898376E-3</v>
      </c>
      <c r="AF154" s="8">
        <v>0.25608865173898376</v>
      </c>
      <c r="AG154" s="8">
        <f t="shared" si="30"/>
        <v>-0.25608865173898376</v>
      </c>
      <c r="AH154" s="8">
        <v>-0.9099885551108855</v>
      </c>
      <c r="AI154" s="7">
        <f t="shared" si="31"/>
        <v>-9.099885551108855E-3</v>
      </c>
    </row>
    <row r="155" spans="1:35" x14ac:dyDescent="0.35">
      <c r="A155" s="9">
        <v>43823</v>
      </c>
      <c r="B155" s="10">
        <f>Расчеты!G159/360</f>
        <v>1.7749999999999998E-2</v>
      </c>
      <c r="C155" s="34">
        <f>SNGS!C146</f>
        <v>52.2</v>
      </c>
      <c r="D155" s="34">
        <f>'FXGD ETF'!C146</f>
        <v>639.79999999999995</v>
      </c>
      <c r="E155" s="34">
        <f t="shared" si="22"/>
        <v>1890231.2431807106</v>
      </c>
      <c r="F155" s="3">
        <f t="shared" si="23"/>
        <v>0.98933089903441296</v>
      </c>
      <c r="G155" s="3">
        <f t="shared" si="24"/>
        <v>0.97158089903441291</v>
      </c>
      <c r="H155" s="34">
        <v>3030.59</v>
      </c>
      <c r="I155" s="3">
        <f t="shared" si="25"/>
        <v>-0.10613716745609958</v>
      </c>
      <c r="J155" s="3">
        <f t="shared" si="26"/>
        <v>-0.12388716745609958</v>
      </c>
      <c r="K155" s="3">
        <f t="shared" si="32"/>
        <v>0.94396944336851807</v>
      </c>
      <c r="L155" s="3">
        <f t="shared" si="27"/>
        <v>1.5348030260295659E-2</v>
      </c>
      <c r="M155" s="3">
        <f t="shared" si="28"/>
        <v>-0.12036640553582409</v>
      </c>
      <c r="O155" s="8">
        <v>0.25664411816455068</v>
      </c>
      <c r="P155" s="26">
        <f t="shared" si="29"/>
        <v>2.5664411816455068E-3</v>
      </c>
      <c r="AF155" s="8">
        <v>0.25664411816455068</v>
      </c>
      <c r="AG155" s="8">
        <f t="shared" si="30"/>
        <v>-0.25664411816455068</v>
      </c>
      <c r="AH155" s="8">
        <v>-0.89918590208937221</v>
      </c>
      <c r="AI155" s="7">
        <f t="shared" si="31"/>
        <v>-8.9918590208937221E-3</v>
      </c>
    </row>
    <row r="156" spans="1:35" x14ac:dyDescent="0.35">
      <c r="A156" s="9">
        <v>43824</v>
      </c>
      <c r="B156" s="10">
        <f>Расчеты!G160/360</f>
        <v>1.7805555555555557E-2</v>
      </c>
      <c r="C156" s="34">
        <f>SNGS!C147</f>
        <v>51.204999999999998</v>
      </c>
      <c r="D156" s="34">
        <f>'FXGD ETF'!C147</f>
        <v>639.79999999999995</v>
      </c>
      <c r="E156" s="34">
        <f t="shared" si="22"/>
        <v>1857840.943636969</v>
      </c>
      <c r="F156" s="3">
        <f t="shared" si="23"/>
        <v>-1.7135628066986208</v>
      </c>
      <c r="G156" s="3">
        <f t="shared" si="24"/>
        <v>-1.7313683622541765</v>
      </c>
      <c r="H156" s="34">
        <v>3030.84</v>
      </c>
      <c r="I156" s="3">
        <f t="shared" si="25"/>
        <v>8.2492187989835486E-3</v>
      </c>
      <c r="J156" s="3">
        <f t="shared" si="26"/>
        <v>-9.5563367565720085E-3</v>
      </c>
      <c r="K156" s="3">
        <f t="shared" si="32"/>
        <v>2.9976364058147094</v>
      </c>
      <c r="L156" s="3">
        <f t="shared" si="27"/>
        <v>9.1323572205009211E-5</v>
      </c>
      <c r="M156" s="3">
        <f t="shared" si="28"/>
        <v>1.6545539119375466E-2</v>
      </c>
      <c r="O156" s="8">
        <v>0.25778493389618795</v>
      </c>
      <c r="P156" s="26">
        <f t="shared" si="29"/>
        <v>2.5778493389618795E-3</v>
      </c>
      <c r="AF156" s="8">
        <v>0.25778493389618795</v>
      </c>
      <c r="AG156" s="8">
        <f t="shared" si="30"/>
        <v>-0.25778493389618795</v>
      </c>
      <c r="AH156" s="8">
        <v>-0.83949042748822089</v>
      </c>
      <c r="AI156" s="7">
        <f t="shared" si="31"/>
        <v>-8.3949042748822089E-3</v>
      </c>
    </row>
    <row r="157" spans="1:35" x14ac:dyDescent="0.35">
      <c r="A157" s="9">
        <v>43825</v>
      </c>
      <c r="B157" s="10">
        <f>Расчеты!G161/360</f>
        <v>1.7777777777777778E-2</v>
      </c>
      <c r="C157" s="34">
        <f>SNGS!C148</f>
        <v>51.15</v>
      </c>
      <c r="D157" s="34">
        <f>'FXGD ETF'!C148</f>
        <v>648.4</v>
      </c>
      <c r="E157" s="34">
        <f t="shared" si="22"/>
        <v>1858617.36909982</v>
      </c>
      <c r="F157" s="3">
        <f t="shared" si="23"/>
        <v>4.1791815683156486E-2</v>
      </c>
      <c r="G157" s="3">
        <f t="shared" si="24"/>
        <v>2.4014037905378708E-2</v>
      </c>
      <c r="H157" s="34">
        <v>3031.67</v>
      </c>
      <c r="I157" s="3">
        <f t="shared" si="25"/>
        <v>2.7385147351877137E-2</v>
      </c>
      <c r="J157" s="3">
        <f t="shared" si="26"/>
        <v>9.6073695740993593E-3</v>
      </c>
      <c r="K157" s="3">
        <f t="shared" si="32"/>
        <v>5.7667401652096537E-4</v>
      </c>
      <c r="L157" s="3">
        <f t="shared" si="27"/>
        <v>9.2301550133330108E-5</v>
      </c>
      <c r="M157" s="3">
        <f t="shared" si="28"/>
        <v>2.307117371234041E-4</v>
      </c>
      <c r="O157" s="8">
        <v>0.27348753828422279</v>
      </c>
      <c r="P157" s="26">
        <f t="shared" si="29"/>
        <v>2.7348753828422279E-3</v>
      </c>
      <c r="AF157" s="8">
        <v>0.27348753828422279</v>
      </c>
      <c r="AG157" s="8">
        <f t="shared" si="30"/>
        <v>-0.27348753828422279</v>
      </c>
      <c r="AH157" s="8">
        <v>-0.83593812191407046</v>
      </c>
      <c r="AI157" s="7">
        <f t="shared" si="31"/>
        <v>-8.3593812191407046E-3</v>
      </c>
    </row>
    <row r="158" spans="1:35" x14ac:dyDescent="0.35">
      <c r="A158" s="9">
        <v>43826</v>
      </c>
      <c r="B158" s="10">
        <f>Расчеты!G162/360</f>
        <v>1.7861111111111109E-2</v>
      </c>
      <c r="C158" s="34">
        <f>SNGS!C149</f>
        <v>50.854999999999997</v>
      </c>
      <c r="D158" s="34">
        <f>'FXGD ETF'!C149</f>
        <v>647.79999999999995</v>
      </c>
      <c r="E158" s="34">
        <f t="shared" si="22"/>
        <v>1848835.1328220663</v>
      </c>
      <c r="F158" s="3">
        <f t="shared" si="23"/>
        <v>-0.52631791999724342</v>
      </c>
      <c r="G158" s="3">
        <f t="shared" si="24"/>
        <v>-0.54417903110835453</v>
      </c>
      <c r="H158" s="34">
        <v>3050.47</v>
      </c>
      <c r="I158" s="3">
        <f t="shared" si="25"/>
        <v>0.6201202637490244</v>
      </c>
      <c r="J158" s="3">
        <f t="shared" si="26"/>
        <v>0.6022591526379133</v>
      </c>
      <c r="K158" s="3">
        <f t="shared" si="32"/>
        <v>0.29613081789802748</v>
      </c>
      <c r="L158" s="3">
        <f t="shared" si="27"/>
        <v>0.36271608693613733</v>
      </c>
      <c r="M158" s="3">
        <f t="shared" si="28"/>
        <v>-0.32773680215863826</v>
      </c>
      <c r="O158" s="8">
        <v>0.27880838875649072</v>
      </c>
      <c r="P158" s="26">
        <f t="shared" si="29"/>
        <v>2.7880838875649072E-3</v>
      </c>
      <c r="AF158" s="8">
        <v>0.27880838875649072</v>
      </c>
      <c r="AG158" s="8">
        <f t="shared" si="30"/>
        <v>-0.27880838875649072</v>
      </c>
      <c r="AH158" s="8">
        <v>-0.8303156326288641</v>
      </c>
      <c r="AI158" s="7">
        <f t="shared" si="31"/>
        <v>-8.303156326288641E-3</v>
      </c>
    </row>
    <row r="159" spans="1:35" x14ac:dyDescent="0.35">
      <c r="A159" s="9">
        <v>43829</v>
      </c>
      <c r="B159" s="10">
        <f>Расчеты!G163/360</f>
        <v>1.7694444444444443E-2</v>
      </c>
      <c r="C159" s="34">
        <f>SNGS!C150</f>
        <v>50.47</v>
      </c>
      <c r="D159" s="34">
        <f>'FXGD ETF'!C150</f>
        <v>647.20000000000005</v>
      </c>
      <c r="E159" s="34">
        <f t="shared" si="22"/>
        <v>1836123.1207061855</v>
      </c>
      <c r="F159" s="3">
        <f t="shared" si="23"/>
        <v>-0.68756872314932327</v>
      </c>
      <c r="G159" s="3">
        <f t="shared" si="24"/>
        <v>-0.70526316759376773</v>
      </c>
      <c r="H159" s="34">
        <v>3045.87</v>
      </c>
      <c r="I159" s="3">
        <f t="shared" si="25"/>
        <v>-0.15079643464777082</v>
      </c>
      <c r="J159" s="3">
        <f t="shared" si="26"/>
        <v>-0.16849087909221527</v>
      </c>
      <c r="K159" s="3">
        <f t="shared" si="32"/>
        <v>0.49739613556439488</v>
      </c>
      <c r="L159" s="3">
        <f t="shared" si="27"/>
        <v>2.8389176337267504E-2</v>
      </c>
      <c r="M159" s="3">
        <f t="shared" si="28"/>
        <v>0.11883041109923427</v>
      </c>
      <c r="O159" s="8">
        <v>0.28554473529340818</v>
      </c>
      <c r="P159" s="26">
        <f t="shared" si="29"/>
        <v>2.8554473529340818E-3</v>
      </c>
      <c r="AF159" s="8">
        <v>0.28554473529340818</v>
      </c>
      <c r="AG159" s="8">
        <f t="shared" si="30"/>
        <v>-0.28554473529340818</v>
      </c>
      <c r="AH159" s="8">
        <v>-0.82512183597154287</v>
      </c>
      <c r="AI159" s="7">
        <f t="shared" si="31"/>
        <v>-8.2512183597154287E-3</v>
      </c>
    </row>
    <row r="160" spans="1:35" x14ac:dyDescent="0.35">
      <c r="A160" s="9">
        <v>43833</v>
      </c>
      <c r="B160" s="10">
        <f>Расчеты!G164/360</f>
        <v>1.7722222222222223E-2</v>
      </c>
      <c r="C160" s="34">
        <f>SNGS!C151</f>
        <v>51.375</v>
      </c>
      <c r="D160" s="34">
        <f>'FXGD ETF'!C151</f>
        <v>661.4</v>
      </c>
      <c r="E160" s="34">
        <f t="shared" si="22"/>
        <v>1869821.9217646429</v>
      </c>
      <c r="F160" s="3">
        <f t="shared" si="23"/>
        <v>1.8353236053961774</v>
      </c>
      <c r="G160" s="3">
        <f t="shared" si="24"/>
        <v>1.8176013831739553</v>
      </c>
      <c r="H160" s="34">
        <v>3076.37</v>
      </c>
      <c r="I160" s="3">
        <f t="shared" si="25"/>
        <v>1.0013559344292489</v>
      </c>
      <c r="J160" s="3">
        <f t="shared" si="26"/>
        <v>0.98363371220702667</v>
      </c>
      <c r="K160" s="3">
        <f t="shared" si="32"/>
        <v>3.3036747881158752</v>
      </c>
      <c r="L160" s="3">
        <f t="shared" si="27"/>
        <v>0.96753527979017573</v>
      </c>
      <c r="M160" s="3">
        <f t="shared" si="28"/>
        <v>1.7878539958440238</v>
      </c>
      <c r="O160" s="8">
        <v>0.32354600705999381</v>
      </c>
      <c r="P160" s="26">
        <f t="shared" si="29"/>
        <v>3.2354600705999381E-3</v>
      </c>
      <c r="AF160" s="8">
        <v>0.32354600705999381</v>
      </c>
      <c r="AG160" s="8">
        <f t="shared" si="30"/>
        <v>-0.32354600705999381</v>
      </c>
      <c r="AH160" s="8">
        <v>-0.81430466209575503</v>
      </c>
      <c r="AI160" s="7">
        <f t="shared" si="31"/>
        <v>-8.1430466209575503E-3</v>
      </c>
    </row>
    <row r="161" spans="1:35" x14ac:dyDescent="0.35">
      <c r="A161" s="9">
        <v>43836</v>
      </c>
      <c r="B161" s="10">
        <f>Расчеты!G165/360</f>
        <v>1.7722222222222223E-2</v>
      </c>
      <c r="C161" s="34">
        <f>SNGS!C152</f>
        <v>52.2</v>
      </c>
      <c r="D161" s="34">
        <f>'FXGD ETF'!C152</f>
        <v>666.2</v>
      </c>
      <c r="E161" s="34">
        <f t="shared" si="22"/>
        <v>1898110.857414166</v>
      </c>
      <c r="F161" s="3">
        <f t="shared" si="23"/>
        <v>1.5129213814556897</v>
      </c>
      <c r="G161" s="3">
        <f t="shared" si="24"/>
        <v>1.4951991592334675</v>
      </c>
      <c r="H161" s="34">
        <v>3078.87</v>
      </c>
      <c r="I161" s="3">
        <f t="shared" si="25"/>
        <v>8.1264607313169535E-2</v>
      </c>
      <c r="J161" s="3">
        <f t="shared" si="26"/>
        <v>6.3542385090947312E-2</v>
      </c>
      <c r="K161" s="3">
        <f t="shared" si="32"/>
        <v>2.2356205257724682</v>
      </c>
      <c r="L161" s="3">
        <f t="shared" si="27"/>
        <v>4.0376347030462436E-3</v>
      </c>
      <c r="M161" s="3">
        <f t="shared" si="28"/>
        <v>9.5008520763673637E-2</v>
      </c>
      <c r="O161" s="8">
        <v>0.33315358125949324</v>
      </c>
      <c r="P161" s="26">
        <f t="shared" si="29"/>
        <v>3.3315358125949324E-3</v>
      </c>
      <c r="AF161" s="8">
        <v>0.33315358125949324</v>
      </c>
      <c r="AG161" s="8">
        <f t="shared" si="30"/>
        <v>-0.33315358125949324</v>
      </c>
      <c r="AH161" s="8">
        <v>-0.81015728849067603</v>
      </c>
      <c r="AI161" s="7">
        <f t="shared" si="31"/>
        <v>-8.1015728849067603E-3</v>
      </c>
    </row>
    <row r="162" spans="1:35" x14ac:dyDescent="0.35">
      <c r="A162" s="9">
        <v>43838</v>
      </c>
      <c r="B162" s="10">
        <f>Расчеты!G166/360</f>
        <v>1.7722222222222223E-2</v>
      </c>
      <c r="C162" s="34">
        <f>SNGS!C153</f>
        <v>52</v>
      </c>
      <c r="D162" s="34">
        <f>'FXGD ETF'!C153</f>
        <v>668.2</v>
      </c>
      <c r="E162" s="34">
        <f t="shared" si="22"/>
        <v>1892197.1849127808</v>
      </c>
      <c r="F162" s="3">
        <f t="shared" si="23"/>
        <v>-0.31155569645924253</v>
      </c>
      <c r="G162" s="3">
        <f t="shared" si="24"/>
        <v>-0.32927791868146472</v>
      </c>
      <c r="H162" s="34">
        <v>3110.06</v>
      </c>
      <c r="I162" s="3">
        <f t="shared" si="25"/>
        <v>1.0130340027347806</v>
      </c>
      <c r="J162" s="3">
        <f t="shared" si="26"/>
        <v>0.99531178051255842</v>
      </c>
      <c r="K162" s="3">
        <f t="shared" si="32"/>
        <v>0.10842394773119729</v>
      </c>
      <c r="L162" s="3">
        <f t="shared" si="27"/>
        <v>0.99064554042707931</v>
      </c>
      <c r="M162" s="3">
        <f t="shared" si="28"/>
        <v>-0.32773419152631805</v>
      </c>
      <c r="O162" s="8">
        <v>0.35231847076833134</v>
      </c>
      <c r="P162" s="26">
        <f t="shared" si="29"/>
        <v>3.5231847076833134E-3</v>
      </c>
      <c r="AF162" s="8">
        <v>0.35231847076833134</v>
      </c>
      <c r="AG162" s="8">
        <f t="shared" si="30"/>
        <v>-0.35231847076833134</v>
      </c>
      <c r="AH162" s="8">
        <v>-0.8035524983162734</v>
      </c>
      <c r="AI162" s="7">
        <f t="shared" si="31"/>
        <v>-8.035524983162734E-3</v>
      </c>
    </row>
    <row r="163" spans="1:35" x14ac:dyDescent="0.35">
      <c r="A163" s="9">
        <v>43839</v>
      </c>
      <c r="B163" s="10">
        <f>Расчеты!G167/360</f>
        <v>1.7749999999999998E-2</v>
      </c>
      <c r="C163" s="34">
        <f>SNGS!C154</f>
        <v>53.645000000000003</v>
      </c>
      <c r="D163" s="34">
        <f>'FXGD ETF'!C154</f>
        <v>654.79999999999995</v>
      </c>
      <c r="E163" s="34">
        <f t="shared" si="22"/>
        <v>1941747.4754568245</v>
      </c>
      <c r="F163" s="3">
        <f t="shared" si="23"/>
        <v>2.618664214233446</v>
      </c>
      <c r="G163" s="3">
        <f t="shared" si="24"/>
        <v>2.600914214233446</v>
      </c>
      <c r="H163" s="34">
        <v>3118.08</v>
      </c>
      <c r="I163" s="3">
        <f t="shared" si="25"/>
        <v>0.25787283846614439</v>
      </c>
      <c r="J163" s="3">
        <f t="shared" si="26"/>
        <v>0.24012283846614441</v>
      </c>
      <c r="K163" s="3">
        <f t="shared" si="32"/>
        <v>6.7647547498015843</v>
      </c>
      <c r="L163" s="3">
        <f t="shared" si="27"/>
        <v>5.7658977553038081E-2</v>
      </c>
      <c r="M163" s="3">
        <f t="shared" si="28"/>
        <v>0.62453890372867671</v>
      </c>
      <c r="O163" s="8">
        <v>0.37002593980164367</v>
      </c>
      <c r="P163" s="26">
        <f t="shared" si="29"/>
        <v>3.7002593980164367E-3</v>
      </c>
      <c r="AF163" s="8">
        <v>0.37002593980164367</v>
      </c>
      <c r="AG163" s="8">
        <f t="shared" si="30"/>
        <v>-0.37002593980164367</v>
      </c>
      <c r="AH163" s="8">
        <v>-0.80227011353637412</v>
      </c>
      <c r="AI163" s="7">
        <f t="shared" si="31"/>
        <v>-8.0227011353637412E-3</v>
      </c>
    </row>
    <row r="164" spans="1:35" x14ac:dyDescent="0.35">
      <c r="A164" s="9">
        <v>43840</v>
      </c>
      <c r="B164" s="10">
        <f>Расчеты!G168/360</f>
        <v>1.7666666666666667E-2</v>
      </c>
      <c r="C164" s="34">
        <f>SNGS!C155</f>
        <v>54</v>
      </c>
      <c r="D164" s="34">
        <f>'FXGD ETF'!C155</f>
        <v>653.20000000000005</v>
      </c>
      <c r="E164" s="34">
        <f t="shared" si="22"/>
        <v>1952826.2611072084</v>
      </c>
      <c r="F164" s="3">
        <f t="shared" si="23"/>
        <v>0.57055748960237462</v>
      </c>
      <c r="G164" s="3">
        <f t="shared" si="24"/>
        <v>0.5528908229357079</v>
      </c>
      <c r="H164" s="34">
        <v>3123.66</v>
      </c>
      <c r="I164" s="3">
        <f t="shared" si="25"/>
        <v>0.17895628078816728</v>
      </c>
      <c r="J164" s="3">
        <f t="shared" si="26"/>
        <v>0.16128961412150061</v>
      </c>
      <c r="K164" s="3">
        <f t="shared" si="32"/>
        <v>0.30568826208652433</v>
      </c>
      <c r="L164" s="3">
        <f t="shared" si="27"/>
        <v>2.6014339623462571E-2</v>
      </c>
      <c r="M164" s="3">
        <f t="shared" si="28"/>
        <v>8.9175547482619244E-2</v>
      </c>
      <c r="O164" s="8">
        <v>0.38603904101075504</v>
      </c>
      <c r="P164" s="26">
        <f t="shared" si="29"/>
        <v>3.8603904101075504E-3</v>
      </c>
      <c r="AF164" s="8">
        <v>0.38603904101075504</v>
      </c>
      <c r="AG164" s="8">
        <f t="shared" si="30"/>
        <v>-0.38603904101075504</v>
      </c>
      <c r="AH164" s="8">
        <v>-0.77702215162569477</v>
      </c>
      <c r="AI164" s="7">
        <f t="shared" si="31"/>
        <v>-7.7702215162569477E-3</v>
      </c>
    </row>
    <row r="165" spans="1:35" x14ac:dyDescent="0.35">
      <c r="A165" s="9">
        <v>43843</v>
      </c>
      <c r="B165" s="10">
        <f>Расчеты!G169/360</f>
        <v>1.7694444444444443E-2</v>
      </c>
      <c r="C165" s="34">
        <f>SNGS!C156</f>
        <v>53.805</v>
      </c>
      <c r="D165" s="34">
        <f>'FXGD ETF'!C156</f>
        <v>655.6</v>
      </c>
      <c r="E165" s="34">
        <f t="shared" si="22"/>
        <v>1947194.7420246101</v>
      </c>
      <c r="F165" s="3">
        <f t="shared" si="23"/>
        <v>-0.28837788567045441</v>
      </c>
      <c r="G165" s="3">
        <f t="shared" si="24"/>
        <v>-0.30607233011489887</v>
      </c>
      <c r="H165" s="34">
        <v>3151.69</v>
      </c>
      <c r="I165" s="3">
        <f t="shared" si="25"/>
        <v>0.89734478144229968</v>
      </c>
      <c r="J165" s="3">
        <f t="shared" si="26"/>
        <v>0.87965033699785522</v>
      </c>
      <c r="K165" s="3">
        <f t="shared" si="32"/>
        <v>9.3680271261963627E-2</v>
      </c>
      <c r="L165" s="3">
        <f t="shared" si="27"/>
        <v>0.77378471538044025</v>
      </c>
      <c r="M165" s="3">
        <f t="shared" si="28"/>
        <v>-0.26923662833128958</v>
      </c>
      <c r="O165" s="8">
        <v>0.39338816061917914</v>
      </c>
      <c r="P165" s="26">
        <f t="shared" si="29"/>
        <v>3.9338816061917914E-3</v>
      </c>
      <c r="AF165" s="8">
        <v>0.39338816061917914</v>
      </c>
      <c r="AG165" s="8">
        <f t="shared" si="30"/>
        <v>-0.39338816061917914</v>
      </c>
      <c r="AH165" s="8">
        <v>-0.77608658668214536</v>
      </c>
      <c r="AI165" s="7">
        <f t="shared" si="31"/>
        <v>-7.7608658668214536E-3</v>
      </c>
    </row>
    <row r="166" spans="1:35" x14ac:dyDescent="0.35">
      <c r="A166" s="9">
        <v>43844</v>
      </c>
      <c r="B166" s="10">
        <f>Расчеты!G170/360</f>
        <v>1.7583333333333333E-2</v>
      </c>
      <c r="C166" s="34">
        <f>SNGS!C157</f>
        <v>53.9</v>
      </c>
      <c r="D166" s="34">
        <f>'FXGD ETF'!C157</f>
        <v>653</v>
      </c>
      <c r="E166" s="34">
        <f t="shared" si="22"/>
        <v>1949511.2605731769</v>
      </c>
      <c r="F166" s="3">
        <f t="shared" si="23"/>
        <v>0.11896696815021368</v>
      </c>
      <c r="G166" s="3">
        <f t="shared" si="24"/>
        <v>0.10138363481688034</v>
      </c>
      <c r="H166" s="34">
        <v>3129.77</v>
      </c>
      <c r="I166" s="3">
        <f t="shared" si="25"/>
        <v>-0.6954998746704133</v>
      </c>
      <c r="J166" s="3">
        <f t="shared" si="26"/>
        <v>-0.71308320800374658</v>
      </c>
      <c r="K166" s="3">
        <f t="shared" si="32"/>
        <v>1.0278641408682551E-2</v>
      </c>
      <c r="L166" s="3">
        <f t="shared" si="27"/>
        <v>0.50848766153691449</v>
      </c>
      <c r="M166" s="3">
        <f t="shared" si="28"/>
        <v>-7.229496755430137E-2</v>
      </c>
      <c r="O166" s="8">
        <v>0.41245557018989576</v>
      </c>
      <c r="P166" s="26">
        <f t="shared" si="29"/>
        <v>4.1245557018989576E-3</v>
      </c>
      <c r="AF166" s="8">
        <v>0.41245557018989576</v>
      </c>
      <c r="AG166" s="8">
        <f t="shared" si="30"/>
        <v>-0.41245557018989576</v>
      </c>
      <c r="AH166" s="8">
        <v>-0.77417325111690527</v>
      </c>
      <c r="AI166" s="7">
        <f t="shared" si="31"/>
        <v>-7.7417325111690527E-3</v>
      </c>
    </row>
    <row r="167" spans="1:35" x14ac:dyDescent="0.35">
      <c r="A167" s="9">
        <v>43845</v>
      </c>
      <c r="B167" s="10">
        <f>Расчеты!G171/360</f>
        <v>1.7583333333333333E-2</v>
      </c>
      <c r="C167" s="34">
        <f>SNGS!C158</f>
        <v>53.09</v>
      </c>
      <c r="D167" s="34">
        <f>'FXGD ETF'!C158</f>
        <v>656.2</v>
      </c>
      <c r="E167" s="34">
        <f t="shared" si="22"/>
        <v>1924098.3827856013</v>
      </c>
      <c r="F167" s="3">
        <f t="shared" si="23"/>
        <v>-1.3035512182732356</v>
      </c>
      <c r="G167" s="3">
        <f t="shared" si="24"/>
        <v>-1.3211345516065689</v>
      </c>
      <c r="H167" s="34">
        <v>3132.63</v>
      </c>
      <c r="I167" s="3">
        <f t="shared" si="25"/>
        <v>9.1380516779193677E-2</v>
      </c>
      <c r="J167" s="3">
        <f t="shared" si="26"/>
        <v>7.3797183445860337E-2</v>
      </c>
      <c r="K167" s="3">
        <f t="shared" si="32"/>
        <v>1.7453965034486898</v>
      </c>
      <c r="L167" s="3">
        <f t="shared" si="27"/>
        <v>5.4460242845419627E-3</v>
      </c>
      <c r="M167" s="3">
        <f t="shared" si="28"/>
        <v>-9.7496008861574404E-2</v>
      </c>
      <c r="O167" s="8">
        <v>0.42524705323947476</v>
      </c>
      <c r="P167" s="26">
        <f t="shared" si="29"/>
        <v>4.2524705323947476E-3</v>
      </c>
      <c r="AF167" s="8">
        <v>0.42524705323947476</v>
      </c>
      <c r="AG167" s="8">
        <f t="shared" si="30"/>
        <v>-0.42524705323947476</v>
      </c>
      <c r="AH167" s="8">
        <v>-0.75023524251882634</v>
      </c>
      <c r="AI167" s="7">
        <f t="shared" si="31"/>
        <v>-7.5023524251882634E-3</v>
      </c>
    </row>
    <row r="168" spans="1:35" x14ac:dyDescent="0.35">
      <c r="A168" s="9">
        <v>43846</v>
      </c>
      <c r="B168" s="10">
        <f>Расчеты!G172/360</f>
        <v>1.7583333333333333E-2</v>
      </c>
      <c r="C168" s="34">
        <f>SNGS!C159</f>
        <v>53.07</v>
      </c>
      <c r="D168" s="34">
        <f>'FXGD ETF'!C159</f>
        <v>658.6</v>
      </c>
      <c r="E168" s="34">
        <f t="shared" si="22"/>
        <v>1924163.6500549172</v>
      </c>
      <c r="F168" s="3">
        <f t="shared" si="23"/>
        <v>3.3920962618116945E-3</v>
      </c>
      <c r="G168" s="3">
        <f t="shared" si="24"/>
        <v>-1.4191237071521638E-2</v>
      </c>
      <c r="H168" s="34">
        <v>3157.23</v>
      </c>
      <c r="I168" s="3">
        <f t="shared" si="25"/>
        <v>0.78528265387229901</v>
      </c>
      <c r="J168" s="3">
        <f t="shared" si="26"/>
        <v>0.76769932053896572</v>
      </c>
      <c r="K168" s="3">
        <f t="shared" si="32"/>
        <v>2.0139120962013005E-4</v>
      </c>
      <c r="L168" s="3">
        <f t="shared" si="27"/>
        <v>0.58936224675598969</v>
      </c>
      <c r="M168" s="3">
        <f t="shared" si="28"/>
        <v>-1.0894603057414543E-2</v>
      </c>
      <c r="O168" s="8">
        <v>0.43070332494798969</v>
      </c>
      <c r="P168" s="26">
        <f t="shared" si="29"/>
        <v>4.3070332494798969E-3</v>
      </c>
      <c r="AF168" s="8">
        <v>0.43070332494798969</v>
      </c>
      <c r="AG168" s="8">
        <f t="shared" si="30"/>
        <v>-0.43070332494798969</v>
      </c>
      <c r="AH168" s="8">
        <v>-0.74040679994575864</v>
      </c>
      <c r="AI168" s="7">
        <f t="shared" si="31"/>
        <v>-7.4040679994575864E-3</v>
      </c>
    </row>
    <row r="169" spans="1:35" x14ac:dyDescent="0.35">
      <c r="A169" s="9">
        <v>43847</v>
      </c>
      <c r="B169" s="10">
        <f>Расчеты!G173/360</f>
        <v>1.7499999999999998E-2</v>
      </c>
      <c r="C169" s="34">
        <f>SNGS!C160</f>
        <v>53.774999999999999</v>
      </c>
      <c r="D169" s="34">
        <f>'FXGD ETF'!C160</f>
        <v>659</v>
      </c>
      <c r="E169" s="34">
        <f t="shared" si="22"/>
        <v>1947232.9488813612</v>
      </c>
      <c r="F169" s="3">
        <f t="shared" si="23"/>
        <v>1.1989260282401437</v>
      </c>
      <c r="G169" s="3">
        <f t="shared" si="24"/>
        <v>1.1814260282401436</v>
      </c>
      <c r="H169" s="34">
        <v>3196.88</v>
      </c>
      <c r="I169" s="3">
        <f t="shared" si="25"/>
        <v>1.2558476892719383</v>
      </c>
      <c r="J169" s="3">
        <f t="shared" si="26"/>
        <v>1.2383476892719383</v>
      </c>
      <c r="K169" s="3">
        <f t="shared" si="32"/>
        <v>1.3957674602032808</v>
      </c>
      <c r="L169" s="3">
        <f t="shared" si="27"/>
        <v>1.5335049995251491</v>
      </c>
      <c r="M169" s="3">
        <f t="shared" si="28"/>
        <v>1.4630161921169056</v>
      </c>
      <c r="O169" s="8">
        <v>0.47740871271662044</v>
      </c>
      <c r="P169" s="26">
        <f t="shared" si="29"/>
        <v>4.7740871271662044E-3</v>
      </c>
      <c r="AF169" s="8">
        <v>0.47740871271662044</v>
      </c>
      <c r="AG169" s="8">
        <f t="shared" si="30"/>
        <v>-0.47740871271662044</v>
      </c>
      <c r="AH169" s="8">
        <v>-0.72264473010046348</v>
      </c>
      <c r="AI169" s="7">
        <f t="shared" si="31"/>
        <v>-7.2264473010046348E-3</v>
      </c>
    </row>
    <row r="170" spans="1:35" x14ac:dyDescent="0.35">
      <c r="A170" s="9">
        <v>43850</v>
      </c>
      <c r="B170" s="10">
        <f>Расчеты!G174/360</f>
        <v>1.7527777777777778E-2</v>
      </c>
      <c r="C170" s="34">
        <f>SNGS!C161</f>
        <v>54.17</v>
      </c>
      <c r="D170" s="34">
        <f>'FXGD ETF'!C161</f>
        <v>662.6</v>
      </c>
      <c r="E170" s="34">
        <f t="shared" si="22"/>
        <v>1961165.90235427</v>
      </c>
      <c r="F170" s="3">
        <f t="shared" si="23"/>
        <v>0.71552576598052919</v>
      </c>
      <c r="G170" s="3">
        <f t="shared" si="24"/>
        <v>0.69799798820275138</v>
      </c>
      <c r="H170" s="34">
        <v>3219.92</v>
      </c>
      <c r="I170" s="3">
        <f t="shared" si="25"/>
        <v>0.72070268511799096</v>
      </c>
      <c r="J170" s="3">
        <f t="shared" si="26"/>
        <v>0.70317490734021315</v>
      </c>
      <c r="K170" s="3">
        <f t="shared" si="32"/>
        <v>0.48720119153508828</v>
      </c>
      <c r="L170" s="3">
        <f t="shared" si="27"/>
        <v>0.49445495031291736</v>
      </c>
      <c r="M170" s="3">
        <f t="shared" si="28"/>
        <v>0.4908146706781249</v>
      </c>
      <c r="O170" s="8">
        <v>0.48449433143709086</v>
      </c>
      <c r="P170" s="26">
        <f t="shared" si="29"/>
        <v>4.8449433143709086E-3</v>
      </c>
      <c r="AF170" s="8">
        <v>0.48449433143709086</v>
      </c>
      <c r="AG170" s="8">
        <f t="shared" si="30"/>
        <v>-0.48449433143709086</v>
      </c>
      <c r="AH170" s="8">
        <v>-0.71552576598052919</v>
      </c>
      <c r="AI170" s="7">
        <f t="shared" si="31"/>
        <v>-7.1552576598052919E-3</v>
      </c>
    </row>
    <row r="171" spans="1:35" x14ac:dyDescent="0.35">
      <c r="A171" s="9">
        <v>43851</v>
      </c>
      <c r="B171" s="10">
        <f>Расчеты!G175/360</f>
        <v>1.7499999999999998E-2</v>
      </c>
      <c r="C171" s="34">
        <f>SNGS!C162</f>
        <v>52.04</v>
      </c>
      <c r="D171" s="34">
        <f>'FXGD ETF'!C162</f>
        <v>663</v>
      </c>
      <c r="E171" s="34">
        <f t="shared" si="22"/>
        <v>1891947.2622797024</v>
      </c>
      <c r="F171" s="3">
        <f t="shared" si="23"/>
        <v>-3.5294637741495771</v>
      </c>
      <c r="G171" s="3">
        <f t="shared" si="24"/>
        <v>-3.5469637741495772</v>
      </c>
      <c r="H171" s="34">
        <v>3209.22</v>
      </c>
      <c r="I171" s="3">
        <f t="shared" si="25"/>
        <v>-0.33230639270541706</v>
      </c>
      <c r="J171" s="3">
        <f t="shared" si="26"/>
        <v>-0.34980639270541708</v>
      </c>
      <c r="K171" s="3">
        <f t="shared" si="32"/>
        <v>12.580952015129412</v>
      </c>
      <c r="L171" s="3">
        <f t="shared" si="27"/>
        <v>0.12236451237757646</v>
      </c>
      <c r="M171" s="3">
        <f t="shared" si="28"/>
        <v>1.2407506028920552</v>
      </c>
      <c r="O171" s="8">
        <v>0.49654165361487923</v>
      </c>
      <c r="P171" s="26">
        <f t="shared" si="29"/>
        <v>4.9654165361487923E-3</v>
      </c>
      <c r="AF171" s="8">
        <v>0.49654165361487923</v>
      </c>
      <c r="AG171" s="8">
        <f t="shared" si="30"/>
        <v>-0.49654165361487923</v>
      </c>
      <c r="AH171" s="8">
        <v>-0.70668341761601638</v>
      </c>
      <c r="AI171" s="7">
        <f t="shared" si="31"/>
        <v>-7.0668341761601638E-3</v>
      </c>
    </row>
    <row r="172" spans="1:35" x14ac:dyDescent="0.35">
      <c r="A172" s="9">
        <v>43852</v>
      </c>
      <c r="B172" s="10">
        <f>Расчеты!G176/360</f>
        <v>1.7499999999999998E-2</v>
      </c>
      <c r="C172" s="34">
        <f>SNGS!C163</f>
        <v>49.5</v>
      </c>
      <c r="D172" s="34">
        <f>'FXGD ETF'!C163</f>
        <v>663</v>
      </c>
      <c r="E172" s="34">
        <f t="shared" si="22"/>
        <v>1809262.4775147748</v>
      </c>
      <c r="F172" s="3">
        <f t="shared" si="23"/>
        <v>-4.370353572398022</v>
      </c>
      <c r="G172" s="3">
        <f t="shared" si="24"/>
        <v>-4.3878535723980221</v>
      </c>
      <c r="H172" s="34">
        <v>3174.62</v>
      </c>
      <c r="I172" s="3">
        <f t="shared" si="25"/>
        <v>-1.0781435987560761</v>
      </c>
      <c r="J172" s="3">
        <f t="shared" si="26"/>
        <v>-1.0956435987560762</v>
      </c>
      <c r="K172" s="3">
        <f t="shared" si="32"/>
        <v>19.253258972806083</v>
      </c>
      <c r="L172" s="3">
        <f t="shared" si="27"/>
        <v>1.2004348954951658</v>
      </c>
      <c r="M172" s="3">
        <f t="shared" si="28"/>
        <v>4.8075236788768745</v>
      </c>
      <c r="O172" s="8">
        <v>0.51709206866699109</v>
      </c>
      <c r="P172" s="26">
        <f t="shared" si="29"/>
        <v>5.1709206866699109E-3</v>
      </c>
      <c r="AF172" s="8">
        <v>0.51709206866699109</v>
      </c>
      <c r="AG172" s="8">
        <f t="shared" si="30"/>
        <v>-0.51709206866699109</v>
      </c>
      <c r="AH172" s="8">
        <v>-0.69735059119468978</v>
      </c>
      <c r="AI172" s="7">
        <f t="shared" si="31"/>
        <v>-6.9735059119468978E-3</v>
      </c>
    </row>
    <row r="173" spans="1:35" x14ac:dyDescent="0.35">
      <c r="A173" s="9">
        <v>43853</v>
      </c>
      <c r="B173" s="10">
        <f>Расчеты!G177/360</f>
        <v>1.7583333333333333E-2</v>
      </c>
      <c r="C173" s="34">
        <f>SNGS!C164</f>
        <v>47.8</v>
      </c>
      <c r="D173" s="34">
        <f>'FXGD ETF'!C164</f>
        <v>667.8</v>
      </c>
      <c r="E173" s="34">
        <f t="shared" si="22"/>
        <v>1755354.9243723913</v>
      </c>
      <c r="F173" s="3">
        <f t="shared" si="23"/>
        <v>-2.9795319259829811</v>
      </c>
      <c r="G173" s="3">
        <f t="shared" si="24"/>
        <v>-2.9971152593163146</v>
      </c>
      <c r="H173" s="34">
        <v>3141.2</v>
      </c>
      <c r="I173" s="3">
        <f t="shared" si="25"/>
        <v>-1.052724420560569</v>
      </c>
      <c r="J173" s="3">
        <f t="shared" si="26"/>
        <v>-1.0703077538939023</v>
      </c>
      <c r="K173" s="3">
        <f t="shared" si="32"/>
        <v>8.9826998776267004</v>
      </c>
      <c r="L173" s="3">
        <f t="shared" si="27"/>
        <v>1.1455586880454101</v>
      </c>
      <c r="M173" s="3">
        <f t="shared" si="28"/>
        <v>3.2078357013599854</v>
      </c>
      <c r="O173" s="8">
        <v>0.51988422056019612</v>
      </c>
      <c r="P173" s="26">
        <f t="shared" si="29"/>
        <v>5.1988422056019612E-3</v>
      </c>
      <c r="AF173" s="8">
        <v>0.51988422056019612</v>
      </c>
      <c r="AG173" s="8">
        <f t="shared" si="30"/>
        <v>-0.51988422056019612</v>
      </c>
      <c r="AH173" s="8">
        <v>-0.69714158978595453</v>
      </c>
      <c r="AI173" s="7">
        <f t="shared" si="31"/>
        <v>-6.9714158978595453E-3</v>
      </c>
    </row>
    <row r="174" spans="1:35" x14ac:dyDescent="0.35">
      <c r="A174" s="9">
        <v>43854</v>
      </c>
      <c r="B174" s="10">
        <f>Расчеты!G178/360</f>
        <v>1.7583333333333333E-2</v>
      </c>
      <c r="C174" s="34">
        <f>SNGS!C165</f>
        <v>48.08</v>
      </c>
      <c r="D174" s="34">
        <f>'FXGD ETF'!C165</f>
        <v>669.8</v>
      </c>
      <c r="E174" s="34">
        <f t="shared" si="22"/>
        <v>1765066.7230076855</v>
      </c>
      <c r="F174" s="3">
        <f t="shared" si="23"/>
        <v>0.55326694906254748</v>
      </c>
      <c r="G174" s="3">
        <f t="shared" si="24"/>
        <v>0.53568361572921419</v>
      </c>
      <c r="H174" s="34">
        <v>3146.2</v>
      </c>
      <c r="I174" s="3">
        <f t="shared" si="25"/>
        <v>0.15917483764167351</v>
      </c>
      <c r="J174" s="3">
        <f t="shared" si="26"/>
        <v>0.14159150430834017</v>
      </c>
      <c r="K174" s="3">
        <f t="shared" si="32"/>
        <v>0.28695693616072443</v>
      </c>
      <c r="L174" s="3">
        <f t="shared" si="27"/>
        <v>2.0048154092298712E-2</v>
      </c>
      <c r="M174" s="3">
        <f t="shared" si="28"/>
        <v>7.5848248984430267E-2</v>
      </c>
      <c r="O174" s="8">
        <v>0.54467433300917634</v>
      </c>
      <c r="P174" s="26">
        <f t="shared" si="29"/>
        <v>5.4467433300917634E-3</v>
      </c>
      <c r="AF174" s="8">
        <v>0.54467433300917634</v>
      </c>
      <c r="AG174" s="8">
        <f t="shared" si="30"/>
        <v>-0.54467433300917634</v>
      </c>
      <c r="AH174" s="8">
        <v>-0.68998355462508432</v>
      </c>
      <c r="AI174" s="7">
        <f t="shared" si="31"/>
        <v>-6.8998355462508432E-3</v>
      </c>
    </row>
    <row r="175" spans="1:35" x14ac:dyDescent="0.35">
      <c r="A175" s="9">
        <v>43857</v>
      </c>
      <c r="B175" s="10">
        <f>Расчеты!G179/360</f>
        <v>1.7611111111111112E-2</v>
      </c>
      <c r="C175" s="34">
        <f>SNGS!C166</f>
        <v>46.5</v>
      </c>
      <c r="D175" s="34">
        <f>'FXGD ETF'!C166</f>
        <v>688.4</v>
      </c>
      <c r="E175" s="34">
        <f t="shared" si="22"/>
        <v>1719184.4269078691</v>
      </c>
      <c r="F175" s="3">
        <f t="shared" si="23"/>
        <v>-2.5994652497687287</v>
      </c>
      <c r="G175" s="3">
        <f t="shared" si="24"/>
        <v>-2.6170763608798397</v>
      </c>
      <c r="H175" s="34">
        <v>3085.16</v>
      </c>
      <c r="I175" s="3">
        <f t="shared" si="25"/>
        <v>-1.9401182378742554</v>
      </c>
      <c r="J175" s="3">
        <f t="shared" si="26"/>
        <v>-1.9577293489853664</v>
      </c>
      <c r="K175" s="3">
        <f t="shared" si="32"/>
        <v>6.8490886786760656</v>
      </c>
      <c r="L175" s="3">
        <f t="shared" si="27"/>
        <v>3.8327042038786665</v>
      </c>
      <c r="M175" s="3">
        <f t="shared" si="28"/>
        <v>5.1235272002302805</v>
      </c>
      <c r="O175" s="8">
        <v>0.55326694906254748</v>
      </c>
      <c r="P175" s="26">
        <f t="shared" si="29"/>
        <v>5.5326694906254748E-3</v>
      </c>
      <c r="AF175" s="8">
        <v>0.55326694906254748</v>
      </c>
      <c r="AG175" s="8">
        <f t="shared" si="30"/>
        <v>-0.55326694906254748</v>
      </c>
      <c r="AH175" s="8">
        <v>-0.68756872314932327</v>
      </c>
      <c r="AI175" s="7">
        <f t="shared" si="31"/>
        <v>-6.8756872314932327E-3</v>
      </c>
    </row>
    <row r="176" spans="1:35" x14ac:dyDescent="0.35">
      <c r="A176" s="9">
        <v>43858</v>
      </c>
      <c r="B176" s="10">
        <f>Расчеты!G180/360</f>
        <v>1.7694444444444443E-2</v>
      </c>
      <c r="C176" s="34">
        <f>SNGS!C167</f>
        <v>47.395000000000003</v>
      </c>
      <c r="D176" s="34">
        <f>'FXGD ETF'!C167</f>
        <v>679.8</v>
      </c>
      <c r="E176" s="34">
        <f t="shared" si="22"/>
        <v>1745752.5759342068</v>
      </c>
      <c r="F176" s="3">
        <f t="shared" si="23"/>
        <v>1.5453926065467805</v>
      </c>
      <c r="G176" s="3">
        <f t="shared" si="24"/>
        <v>1.527698162102336</v>
      </c>
      <c r="H176" s="34">
        <v>3113.1</v>
      </c>
      <c r="I176" s="3">
        <f t="shared" si="25"/>
        <v>0.90562564016130054</v>
      </c>
      <c r="J176" s="3">
        <f t="shared" si="26"/>
        <v>0.88793119571685608</v>
      </c>
      <c r="K176" s="3">
        <f t="shared" si="32"/>
        <v>2.3338616744908554</v>
      </c>
      <c r="L176" s="3">
        <f t="shared" si="27"/>
        <v>0.7884218083271658</v>
      </c>
      <c r="M176" s="3">
        <f t="shared" si="28"/>
        <v>1.3564908557699706</v>
      </c>
      <c r="O176" s="8">
        <v>0.56318784656734788</v>
      </c>
      <c r="P176" s="26">
        <f t="shared" si="29"/>
        <v>5.6318784656734788E-3</v>
      </c>
      <c r="AF176" s="8">
        <v>0.56318784656734788</v>
      </c>
      <c r="AG176" s="8">
        <f t="shared" si="30"/>
        <v>-0.56318784656734788</v>
      </c>
      <c r="AH176" s="8">
        <v>-0.66666594577535765</v>
      </c>
      <c r="AI176" s="7">
        <f t="shared" si="31"/>
        <v>-6.6666594577535765E-3</v>
      </c>
    </row>
    <row r="177" spans="1:35" x14ac:dyDescent="0.35">
      <c r="A177" s="9">
        <v>43859</v>
      </c>
      <c r="B177" s="10">
        <f>Расчеты!G181/360</f>
        <v>1.7694444444444443E-2</v>
      </c>
      <c r="C177" s="34">
        <f>SNGS!C168</f>
        <v>47.935000000000002</v>
      </c>
      <c r="D177" s="34">
        <f>'FXGD ETF'!C168</f>
        <v>678</v>
      </c>
      <c r="E177" s="34">
        <f t="shared" si="22"/>
        <v>1762793.9845379628</v>
      </c>
      <c r="F177" s="3">
        <f t="shared" si="23"/>
        <v>0.97616402454034912</v>
      </c>
      <c r="G177" s="3">
        <f t="shared" si="24"/>
        <v>0.95846958009590466</v>
      </c>
      <c r="H177" s="34">
        <v>3128.8</v>
      </c>
      <c r="I177" s="3">
        <f t="shared" si="25"/>
        <v>0.50432045228230304</v>
      </c>
      <c r="J177" s="3">
        <f t="shared" si="26"/>
        <v>0.48662600783785859</v>
      </c>
      <c r="K177" s="3">
        <f t="shared" si="32"/>
        <v>0.9186639359692198</v>
      </c>
      <c r="L177" s="3">
        <f t="shared" si="27"/>
        <v>0.23680487150421162</v>
      </c>
      <c r="M177" s="3">
        <f t="shared" si="28"/>
        <v>0.46641622539609873</v>
      </c>
      <c r="O177" s="8">
        <v>0.57055748960237462</v>
      </c>
      <c r="P177" s="26">
        <f t="shared" si="29"/>
        <v>5.7055748960237462E-3</v>
      </c>
      <c r="AF177" s="8">
        <v>0.57055748960237462</v>
      </c>
      <c r="AG177" s="8">
        <f t="shared" si="30"/>
        <v>-0.57055748960237462</v>
      </c>
      <c r="AH177" s="8">
        <v>-0.6588166393829753</v>
      </c>
      <c r="AI177" s="7">
        <f t="shared" si="31"/>
        <v>-6.588166393829753E-3</v>
      </c>
    </row>
    <row r="178" spans="1:35" x14ac:dyDescent="0.35">
      <c r="A178" s="9">
        <v>43860</v>
      </c>
      <c r="B178" s="10">
        <f>Расчеты!G182/360</f>
        <v>1.7722222222222223E-2</v>
      </c>
      <c r="C178" s="34">
        <f>SNGS!C169</f>
        <v>47.9</v>
      </c>
      <c r="D178" s="34">
        <f>'FXGD ETF'!C169</f>
        <v>688.2</v>
      </c>
      <c r="E178" s="34">
        <f t="shared" si="22"/>
        <v>1764699.0236759605</v>
      </c>
      <c r="F178" s="3">
        <f t="shared" si="23"/>
        <v>0.10806930104749757</v>
      </c>
      <c r="G178" s="3">
        <f t="shared" si="24"/>
        <v>9.0347078825275345E-2</v>
      </c>
      <c r="H178" s="34">
        <v>3108.58</v>
      </c>
      <c r="I178" s="3">
        <f t="shared" si="25"/>
        <v>-0.64625415494758975</v>
      </c>
      <c r="J178" s="3">
        <f t="shared" si="26"/>
        <v>-0.66397637716981195</v>
      </c>
      <c r="K178" s="3">
        <f t="shared" si="32"/>
        <v>8.1625946522605169E-3</v>
      </c>
      <c r="L178" s="3">
        <f t="shared" si="27"/>
        <v>0.44086462943954835</v>
      </c>
      <c r="M178" s="3">
        <f t="shared" si="28"/>
        <v>-5.9988326086281754E-2</v>
      </c>
      <c r="O178" s="8">
        <v>0.58113118050897583</v>
      </c>
      <c r="P178" s="26">
        <f t="shared" si="29"/>
        <v>5.8113118050897583E-3</v>
      </c>
      <c r="AF178" s="8">
        <v>0.58113118050897583</v>
      </c>
      <c r="AG178" s="8">
        <f t="shared" si="30"/>
        <v>-0.58113118050897583</v>
      </c>
      <c r="AH178" s="8">
        <v>-0.65699922899116192</v>
      </c>
      <c r="AI178" s="7">
        <f t="shared" si="31"/>
        <v>-6.5699922899116192E-3</v>
      </c>
    </row>
    <row r="179" spans="1:35" x14ac:dyDescent="0.35">
      <c r="A179" s="9">
        <v>43861</v>
      </c>
      <c r="B179" s="10">
        <f>Расчеты!G183/360</f>
        <v>1.7666666666666667E-2</v>
      </c>
      <c r="C179" s="34">
        <f>SNGS!C170</f>
        <v>46.045000000000002</v>
      </c>
      <c r="D179" s="34">
        <f>'FXGD ETF'!C170</f>
        <v>696.8</v>
      </c>
      <c r="E179" s="34">
        <f t="shared" si="22"/>
        <v>1706879.9323762641</v>
      </c>
      <c r="F179" s="3">
        <f t="shared" si="23"/>
        <v>-3.2764279077605041</v>
      </c>
      <c r="G179" s="3">
        <f t="shared" si="24"/>
        <v>-3.2940945744271706</v>
      </c>
      <c r="H179" s="34">
        <v>3076.65</v>
      </c>
      <c r="I179" s="3">
        <f t="shared" si="25"/>
        <v>-1.0271570942359531</v>
      </c>
      <c r="J179" s="3">
        <f t="shared" si="26"/>
        <v>-1.0448237609026199</v>
      </c>
      <c r="K179" s="3">
        <f t="shared" si="32"/>
        <v>10.851059065270523</v>
      </c>
      <c r="L179" s="3">
        <f t="shared" si="27"/>
        <v>1.091656691346695</v>
      </c>
      <c r="M179" s="3">
        <f t="shared" si="28"/>
        <v>3.4417482820219112</v>
      </c>
      <c r="O179" s="8">
        <v>0.64205373256205345</v>
      </c>
      <c r="P179" s="26">
        <f t="shared" si="29"/>
        <v>6.4205373256205345E-3</v>
      </c>
      <c r="AF179" s="8">
        <v>0.64205373256205345</v>
      </c>
      <c r="AG179" s="8">
        <f t="shared" si="30"/>
        <v>-0.64205373256205345</v>
      </c>
      <c r="AH179" s="8">
        <v>-0.64986182019148853</v>
      </c>
      <c r="AI179" s="7">
        <f t="shared" si="31"/>
        <v>-6.4986182019148853E-3</v>
      </c>
    </row>
    <row r="180" spans="1:35" x14ac:dyDescent="0.35">
      <c r="A180" s="9">
        <v>43864</v>
      </c>
      <c r="B180" s="10">
        <f>Расчеты!G184/360</f>
        <v>1.7611111111111112E-2</v>
      </c>
      <c r="C180" s="34">
        <f>SNGS!C171</f>
        <v>44.454999999999998</v>
      </c>
      <c r="D180" s="34">
        <f>'FXGD ETF'!C171</f>
        <v>689.2</v>
      </c>
      <c r="E180" s="34">
        <f t="shared" si="22"/>
        <v>1652852.1854415345</v>
      </c>
      <c r="F180" s="3">
        <f t="shared" si="23"/>
        <v>-3.1652927607810022</v>
      </c>
      <c r="G180" s="3">
        <f t="shared" si="24"/>
        <v>-3.1829038718921132</v>
      </c>
      <c r="H180" s="34">
        <v>3070.84</v>
      </c>
      <c r="I180" s="3">
        <f t="shared" si="25"/>
        <v>-0.1888417597061709</v>
      </c>
      <c r="J180" s="3">
        <f t="shared" si="26"/>
        <v>-0.206452870817282</v>
      </c>
      <c r="K180" s="3">
        <f t="shared" si="32"/>
        <v>10.130877057705806</v>
      </c>
      <c r="L180" s="3">
        <f t="shared" si="27"/>
        <v>4.2622787868697332E-2</v>
      </c>
      <c r="M180" s="3">
        <f t="shared" si="28"/>
        <v>0.65711964188756911</v>
      </c>
      <c r="O180" s="8">
        <v>0.64858044102666934</v>
      </c>
      <c r="P180" s="26">
        <f t="shared" si="29"/>
        <v>6.4858044102666934E-3</v>
      </c>
      <c r="AF180" s="8">
        <v>0.64858044102666934</v>
      </c>
      <c r="AG180" s="8">
        <f t="shared" si="30"/>
        <v>-0.64858044102666934</v>
      </c>
      <c r="AH180" s="8">
        <v>-0.64858044102666934</v>
      </c>
      <c r="AI180" s="7">
        <f t="shared" si="31"/>
        <v>-6.4858044102666934E-3</v>
      </c>
    </row>
    <row r="181" spans="1:35" x14ac:dyDescent="0.35">
      <c r="A181" s="9">
        <v>43865</v>
      </c>
      <c r="B181" s="10">
        <f>Расчеты!G185/360</f>
        <v>1.7499999999999998E-2</v>
      </c>
      <c r="C181" s="34">
        <f>SNGS!C172</f>
        <v>46.704999999999998</v>
      </c>
      <c r="D181" s="34">
        <f>'FXGD ETF'!C172</f>
        <v>682.6</v>
      </c>
      <c r="E181" s="34">
        <f t="shared" si="22"/>
        <v>1724126.6778363544</v>
      </c>
      <c r="F181" s="3">
        <f t="shared" si="23"/>
        <v>4.3122121277759495</v>
      </c>
      <c r="G181" s="3">
        <f t="shared" si="24"/>
        <v>4.2947121277759495</v>
      </c>
      <c r="H181" s="34">
        <v>3097.6</v>
      </c>
      <c r="I181" s="3">
        <f t="shared" si="25"/>
        <v>0.87142280288128315</v>
      </c>
      <c r="J181" s="3">
        <f t="shared" si="26"/>
        <v>0.85392280288128319</v>
      </c>
      <c r="K181" s="3">
        <f t="shared" si="32"/>
        <v>18.444552260465823</v>
      </c>
      <c r="L181" s="3">
        <f t="shared" si="27"/>
        <v>0.7291841532806268</v>
      </c>
      <c r="M181" s="3">
        <f t="shared" si="28"/>
        <v>3.6673526177186786</v>
      </c>
      <c r="O181" s="8">
        <v>0.64986182019148853</v>
      </c>
      <c r="P181" s="26">
        <f t="shared" si="29"/>
        <v>6.4986182019148853E-3</v>
      </c>
      <c r="AF181" s="8">
        <v>0.64986182019148853</v>
      </c>
      <c r="AG181" s="8">
        <f t="shared" si="30"/>
        <v>-0.64986182019148853</v>
      </c>
      <c r="AH181" s="8">
        <v>-0.64205373256205345</v>
      </c>
      <c r="AI181" s="7">
        <f t="shared" si="31"/>
        <v>-6.4205373256205345E-3</v>
      </c>
    </row>
    <row r="182" spans="1:35" x14ac:dyDescent="0.35">
      <c r="A182" s="9">
        <v>43866</v>
      </c>
      <c r="B182" s="10">
        <f>Расчеты!G186/360</f>
        <v>1.7499999999999998E-2</v>
      </c>
      <c r="C182" s="34">
        <f>SNGS!C173</f>
        <v>46.875</v>
      </c>
      <c r="D182" s="34">
        <f>'FXGD ETF'!C173</f>
        <v>673</v>
      </c>
      <c r="E182" s="34">
        <f t="shared" si="22"/>
        <v>1726795.3845972174</v>
      </c>
      <c r="F182" s="3">
        <f t="shared" si="23"/>
        <v>0.15478600239584583</v>
      </c>
      <c r="G182" s="3">
        <f t="shared" si="24"/>
        <v>0.13728600239584585</v>
      </c>
      <c r="H182" s="34">
        <v>3114.25</v>
      </c>
      <c r="I182" s="3">
        <f t="shared" si="25"/>
        <v>0.5375129132231482</v>
      </c>
      <c r="J182" s="3">
        <f t="shared" si="26"/>
        <v>0.52001291322314824</v>
      </c>
      <c r="K182" s="3">
        <f t="shared" si="32"/>
        <v>1.8847446453832191E-2</v>
      </c>
      <c r="L182" s="3">
        <f t="shared" si="27"/>
        <v>0.2704134299188255</v>
      </c>
      <c r="M182" s="3">
        <f t="shared" si="28"/>
        <v>7.1390494050623907E-2</v>
      </c>
      <c r="O182" s="8">
        <v>0.65699922899116192</v>
      </c>
      <c r="P182" s="26">
        <f t="shared" si="29"/>
        <v>6.5699922899116192E-3</v>
      </c>
      <c r="AF182" s="8">
        <v>0.65699922899116192</v>
      </c>
      <c r="AG182" s="8">
        <f t="shared" si="30"/>
        <v>-0.65699922899116192</v>
      </c>
      <c r="AH182" s="8">
        <v>-0.61876295980026752</v>
      </c>
      <c r="AI182" s="7">
        <f t="shared" si="31"/>
        <v>-6.1876295980026752E-3</v>
      </c>
    </row>
    <row r="183" spans="1:35" x14ac:dyDescent="0.35">
      <c r="A183" s="9">
        <v>43867</v>
      </c>
      <c r="B183" s="10">
        <f>Расчеты!G187/360</f>
        <v>1.7499999999999998E-2</v>
      </c>
      <c r="C183" s="34">
        <f>SNGS!C174</f>
        <v>46.965000000000003</v>
      </c>
      <c r="D183" s="34">
        <f>'FXGD ETF'!C174</f>
        <v>678</v>
      </c>
      <c r="E183" s="34">
        <f t="shared" si="22"/>
        <v>1731217.5116159236</v>
      </c>
      <c r="F183" s="3">
        <f t="shared" si="23"/>
        <v>0.25608865173898376</v>
      </c>
      <c r="G183" s="3">
        <f t="shared" si="24"/>
        <v>0.23858865173898378</v>
      </c>
      <c r="H183" s="34">
        <v>3096.68</v>
      </c>
      <c r="I183" s="3">
        <f t="shared" si="25"/>
        <v>-0.56418078188970044</v>
      </c>
      <c r="J183" s="3">
        <f t="shared" si="26"/>
        <v>-0.5816807818897004</v>
      </c>
      <c r="K183" s="3">
        <f t="shared" si="32"/>
        <v>5.6924544738626084E-2</v>
      </c>
      <c r="L183" s="3">
        <f t="shared" si="27"/>
        <v>0.33835253201981319</v>
      </c>
      <c r="M183" s="3">
        <f t="shared" si="28"/>
        <v>-0.13878243349354152</v>
      </c>
      <c r="O183" s="8">
        <v>0.69714158978595453</v>
      </c>
      <c r="P183" s="26">
        <f t="shared" si="29"/>
        <v>6.9714158978595453E-3</v>
      </c>
      <c r="AF183" s="8">
        <v>0.69714158978595453</v>
      </c>
      <c r="AG183" s="8">
        <f t="shared" si="30"/>
        <v>-0.69714158978595453</v>
      </c>
      <c r="AH183" s="8">
        <v>-0.58113118050897583</v>
      </c>
      <c r="AI183" s="7">
        <f t="shared" si="31"/>
        <v>-5.8113118050897583E-3</v>
      </c>
    </row>
    <row r="184" spans="1:35" x14ac:dyDescent="0.35">
      <c r="A184" s="9">
        <v>43868</v>
      </c>
      <c r="B184" s="10">
        <f>Расчеты!G188/360</f>
        <v>1.7555555555555557E-2</v>
      </c>
      <c r="C184" s="34">
        <f>SNGS!C175</f>
        <v>46.125</v>
      </c>
      <c r="D184" s="34">
        <f>'FXGD ETF'!C175</f>
        <v>690.2</v>
      </c>
      <c r="E184" s="34">
        <f t="shared" si="22"/>
        <v>1707514.2740073469</v>
      </c>
      <c r="F184" s="3">
        <f t="shared" si="23"/>
        <v>-1.3691657720381945</v>
      </c>
      <c r="G184" s="3">
        <f t="shared" si="24"/>
        <v>-1.38672132759375</v>
      </c>
      <c r="H184" s="34">
        <v>3087.63</v>
      </c>
      <c r="I184" s="3">
        <f t="shared" si="25"/>
        <v>-0.29224847255769903</v>
      </c>
      <c r="J184" s="3">
        <f t="shared" si="26"/>
        <v>-0.30980402811325458</v>
      </c>
      <c r="K184" s="3">
        <f t="shared" si="32"/>
        <v>1.9229960404033726</v>
      </c>
      <c r="L184" s="3">
        <f t="shared" si="27"/>
        <v>9.5978535835198234E-2</v>
      </c>
      <c r="M184" s="3">
        <f t="shared" si="28"/>
        <v>0.42961185315910383</v>
      </c>
      <c r="O184" s="8">
        <v>0.69735059119468978</v>
      </c>
      <c r="P184" s="26">
        <f t="shared" si="29"/>
        <v>6.9735059119468978E-3</v>
      </c>
      <c r="AF184" s="8">
        <v>0.69735059119468978</v>
      </c>
      <c r="AG184" s="8">
        <f t="shared" si="30"/>
        <v>-0.69735059119468978</v>
      </c>
      <c r="AH184" s="8">
        <v>-0.57055748960237462</v>
      </c>
      <c r="AI184" s="7">
        <f t="shared" si="31"/>
        <v>-5.7055748960237462E-3</v>
      </c>
    </row>
    <row r="185" spans="1:35" x14ac:dyDescent="0.35">
      <c r="A185" s="9">
        <v>43871</v>
      </c>
      <c r="B185" s="10">
        <f>Расчеты!G189/360</f>
        <v>1.7222222222222222E-2</v>
      </c>
      <c r="C185" s="34">
        <f>SNGS!C176</f>
        <v>46.22</v>
      </c>
      <c r="D185" s="34">
        <f>'FXGD ETF'!C176</f>
        <v>694</v>
      </c>
      <c r="E185" s="34">
        <f t="shared" si="22"/>
        <v>1711741.0020670542</v>
      </c>
      <c r="F185" s="3">
        <f t="shared" si="23"/>
        <v>0.2475369092984181</v>
      </c>
      <c r="G185" s="3">
        <f t="shared" si="24"/>
        <v>0.23031468707619587</v>
      </c>
      <c r="H185" s="34">
        <v>3062.41</v>
      </c>
      <c r="I185" s="3">
        <f t="shared" si="25"/>
        <v>-0.81680771335944646</v>
      </c>
      <c r="J185" s="3">
        <f t="shared" si="26"/>
        <v>-0.83402993558166871</v>
      </c>
      <c r="K185" s="3">
        <f t="shared" si="32"/>
        <v>5.3044855083006028E-2</v>
      </c>
      <c r="L185" s="3">
        <f t="shared" si="27"/>
        <v>0.69560593344636246</v>
      </c>
      <c r="M185" s="3">
        <f t="shared" si="28"/>
        <v>-0.19208934362567184</v>
      </c>
      <c r="O185" s="8">
        <v>0.71552576598052919</v>
      </c>
      <c r="P185" s="26">
        <f t="shared" si="29"/>
        <v>7.1552576598052919E-3</v>
      </c>
      <c r="AF185" s="8">
        <v>0.71552576598052919</v>
      </c>
      <c r="AG185" s="8">
        <f t="shared" si="30"/>
        <v>-0.71552576598052919</v>
      </c>
      <c r="AH185" s="8">
        <v>-0.56481387794971027</v>
      </c>
      <c r="AI185" s="7">
        <f t="shared" si="31"/>
        <v>-5.6481387794971027E-3</v>
      </c>
    </row>
    <row r="186" spans="1:35" x14ac:dyDescent="0.35">
      <c r="A186" s="9">
        <v>43872</v>
      </c>
      <c r="B186" s="10">
        <f>Расчеты!G190/360</f>
        <v>1.7027777777777777E-2</v>
      </c>
      <c r="C186" s="34">
        <f>SNGS!C177</f>
        <v>47.725000000000001</v>
      </c>
      <c r="D186" s="34">
        <f>'FXGD ETF'!C177</f>
        <v>682.4</v>
      </c>
      <c r="E186" s="34">
        <f t="shared" si="22"/>
        <v>1757271.1099545748</v>
      </c>
      <c r="F186" s="3">
        <f t="shared" si="23"/>
        <v>2.6598713142081509</v>
      </c>
      <c r="G186" s="3">
        <f t="shared" si="24"/>
        <v>2.6428435364303731</v>
      </c>
      <c r="H186" s="34">
        <v>3097.58</v>
      </c>
      <c r="I186" s="3">
        <f t="shared" si="25"/>
        <v>1.1484419133950041</v>
      </c>
      <c r="J186" s="3">
        <f t="shared" si="26"/>
        <v>1.1314141356172263</v>
      </c>
      <c r="K186" s="3">
        <f t="shared" si="32"/>
        <v>6.9846219580518003</v>
      </c>
      <c r="L186" s="3">
        <f t="shared" si="27"/>
        <v>1.2800979462744753</v>
      </c>
      <c r="M186" s="3">
        <f t="shared" si="28"/>
        <v>2.990150535341944</v>
      </c>
      <c r="O186" s="8">
        <v>0.72264473010046348</v>
      </c>
      <c r="P186" s="26">
        <f t="shared" si="29"/>
        <v>7.2264473010046348E-3</v>
      </c>
      <c r="AF186" s="8">
        <v>0.72264473010046348</v>
      </c>
      <c r="AG186" s="8">
        <f t="shared" si="30"/>
        <v>-0.72264473010046348</v>
      </c>
      <c r="AH186" s="8">
        <v>-0.56318784656734788</v>
      </c>
      <c r="AI186" s="7">
        <f t="shared" si="31"/>
        <v>-5.6318784656734788E-3</v>
      </c>
    </row>
    <row r="187" spans="1:35" x14ac:dyDescent="0.35">
      <c r="A187" s="9">
        <v>43873</v>
      </c>
      <c r="B187" s="10">
        <f>Расчеты!G191/360</f>
        <v>1.6944444444444443E-2</v>
      </c>
      <c r="C187" s="34">
        <f>SNGS!C178</f>
        <v>49</v>
      </c>
      <c r="D187" s="34">
        <f>'FXGD ETF'!C178</f>
        <v>680.6</v>
      </c>
      <c r="E187" s="34">
        <f t="shared" si="22"/>
        <v>1798239.0212363708</v>
      </c>
      <c r="F187" s="3">
        <f t="shared" si="23"/>
        <v>2.3313369832191011</v>
      </c>
      <c r="G187" s="3">
        <f t="shared" si="24"/>
        <v>2.3143925387746567</v>
      </c>
      <c r="H187" s="34">
        <v>3122.27</v>
      </c>
      <c r="I187" s="3">
        <f t="shared" si="25"/>
        <v>0.79707384474332343</v>
      </c>
      <c r="J187" s="3">
        <f t="shared" si="26"/>
        <v>0.78012940029887901</v>
      </c>
      <c r="K187" s="3">
        <f t="shared" si="32"/>
        <v>5.3564128235358011</v>
      </c>
      <c r="L187" s="3">
        <f t="shared" si="27"/>
        <v>0.60860188121068859</v>
      </c>
      <c r="M187" s="3">
        <f t="shared" si="28"/>
        <v>1.805525663330473</v>
      </c>
      <c r="O187" s="8">
        <v>0.75023524251882634</v>
      </c>
      <c r="P187" s="26">
        <f t="shared" si="29"/>
        <v>7.5023524251882634E-3</v>
      </c>
      <c r="AF187" s="8">
        <v>0.75023524251882634</v>
      </c>
      <c r="AG187" s="8">
        <f t="shared" si="30"/>
        <v>-0.75023524251882634</v>
      </c>
      <c r="AH187" s="8">
        <v>-0.55326694906254748</v>
      </c>
      <c r="AI187" s="7">
        <f t="shared" si="31"/>
        <v>-5.5326694906254748E-3</v>
      </c>
    </row>
    <row r="188" spans="1:35" x14ac:dyDescent="0.35">
      <c r="A188" s="9">
        <v>43874</v>
      </c>
      <c r="B188" s="10">
        <f>Расчеты!G192/360</f>
        <v>1.6916666666666667E-2</v>
      </c>
      <c r="C188" s="34">
        <f>SNGS!C179</f>
        <v>48.31</v>
      </c>
      <c r="D188" s="34">
        <f>'FXGD ETF'!C179</f>
        <v>688.4</v>
      </c>
      <c r="E188" s="34">
        <f t="shared" si="22"/>
        <v>1778105.4743190971</v>
      </c>
      <c r="F188" s="3">
        <f t="shared" si="23"/>
        <v>-1.1196257382642516</v>
      </c>
      <c r="G188" s="3">
        <f t="shared" si="24"/>
        <v>-1.1365424049309183</v>
      </c>
      <c r="H188" s="34">
        <v>3110.05</v>
      </c>
      <c r="I188" s="3">
        <f t="shared" si="25"/>
        <v>-0.39138191123765376</v>
      </c>
      <c r="J188" s="3">
        <f t="shared" si="26"/>
        <v>-0.40829857790432045</v>
      </c>
      <c r="K188" s="3">
        <f t="shared" si="32"/>
        <v>1.2917286382061555</v>
      </c>
      <c r="L188" s="3">
        <f t="shared" si="27"/>
        <v>0.16670772871869044</v>
      </c>
      <c r="M188" s="3">
        <f t="shared" si="28"/>
        <v>0.46404864766125026</v>
      </c>
      <c r="O188" s="8">
        <v>0.77417325111690527</v>
      </c>
      <c r="P188" s="26">
        <f t="shared" si="29"/>
        <v>7.7417325111690527E-3</v>
      </c>
      <c r="AF188" s="8">
        <v>0.77417325111690527</v>
      </c>
      <c r="AG188" s="8">
        <f t="shared" si="30"/>
        <v>-0.77417325111690527</v>
      </c>
      <c r="AH188" s="8">
        <v>-0.54467433300917634</v>
      </c>
      <c r="AI188" s="7">
        <f t="shared" si="31"/>
        <v>-5.4467433300917634E-3</v>
      </c>
    </row>
    <row r="189" spans="1:35" x14ac:dyDescent="0.35">
      <c r="A189" s="9">
        <v>43875</v>
      </c>
      <c r="B189" s="10">
        <f>Расчеты!G193/360</f>
        <v>1.6916666666666667E-2</v>
      </c>
      <c r="C189" s="34">
        <f>SNGS!C180</f>
        <v>48.32</v>
      </c>
      <c r="D189" s="34">
        <f>'FXGD ETF'!C180</f>
        <v>690.4</v>
      </c>
      <c r="E189" s="34">
        <f t="shared" si="22"/>
        <v>1779027.9454400092</v>
      </c>
      <c r="F189" s="3">
        <f t="shared" si="23"/>
        <v>5.1879437650637072E-2</v>
      </c>
      <c r="G189" s="3">
        <f t="shared" si="24"/>
        <v>3.4962770983970409E-2</v>
      </c>
      <c r="H189" s="34">
        <v>3096.88</v>
      </c>
      <c r="I189" s="3">
        <f t="shared" si="25"/>
        <v>-0.42346586067748548</v>
      </c>
      <c r="J189" s="3">
        <f t="shared" si="26"/>
        <v>-0.44038252734415217</v>
      </c>
      <c r="K189" s="3">
        <f t="shared" si="32"/>
        <v>1.2223953548775631E-3</v>
      </c>
      <c r="L189" s="3">
        <f t="shared" si="27"/>
        <v>0.19393677039002294</v>
      </c>
      <c r="M189" s="3">
        <f t="shared" si="28"/>
        <v>-1.5396993448875679E-2</v>
      </c>
      <c r="O189" s="8">
        <v>0.81430466209575503</v>
      </c>
      <c r="P189" s="26">
        <f t="shared" si="29"/>
        <v>8.1430466209575503E-3</v>
      </c>
      <c r="AF189" s="8">
        <v>0.81430466209575503</v>
      </c>
      <c r="AG189" s="8">
        <f t="shared" si="30"/>
        <v>-0.81430466209575503</v>
      </c>
      <c r="AH189" s="8">
        <v>-0.54018684269744321</v>
      </c>
      <c r="AI189" s="7">
        <f t="shared" si="31"/>
        <v>-5.4018684269744321E-3</v>
      </c>
    </row>
    <row r="190" spans="1:35" x14ac:dyDescent="0.35">
      <c r="A190" s="9">
        <v>43878</v>
      </c>
      <c r="B190" s="10">
        <f>Расчеты!G194/360</f>
        <v>1.6916666666666667E-2</v>
      </c>
      <c r="C190" s="34">
        <f>SNGS!C181</f>
        <v>48.625</v>
      </c>
      <c r="D190" s="34">
        <f>'FXGD ETF'!C181</f>
        <v>689.6</v>
      </c>
      <c r="E190" s="34">
        <f t="shared" si="22"/>
        <v>1788717.8540358816</v>
      </c>
      <c r="F190" s="3">
        <f t="shared" si="23"/>
        <v>0.54467433300917634</v>
      </c>
      <c r="G190" s="3">
        <f t="shared" si="24"/>
        <v>0.52775766634250965</v>
      </c>
      <c r="H190" s="34">
        <v>3110.06</v>
      </c>
      <c r="I190" s="3">
        <f t="shared" si="25"/>
        <v>0.42558962568779446</v>
      </c>
      <c r="J190" s="3">
        <f t="shared" si="26"/>
        <v>0.40867295902112777</v>
      </c>
      <c r="K190" s="3">
        <f t="shared" si="32"/>
        <v>0.27852815438329176</v>
      </c>
      <c r="L190" s="3">
        <f t="shared" si="27"/>
        <v>0.16701358743508438</v>
      </c>
      <c r="M190" s="3">
        <f t="shared" si="28"/>
        <v>0.21568028715027845</v>
      </c>
      <c r="O190" s="8">
        <v>0.82512183597154287</v>
      </c>
      <c r="P190" s="26">
        <f t="shared" si="29"/>
        <v>8.2512183597154287E-3</v>
      </c>
      <c r="AF190" s="8">
        <v>0.82512183597154287</v>
      </c>
      <c r="AG190" s="8">
        <f t="shared" si="30"/>
        <v>-0.82512183597154287</v>
      </c>
      <c r="AH190" s="8">
        <v>-0.53473834011567023</v>
      </c>
      <c r="AI190" s="7">
        <f t="shared" si="31"/>
        <v>-5.3473834011567023E-3</v>
      </c>
    </row>
    <row r="191" spans="1:35" x14ac:dyDescent="0.35">
      <c r="A191" s="9">
        <v>43879</v>
      </c>
      <c r="B191" s="10">
        <f>Расчеты!G195/360</f>
        <v>1.6916666666666667E-2</v>
      </c>
      <c r="C191" s="34">
        <f>SNGS!C182</f>
        <v>46.695</v>
      </c>
      <c r="D191" s="34">
        <f>'FXGD ETF'!C182</f>
        <v>701.6</v>
      </c>
      <c r="E191" s="34">
        <f t="shared" si="22"/>
        <v>1729472.0816738727</v>
      </c>
      <c r="F191" s="3">
        <f t="shared" si="23"/>
        <v>-3.3121921508376895</v>
      </c>
      <c r="G191" s="3">
        <f t="shared" si="24"/>
        <v>-3.3291088175043559</v>
      </c>
      <c r="H191" s="34">
        <v>3074.05</v>
      </c>
      <c r="I191" s="3">
        <f t="shared" si="25"/>
        <v>-1.1578554754570591</v>
      </c>
      <c r="J191" s="3">
        <f t="shared" si="26"/>
        <v>-1.1747721421237258</v>
      </c>
      <c r="K191" s="3">
        <f t="shared" si="32"/>
        <v>11.082965518785251</v>
      </c>
      <c r="L191" s="3">
        <f t="shared" si="27"/>
        <v>1.3800895859099676</v>
      </c>
      <c r="M191" s="3">
        <f t="shared" si="28"/>
        <v>3.9109442969025761</v>
      </c>
      <c r="O191" s="8">
        <v>0.83593812191407046</v>
      </c>
      <c r="P191" s="26">
        <f t="shared" si="29"/>
        <v>8.3593812191407046E-3</v>
      </c>
      <c r="AF191" s="8">
        <v>0.83593812191407046</v>
      </c>
      <c r="AG191" s="8">
        <f t="shared" si="30"/>
        <v>-0.83593812191407046</v>
      </c>
      <c r="AH191" s="8">
        <v>-0.5320139012648939</v>
      </c>
      <c r="AI191" s="7">
        <f t="shared" si="31"/>
        <v>-5.320139012648939E-3</v>
      </c>
    </row>
    <row r="192" spans="1:35" x14ac:dyDescent="0.35">
      <c r="A192" s="9">
        <v>43880</v>
      </c>
      <c r="B192" s="10">
        <f>Расчеты!G196/360</f>
        <v>1.6888888888888891E-2</v>
      </c>
      <c r="C192" s="34">
        <f>SNGS!C183</f>
        <v>47.46</v>
      </c>
      <c r="D192" s="34">
        <f>'FXGD ETF'!C183</f>
        <v>702.8</v>
      </c>
      <c r="E192" s="34">
        <f t="shared" si="22"/>
        <v>1754733.3405812941</v>
      </c>
      <c r="F192" s="3">
        <f t="shared" si="23"/>
        <v>1.4606340960978237</v>
      </c>
      <c r="G192" s="3">
        <f t="shared" si="24"/>
        <v>1.4437452072089347</v>
      </c>
      <c r="H192" s="34">
        <v>3114.57</v>
      </c>
      <c r="I192" s="3">
        <f t="shared" si="25"/>
        <v>1.3181308046388285</v>
      </c>
      <c r="J192" s="3">
        <f t="shared" si="26"/>
        <v>1.3012419157499395</v>
      </c>
      <c r="K192" s="3">
        <f t="shared" si="32"/>
        <v>2.0844002233387697</v>
      </c>
      <c r="L192" s="3">
        <f t="shared" si="27"/>
        <v>1.6932305233045728</v>
      </c>
      <c r="M192" s="3">
        <f t="shared" si="28"/>
        <v>1.8786617792833475</v>
      </c>
      <c r="O192" s="8">
        <v>0.89918590208937221</v>
      </c>
      <c r="P192" s="26">
        <f t="shared" si="29"/>
        <v>8.9918590208937221E-3</v>
      </c>
      <c r="AF192" s="8">
        <v>0.89918590208937221</v>
      </c>
      <c r="AG192" s="8">
        <f t="shared" si="30"/>
        <v>-0.89918590208937221</v>
      </c>
      <c r="AH192" s="8">
        <v>-0.52631791999724342</v>
      </c>
      <c r="AI192" s="7">
        <f t="shared" si="31"/>
        <v>-5.2631791999724342E-3</v>
      </c>
    </row>
    <row r="193" spans="1:35" x14ac:dyDescent="0.35">
      <c r="A193" s="9">
        <v>43881</v>
      </c>
      <c r="B193" s="10">
        <f>Расчеты!G197/360</f>
        <v>1.6833333333333332E-2</v>
      </c>
      <c r="C193" s="34">
        <f>SNGS!C184</f>
        <v>47.39</v>
      </c>
      <c r="D193" s="34">
        <f>'FXGD ETF'!C184</f>
        <v>713.6</v>
      </c>
      <c r="E193" s="34">
        <f t="shared" si="22"/>
        <v>1755678.1045905782</v>
      </c>
      <c r="F193" s="3">
        <f t="shared" si="23"/>
        <v>5.3840887810974181E-2</v>
      </c>
      <c r="G193" s="3">
        <f t="shared" si="24"/>
        <v>3.7007554477640849E-2</v>
      </c>
      <c r="H193" s="34">
        <v>3125.1</v>
      </c>
      <c r="I193" s="3">
        <f t="shared" si="25"/>
        <v>0.33808840385669559</v>
      </c>
      <c r="J193" s="3">
        <f t="shared" si="26"/>
        <v>0.32125507052336227</v>
      </c>
      <c r="K193" s="3">
        <f t="shared" si="32"/>
        <v>1.3695590884155553E-3</v>
      </c>
      <c r="L193" s="3">
        <f t="shared" si="27"/>
        <v>0.10320482033697047</v>
      </c>
      <c r="M193" s="3">
        <f t="shared" si="28"/>
        <v>1.1888864523611683E-2</v>
      </c>
      <c r="O193" s="8">
        <v>0.9099885551108855</v>
      </c>
      <c r="P193" s="26">
        <f t="shared" si="29"/>
        <v>9.099885551108855E-3</v>
      </c>
      <c r="AF193" s="8">
        <v>0.9099885551108855</v>
      </c>
      <c r="AG193" s="8">
        <f t="shared" si="30"/>
        <v>-0.9099885551108855</v>
      </c>
      <c r="AH193" s="8">
        <v>-0.51988422056019612</v>
      </c>
      <c r="AI193" s="7">
        <f t="shared" si="31"/>
        <v>-5.1988422056019612E-3</v>
      </c>
    </row>
    <row r="194" spans="1:35" x14ac:dyDescent="0.35">
      <c r="A194" s="9">
        <v>43882</v>
      </c>
      <c r="B194" s="10">
        <f>Расчеты!G198/360</f>
        <v>1.6833333333333332E-2</v>
      </c>
      <c r="C194" s="34">
        <f>SNGS!C185</f>
        <v>46.755000000000003</v>
      </c>
      <c r="D194" s="34">
        <f>'FXGD ETF'!C185</f>
        <v>726.4</v>
      </c>
      <c r="E194" s="34">
        <f t="shared" si="22"/>
        <v>1738827.3274216277</v>
      </c>
      <c r="F194" s="3">
        <f t="shared" si="23"/>
        <v>-0.95978739638494792</v>
      </c>
      <c r="G194" s="3">
        <f t="shared" si="24"/>
        <v>-0.97662072971828129</v>
      </c>
      <c r="H194" s="34">
        <v>3106.03</v>
      </c>
      <c r="I194" s="3">
        <f t="shared" si="25"/>
        <v>-0.61022047294485571</v>
      </c>
      <c r="J194" s="3">
        <f t="shared" si="26"/>
        <v>-0.62705380627818907</v>
      </c>
      <c r="K194" s="3">
        <f t="shared" si="32"/>
        <v>0.95378804971546827</v>
      </c>
      <c r="L194" s="3">
        <f t="shared" si="27"/>
        <v>0.3931964759679647</v>
      </c>
      <c r="M194" s="3">
        <f t="shared" si="28"/>
        <v>0.61239374586003081</v>
      </c>
      <c r="O194" s="8">
        <v>0.92167705478420903</v>
      </c>
      <c r="P194" s="26">
        <f t="shared" si="29"/>
        <v>9.2167705478420903E-3</v>
      </c>
      <c r="AF194" s="8">
        <v>0.92167705478420903</v>
      </c>
      <c r="AG194" s="8">
        <f t="shared" si="30"/>
        <v>-0.92167705478420903</v>
      </c>
      <c r="AH194" s="8">
        <v>-0.51709206866699109</v>
      </c>
      <c r="AI194" s="7">
        <f t="shared" si="31"/>
        <v>-5.1709206866699109E-3</v>
      </c>
    </row>
    <row r="195" spans="1:35" x14ac:dyDescent="0.35">
      <c r="A195" s="9">
        <v>43886</v>
      </c>
      <c r="B195" s="10">
        <f>Расчеты!G199/360</f>
        <v>1.6888888888888891E-2</v>
      </c>
      <c r="C195" s="34">
        <f>SNGS!C186</f>
        <v>44.805</v>
      </c>
      <c r="D195" s="34">
        <f>'FXGD ETF'!C186</f>
        <v>744.4</v>
      </c>
      <c r="E195" s="34">
        <f t="shared" si="22"/>
        <v>1680721.3151789512</v>
      </c>
      <c r="F195" s="3">
        <f t="shared" si="23"/>
        <v>-3.3416781141136886</v>
      </c>
      <c r="G195" s="3">
        <f t="shared" si="24"/>
        <v>-3.3585670030025776</v>
      </c>
      <c r="H195" s="34">
        <v>3002.68</v>
      </c>
      <c r="I195" s="3">
        <f t="shared" si="25"/>
        <v>-3.3273986407085676</v>
      </c>
      <c r="J195" s="3">
        <f t="shared" si="26"/>
        <v>-3.3442875295974566</v>
      </c>
      <c r="K195" s="3">
        <f t="shared" si="32"/>
        <v>11.279972313657716</v>
      </c>
      <c r="L195" s="3">
        <f t="shared" si="27"/>
        <v>11.184259080621059</v>
      </c>
      <c r="M195" s="3">
        <f t="shared" si="28"/>
        <v>11.232013745459025</v>
      </c>
      <c r="O195" s="8">
        <v>0.92508008910465733</v>
      </c>
      <c r="P195" s="26">
        <f t="shared" si="29"/>
        <v>9.2508008910465733E-3</v>
      </c>
      <c r="AF195" s="8">
        <v>0.92508008910465733</v>
      </c>
      <c r="AG195" s="8">
        <f t="shared" si="30"/>
        <v>-0.92508008910465733</v>
      </c>
      <c r="AH195" s="8">
        <v>-0.49654165361487923</v>
      </c>
      <c r="AI195" s="7">
        <f t="shared" si="31"/>
        <v>-4.9654165361487923E-3</v>
      </c>
    </row>
    <row r="196" spans="1:35" x14ac:dyDescent="0.35">
      <c r="A196" s="9">
        <v>43887</v>
      </c>
      <c r="B196" s="10">
        <f>Расчеты!G200/360</f>
        <v>1.6944444444444443E-2</v>
      </c>
      <c r="C196" s="34">
        <f>SNGS!C187</f>
        <v>44</v>
      </c>
      <c r="D196" s="34">
        <f>'FXGD ETF'!C187</f>
        <v>730.6</v>
      </c>
      <c r="E196" s="34">
        <f t="shared" si="22"/>
        <v>1650397.2087017484</v>
      </c>
      <c r="F196" s="3">
        <f t="shared" si="23"/>
        <v>-1.8042316833456806</v>
      </c>
      <c r="G196" s="3">
        <f t="shared" si="24"/>
        <v>-1.8211761277901251</v>
      </c>
      <c r="H196" s="34">
        <v>3017.42</v>
      </c>
      <c r="I196" s="3">
        <f t="shared" si="25"/>
        <v>0.49089480064476998</v>
      </c>
      <c r="J196" s="3">
        <f t="shared" si="26"/>
        <v>0.47395035620032555</v>
      </c>
      <c r="K196" s="3">
        <f t="shared" si="32"/>
        <v>3.316682488432634</v>
      </c>
      <c r="L196" s="3">
        <f t="shared" si="27"/>
        <v>0.22462894014241547</v>
      </c>
      <c r="M196" s="3">
        <f t="shared" si="28"/>
        <v>-0.86314707446965933</v>
      </c>
      <c r="O196" s="8">
        <v>0.94020916240322716</v>
      </c>
      <c r="P196" s="26">
        <f t="shared" si="29"/>
        <v>9.4020916240322716E-3</v>
      </c>
      <c r="AF196" s="8">
        <v>0.94020916240322716</v>
      </c>
      <c r="AG196" s="8">
        <f t="shared" si="30"/>
        <v>-0.94020916240322716</v>
      </c>
      <c r="AH196" s="8">
        <v>-0.48449433143709086</v>
      </c>
      <c r="AI196" s="7">
        <f t="shared" si="31"/>
        <v>-4.8449433143709086E-3</v>
      </c>
    </row>
    <row r="197" spans="1:35" x14ac:dyDescent="0.35">
      <c r="A197" s="9">
        <v>43888</v>
      </c>
      <c r="B197" s="10">
        <f>Расчеты!G201/360</f>
        <v>1.7027777777777777E-2</v>
      </c>
      <c r="C197" s="34">
        <f>SNGS!C188</f>
        <v>39.6</v>
      </c>
      <c r="D197" s="34">
        <f>'FXGD ETF'!C188</f>
        <v>755.2</v>
      </c>
      <c r="E197" s="34">
        <f t="shared" si="22"/>
        <v>1514506.0910906359</v>
      </c>
      <c r="F197" s="3">
        <f t="shared" si="23"/>
        <v>-8.233843155733922</v>
      </c>
      <c r="G197" s="3">
        <f t="shared" si="24"/>
        <v>-8.250870933511699</v>
      </c>
      <c r="H197" s="34">
        <v>2915.84</v>
      </c>
      <c r="I197" s="3">
        <f t="shared" si="25"/>
        <v>-3.366452134605058</v>
      </c>
      <c r="J197" s="3">
        <f t="shared" si="26"/>
        <v>-3.3834799123828359</v>
      </c>
      <c r="K197" s="3">
        <f t="shared" si="32"/>
        <v>68.076871161468219</v>
      </c>
      <c r="L197" s="3">
        <f t="shared" si="27"/>
        <v>11.447936317498163</v>
      </c>
      <c r="M197" s="3">
        <f t="shared" si="28"/>
        <v>27.91665606320025</v>
      </c>
      <c r="O197" s="8">
        <v>0.97616402454034912</v>
      </c>
      <c r="P197" s="26">
        <f t="shared" si="29"/>
        <v>9.7616402454034912E-3</v>
      </c>
      <c r="AF197" s="8">
        <v>0.97616402454034912</v>
      </c>
      <c r="AG197" s="8">
        <f t="shared" si="30"/>
        <v>-0.97616402454034912</v>
      </c>
      <c r="AH197" s="8">
        <v>-0.47740871271662044</v>
      </c>
      <c r="AI197" s="7">
        <f t="shared" si="31"/>
        <v>-4.7740871271662044E-3</v>
      </c>
    </row>
    <row r="198" spans="1:35" x14ac:dyDescent="0.35">
      <c r="A198" s="9">
        <v>43889</v>
      </c>
      <c r="B198" s="10">
        <f>Расчеты!G202/360</f>
        <v>1.7194444444444446E-2</v>
      </c>
      <c r="C198" s="34">
        <f>SNGS!C189</f>
        <v>38.435000000000002</v>
      </c>
      <c r="D198" s="34">
        <f>'FXGD ETF'!C189</f>
        <v>734</v>
      </c>
      <c r="E198" s="34">
        <f t="shared" si="22"/>
        <v>1470254.2015136671</v>
      </c>
      <c r="F198" s="3">
        <f t="shared" si="23"/>
        <v>-2.9218693696439146</v>
      </c>
      <c r="G198" s="3">
        <f t="shared" si="24"/>
        <v>-2.9390638140883589</v>
      </c>
      <c r="H198" s="34">
        <v>2785.08</v>
      </c>
      <c r="I198" s="3">
        <f t="shared" si="25"/>
        <v>-4.4844710272168626</v>
      </c>
      <c r="J198" s="3">
        <f t="shared" si="26"/>
        <v>-4.5016654716613074</v>
      </c>
      <c r="K198" s="3">
        <f t="shared" si="32"/>
        <v>8.6380961032836119</v>
      </c>
      <c r="L198" s="3">
        <f t="shared" si="27"/>
        <v>20.26499201874762</v>
      </c>
      <c r="M198" s="3">
        <f t="shared" si="28"/>
        <v>13.230682090890753</v>
      </c>
      <c r="O198" s="8">
        <v>0.98933089903441296</v>
      </c>
      <c r="P198" s="26">
        <f t="shared" si="29"/>
        <v>9.8933089903441296E-3</v>
      </c>
      <c r="AF198" s="8">
        <v>0.98933089903441296</v>
      </c>
      <c r="AG198" s="8">
        <f t="shared" si="30"/>
        <v>-0.98933089903441296</v>
      </c>
      <c r="AH198" s="8">
        <v>-0.46218825499738658</v>
      </c>
      <c r="AI198" s="7">
        <f t="shared" si="31"/>
        <v>-4.6218825499738658E-3</v>
      </c>
    </row>
    <row r="199" spans="1:35" x14ac:dyDescent="0.35">
      <c r="A199" s="9">
        <v>43892</v>
      </c>
      <c r="B199" s="10">
        <f>Расчеты!G203/360</f>
        <v>1.7166666666666667E-2</v>
      </c>
      <c r="C199" s="34">
        <f>SNGS!C190</f>
        <v>38.814999999999998</v>
      </c>
      <c r="D199" s="34">
        <f>'FXGD ETF'!C190</f>
        <v>733.2</v>
      </c>
      <c r="E199" s="34">
        <f t="shared" si="22"/>
        <v>1482385.5899746455</v>
      </c>
      <c r="F199" s="3">
        <f t="shared" si="23"/>
        <v>0.82512183597154287</v>
      </c>
      <c r="G199" s="3">
        <f t="shared" si="24"/>
        <v>0.80795516930487621</v>
      </c>
      <c r="H199" s="34">
        <v>2765.77</v>
      </c>
      <c r="I199" s="3">
        <f t="shared" si="25"/>
        <v>-0.69333735476180269</v>
      </c>
      <c r="J199" s="3">
        <f t="shared" si="26"/>
        <v>-0.71050402142846936</v>
      </c>
      <c r="K199" s="3">
        <f t="shared" si="32"/>
        <v>0.65279155560647117</v>
      </c>
      <c r="L199" s="3">
        <f t="shared" si="27"/>
        <v>0.50481596446602683</v>
      </c>
      <c r="M199" s="3">
        <f t="shared" si="28"/>
        <v>-0.57405539692503438</v>
      </c>
      <c r="O199" s="8">
        <v>0.99197418803880222</v>
      </c>
      <c r="P199" s="26">
        <f t="shared" si="29"/>
        <v>9.9197418803880222E-3</v>
      </c>
      <c r="AF199" s="8">
        <v>0.99197418803880222</v>
      </c>
      <c r="AG199" s="8">
        <f t="shared" si="30"/>
        <v>-0.99197418803880222</v>
      </c>
      <c r="AH199" s="8">
        <v>-0.45999487568499919</v>
      </c>
      <c r="AI199" s="7">
        <f t="shared" si="31"/>
        <v>-4.5999487568499919E-3</v>
      </c>
    </row>
    <row r="200" spans="1:35" x14ac:dyDescent="0.35">
      <c r="A200" s="9">
        <v>43893</v>
      </c>
      <c r="B200" s="10">
        <f>Расчеты!G204/360</f>
        <v>1.7194444444444446E-2</v>
      </c>
      <c r="C200" s="34">
        <f>SNGS!C191</f>
        <v>39.049999999999997</v>
      </c>
      <c r="D200" s="34">
        <f>'FXGD ETF'!C191</f>
        <v>740.2</v>
      </c>
      <c r="E200" s="34">
        <f t="shared" si="22"/>
        <v>1492124.8518714551</v>
      </c>
      <c r="F200" s="3">
        <f t="shared" si="23"/>
        <v>0.65699922899116192</v>
      </c>
      <c r="G200" s="3">
        <f t="shared" si="24"/>
        <v>0.63980478454671752</v>
      </c>
      <c r="H200" s="34">
        <v>2821.37</v>
      </c>
      <c r="I200" s="3">
        <f t="shared" si="25"/>
        <v>2.010290081966315</v>
      </c>
      <c r="J200" s="3">
        <f t="shared" si="26"/>
        <v>1.9930956375218705</v>
      </c>
      <c r="K200" s="3">
        <f t="shared" si="32"/>
        <v>0.40935016232887161</v>
      </c>
      <c r="L200" s="3">
        <f t="shared" si="27"/>
        <v>3.9724302203087114</v>
      </c>
      <c r="M200" s="3">
        <f t="shared" si="28"/>
        <v>1.275192124945683</v>
      </c>
      <c r="O200" s="8">
        <v>1.0107912542533182</v>
      </c>
      <c r="P200" s="26">
        <f t="shared" si="29"/>
        <v>1.0107912542533182E-2</v>
      </c>
      <c r="AF200" s="8">
        <v>1.0107912542533182</v>
      </c>
      <c r="AG200" s="8">
        <f t="shared" si="30"/>
        <v>-1.0107912542533182</v>
      </c>
      <c r="AH200" s="8">
        <v>-0.45430550109719636</v>
      </c>
      <c r="AI200" s="7">
        <f t="shared" si="31"/>
        <v>-4.5430550109719636E-3</v>
      </c>
    </row>
    <row r="201" spans="1:35" x14ac:dyDescent="0.35">
      <c r="A201" s="9">
        <v>43894</v>
      </c>
      <c r="B201" s="10">
        <f>Расчеты!G205/360</f>
        <v>1.7277777777777777E-2</v>
      </c>
      <c r="C201" s="34">
        <f>SNGS!C192</f>
        <v>38.454999999999998</v>
      </c>
      <c r="D201" s="34">
        <f>'FXGD ETF'!C192</f>
        <v>745</v>
      </c>
      <c r="E201" s="34">
        <f t="shared" si="22"/>
        <v>1474188.4354083017</v>
      </c>
      <c r="F201" s="3">
        <f t="shared" si="23"/>
        <v>-1.202072094748452</v>
      </c>
      <c r="G201" s="3">
        <f t="shared" si="24"/>
        <v>-1.2193498725262297</v>
      </c>
      <c r="H201" s="34">
        <v>2828.01</v>
      </c>
      <c r="I201" s="3">
        <f t="shared" si="25"/>
        <v>0.23534665782936059</v>
      </c>
      <c r="J201" s="3">
        <f t="shared" si="26"/>
        <v>0.21806888005158281</v>
      </c>
      <c r="K201" s="3">
        <f t="shared" si="32"/>
        <v>1.4868141116297326</v>
      </c>
      <c r="L201" s="3">
        <f t="shared" si="27"/>
        <v>4.7554036446951616E-2</v>
      </c>
      <c r="M201" s="3">
        <f t="shared" si="28"/>
        <v>-0.26590226109283521</v>
      </c>
      <c r="O201" s="8">
        <v>1.1279155708153743</v>
      </c>
      <c r="P201" s="26">
        <f t="shared" si="29"/>
        <v>1.1279155708153743E-2</v>
      </c>
      <c r="AF201" s="8">
        <v>1.1279155708153743</v>
      </c>
      <c r="AG201" s="8">
        <f t="shared" si="30"/>
        <v>-1.1279155708153743</v>
      </c>
      <c r="AH201" s="8">
        <v>-0.43070332494798969</v>
      </c>
      <c r="AI201" s="7">
        <f t="shared" si="31"/>
        <v>-4.3070332494798969E-3</v>
      </c>
    </row>
    <row r="202" spans="1:35" x14ac:dyDescent="0.35">
      <c r="A202" s="9">
        <v>43895</v>
      </c>
      <c r="B202" s="10">
        <f>Расчеты!G206/360</f>
        <v>1.7277777777777777E-2</v>
      </c>
      <c r="C202" s="34">
        <f>SNGS!C193</f>
        <v>37.76</v>
      </c>
      <c r="D202" s="34">
        <f>'FXGD ETF'!C193</f>
        <v>764</v>
      </c>
      <c r="E202" s="34">
        <f t="shared" si="22"/>
        <v>1457234.9898111839</v>
      </c>
      <c r="F202" s="3">
        <f t="shared" si="23"/>
        <v>-1.1500188978502024</v>
      </c>
      <c r="G202" s="3">
        <f t="shared" si="24"/>
        <v>-1.1672966756279801</v>
      </c>
      <c r="H202" s="34">
        <v>2816.7</v>
      </c>
      <c r="I202" s="3">
        <f t="shared" si="25"/>
        <v>-0.39992786447008433</v>
      </c>
      <c r="J202" s="3">
        <f t="shared" si="26"/>
        <v>-0.41720564224786211</v>
      </c>
      <c r="K202" s="3">
        <f t="shared" si="32"/>
        <v>1.3625815289321339</v>
      </c>
      <c r="L202" s="3">
        <f t="shared" si="27"/>
        <v>0.1740605479234511</v>
      </c>
      <c r="M202" s="3">
        <f t="shared" si="28"/>
        <v>0.48700275924916581</v>
      </c>
      <c r="O202" s="8">
        <v>1.1462730601596416</v>
      </c>
      <c r="P202" s="26">
        <f t="shared" si="29"/>
        <v>1.1462730601596416E-2</v>
      </c>
      <c r="AF202" s="8">
        <v>1.1462730601596416</v>
      </c>
      <c r="AG202" s="8">
        <f t="shared" si="30"/>
        <v>-1.1462730601596416</v>
      </c>
      <c r="AH202" s="8">
        <v>-0.42524705323947476</v>
      </c>
      <c r="AI202" s="7">
        <f t="shared" si="31"/>
        <v>-4.2524705323947476E-3</v>
      </c>
    </row>
    <row r="203" spans="1:35" x14ac:dyDescent="0.35">
      <c r="A203" s="9">
        <v>43896</v>
      </c>
      <c r="B203" s="10">
        <f>Расчеты!G207/360</f>
        <v>1.7333333333333333E-2</v>
      </c>
      <c r="C203" s="34">
        <f>SNGS!C194</f>
        <v>35.68</v>
      </c>
      <c r="D203" s="34">
        <f>'FXGD ETF'!C194</f>
        <v>775</v>
      </c>
      <c r="E203" s="34">
        <f t="shared" si="22"/>
        <v>1392807.787482847</v>
      </c>
      <c r="F203" s="3">
        <f t="shared" si="23"/>
        <v>-4.4211951249320975</v>
      </c>
      <c r="G203" s="3">
        <f t="shared" si="24"/>
        <v>-4.4385284582654307</v>
      </c>
      <c r="H203" s="34">
        <v>2719.51</v>
      </c>
      <c r="I203" s="3">
        <f t="shared" si="25"/>
        <v>-3.4504917101572663</v>
      </c>
      <c r="J203" s="3">
        <f t="shared" si="26"/>
        <v>-3.4678250434905995</v>
      </c>
      <c r="K203" s="3">
        <f t="shared" si="32"/>
        <v>19.700534874832101</v>
      </c>
      <c r="L203" s="3">
        <f t="shared" si="27"/>
        <v>12.025810532260579</v>
      </c>
      <c r="M203" s="3">
        <f t="shared" si="28"/>
        <v>15.392040143818582</v>
      </c>
      <c r="O203" s="8">
        <v>1.1643794968843491</v>
      </c>
      <c r="P203" s="26">
        <f t="shared" si="29"/>
        <v>1.1643794968843491E-2</v>
      </c>
      <c r="AF203" s="8">
        <v>1.1643794968843491</v>
      </c>
      <c r="AG203" s="8">
        <f t="shared" si="30"/>
        <v>-1.1643794968843491</v>
      </c>
      <c r="AH203" s="8">
        <v>-0.4181971452995259</v>
      </c>
      <c r="AI203" s="7">
        <f t="shared" si="31"/>
        <v>-4.181971452995259E-3</v>
      </c>
    </row>
    <row r="204" spans="1:35" x14ac:dyDescent="0.35">
      <c r="A204" s="9">
        <v>43900</v>
      </c>
      <c r="B204" s="10">
        <f>Расчеты!G208/360</f>
        <v>1.7583333333333333E-2</v>
      </c>
      <c r="C204" s="34">
        <f>SNGS!C195</f>
        <v>30.835000000000001</v>
      </c>
      <c r="D204" s="34">
        <f>'FXGD ETF'!C195</f>
        <v>817.2</v>
      </c>
      <c r="E204" s="34">
        <f t="shared" si="22"/>
        <v>1247683.6321610748</v>
      </c>
      <c r="F204" s="3">
        <f t="shared" si="23"/>
        <v>-10.419539338162942</v>
      </c>
      <c r="G204" s="3">
        <f t="shared" si="24"/>
        <v>-10.437122671496274</v>
      </c>
      <c r="H204" s="34">
        <v>2498.94</v>
      </c>
      <c r="I204" s="3">
        <f t="shared" si="25"/>
        <v>-8.1106522866251645</v>
      </c>
      <c r="J204" s="3">
        <f t="shared" si="26"/>
        <v>-8.1282356199584971</v>
      </c>
      <c r="K204" s="3">
        <f t="shared" si="32"/>
        <v>108.93352965986152</v>
      </c>
      <c r="L204" s="3">
        <f t="shared" si="27"/>
        <v>66.068214293562093</v>
      </c>
      <c r="M204" s="3">
        <f t="shared" si="28"/>
        <v>84.835392268332399</v>
      </c>
      <c r="O204" s="8">
        <v>1.1989260282401437</v>
      </c>
      <c r="P204" s="26">
        <f t="shared" si="29"/>
        <v>1.1989260282401437E-2</v>
      </c>
      <c r="AF204" s="8">
        <v>1.1989260282401437</v>
      </c>
      <c r="AG204" s="8">
        <f t="shared" si="30"/>
        <v>-1.1989260282401437</v>
      </c>
      <c r="AH204" s="8">
        <v>-0.41644411177105267</v>
      </c>
      <c r="AI204" s="7">
        <f t="shared" si="31"/>
        <v>-4.1644411177105267E-3</v>
      </c>
    </row>
    <row r="205" spans="1:35" x14ac:dyDescent="0.35">
      <c r="A205" s="9">
        <v>43901</v>
      </c>
      <c r="B205" s="10">
        <f>Расчеты!G209/360</f>
        <v>1.6833333333333332E-2</v>
      </c>
      <c r="C205" s="34">
        <f>SNGS!C196</f>
        <v>31.245000000000001</v>
      </c>
      <c r="D205" s="34">
        <f>'FXGD ETF'!C196</f>
        <v>820.4</v>
      </c>
      <c r="E205" s="34">
        <f t="shared" si="22"/>
        <v>1261985.4935125585</v>
      </c>
      <c r="F205" s="3">
        <f t="shared" si="23"/>
        <v>1.1462730601596416</v>
      </c>
      <c r="G205" s="3">
        <f t="shared" si="24"/>
        <v>1.1294397268263083</v>
      </c>
      <c r="H205" s="34">
        <v>2492.88</v>
      </c>
      <c r="I205" s="3">
        <f t="shared" si="25"/>
        <v>-0.24250282119618882</v>
      </c>
      <c r="J205" s="3">
        <f t="shared" si="26"/>
        <v>-0.25933615452952213</v>
      </c>
      <c r="K205" s="3">
        <f t="shared" si="32"/>
        <v>1.275634096533486</v>
      </c>
      <c r="L205" s="3">
        <f t="shared" si="27"/>
        <v>6.725524104616018E-2</v>
      </c>
      <c r="M205" s="3">
        <f t="shared" si="28"/>
        <v>-0.29290455552800876</v>
      </c>
      <c r="O205" s="8">
        <v>1.2092801556694122</v>
      </c>
      <c r="P205" s="26">
        <f t="shared" si="29"/>
        <v>1.2092801556694122E-2</v>
      </c>
      <c r="AF205" s="8">
        <v>1.2092801556694122</v>
      </c>
      <c r="AG205" s="8">
        <f t="shared" si="30"/>
        <v>-1.2092801556694122</v>
      </c>
      <c r="AH205" s="8">
        <v>-0.41245557018989576</v>
      </c>
      <c r="AI205" s="7">
        <f t="shared" si="31"/>
        <v>-4.1245557018989576E-3</v>
      </c>
    </row>
    <row r="206" spans="1:35" x14ac:dyDescent="0.35">
      <c r="A206" s="9">
        <v>43902</v>
      </c>
      <c r="B206" s="10">
        <f>Расчеты!G210/360</f>
        <v>1.6666666666666666E-2</v>
      </c>
      <c r="C206" s="34">
        <f>SNGS!C197</f>
        <v>29.4</v>
      </c>
      <c r="D206" s="34">
        <f>'FXGD ETF'!C197</f>
        <v>793</v>
      </c>
      <c r="E206" s="34">
        <f t="shared" si="22"/>
        <v>1193747.0043613766</v>
      </c>
      <c r="F206" s="3">
        <f t="shared" si="23"/>
        <v>-5.40723245251018</v>
      </c>
      <c r="G206" s="3">
        <f t="shared" si="24"/>
        <v>-5.4238991191768466</v>
      </c>
      <c r="H206" s="34">
        <v>2286.4</v>
      </c>
      <c r="I206" s="3">
        <f t="shared" si="25"/>
        <v>-8.2827893841661009</v>
      </c>
      <c r="J206" s="3">
        <f t="shared" si="26"/>
        <v>-8.2994560508327684</v>
      </c>
      <c r="K206" s="3">
        <f t="shared" si="32"/>
        <v>29.418681655007372</v>
      </c>
      <c r="L206" s="3">
        <f t="shared" si="27"/>
        <v>68.880970739704651</v>
      </c>
      <c r="M206" s="3">
        <f t="shared" si="28"/>
        <v>45.015412363758806</v>
      </c>
      <c r="O206" s="8">
        <v>1.2233556935728807</v>
      </c>
      <c r="P206" s="26">
        <f t="shared" si="29"/>
        <v>1.2233556935728807E-2</v>
      </c>
      <c r="AF206" s="8">
        <v>1.2233556935728807</v>
      </c>
      <c r="AG206" s="8">
        <f t="shared" si="30"/>
        <v>-1.2233556935728807</v>
      </c>
      <c r="AH206" s="8">
        <v>-0.39338816061917914</v>
      </c>
      <c r="AI206" s="7">
        <f t="shared" si="31"/>
        <v>-3.9338816061917914E-3</v>
      </c>
    </row>
    <row r="207" spans="1:35" x14ac:dyDescent="0.35">
      <c r="A207" s="9">
        <v>43903</v>
      </c>
      <c r="B207" s="10">
        <f>Расчеты!G211/360</f>
        <v>1.6055555555555556E-2</v>
      </c>
      <c r="C207" s="34">
        <f>SNGS!C198</f>
        <v>27.5</v>
      </c>
      <c r="D207" s="34">
        <f>'FXGD ETF'!C198</f>
        <v>784</v>
      </c>
      <c r="E207" s="34">
        <f t="shared" ref="E207:E263" si="33">$B$8*C207+$C$8*D207</f>
        <v>1129209.9489869799</v>
      </c>
      <c r="F207" s="3">
        <f t="shared" ref="F207:F263" si="34">(E207/E206-1)*100</f>
        <v>-5.4062590430476014</v>
      </c>
      <c r="G207" s="3">
        <f t="shared" ref="G207:G263" si="35">F207-B207</f>
        <v>-5.4223145986031573</v>
      </c>
      <c r="H207" s="34">
        <v>2316.38</v>
      </c>
      <c r="I207" s="3">
        <f t="shared" ref="I207:I263" si="36">(H207/H206-1)*100</f>
        <v>1.3112316305108562</v>
      </c>
      <c r="J207" s="3">
        <f t="shared" ref="J207:J263" si="37">I207-B207</f>
        <v>1.2951760749553007</v>
      </c>
      <c r="K207" s="3">
        <f t="shared" si="32"/>
        <v>29.40149560622492</v>
      </c>
      <c r="L207" s="3">
        <f t="shared" ref="L207:L263" si="38">J207^2</f>
        <v>1.6774810651366188</v>
      </c>
      <c r="M207" s="3">
        <f t="shared" ref="M207:M263" si="39">G207*J207</f>
        <v>-7.0228521389916647</v>
      </c>
      <c r="O207" s="8">
        <v>1.2645552666189497</v>
      </c>
      <c r="P207" s="26">
        <f t="shared" ref="P207:P263" si="40">O207*$P$13</f>
        <v>1.2645552666189497E-2</v>
      </c>
      <c r="AF207" s="8">
        <v>1.2645552666189497</v>
      </c>
      <c r="AG207" s="8">
        <f t="shared" ref="AG207:AG263" si="41">IF(AF207&lt;0,AF207,AF207*(-1))</f>
        <v>-1.2645552666189497</v>
      </c>
      <c r="AH207" s="8">
        <v>-0.38603904101075504</v>
      </c>
      <c r="AI207" s="7">
        <f t="shared" ref="AI207:AI263" si="42">AH207*$AI$13</f>
        <v>-3.8603904101075504E-3</v>
      </c>
    </row>
    <row r="208" spans="1:35" x14ac:dyDescent="0.35">
      <c r="A208" s="9">
        <v>43906</v>
      </c>
      <c r="B208" s="10">
        <f>Расчеты!G212/360</f>
        <v>1.6083333333333335E-2</v>
      </c>
      <c r="C208" s="34">
        <f>SNGS!C199</f>
        <v>26.045000000000002</v>
      </c>
      <c r="D208" s="34">
        <f>'FXGD ETF'!C199</f>
        <v>764.6</v>
      </c>
      <c r="E208" s="34">
        <f t="shared" si="33"/>
        <v>1076054.917023276</v>
      </c>
      <c r="F208" s="3">
        <f t="shared" si="34"/>
        <v>-4.7072762696954262</v>
      </c>
      <c r="G208" s="3">
        <f t="shared" si="35"/>
        <v>-4.7233596030287597</v>
      </c>
      <c r="H208" s="34">
        <v>2266.9</v>
      </c>
      <c r="I208" s="3">
        <f t="shared" si="36"/>
        <v>-2.1360916602629954</v>
      </c>
      <c r="J208" s="3">
        <f t="shared" si="37"/>
        <v>-2.1521749935963288</v>
      </c>
      <c r="K208" s="3">
        <f t="shared" ref="K208:K263" si="43">G208^2</f>
        <v>22.310125939524003</v>
      </c>
      <c r="L208" s="3">
        <f t="shared" si="38"/>
        <v>4.6318572030613581</v>
      </c>
      <c r="M208" s="3">
        <f t="shared" si="39"/>
        <v>10.16549642340158</v>
      </c>
      <c r="O208" s="8">
        <v>1.2694482096917481</v>
      </c>
      <c r="P208" s="26">
        <f t="shared" si="40"/>
        <v>1.2694482096917481E-2</v>
      </c>
      <c r="AF208" s="8">
        <v>1.2694482096917481</v>
      </c>
      <c r="AG208" s="8">
        <f t="shared" si="41"/>
        <v>-1.2694482096917481</v>
      </c>
      <c r="AH208" s="8">
        <v>-0.37002593980164367</v>
      </c>
      <c r="AI208" s="7">
        <f t="shared" si="42"/>
        <v>-3.7002593980164367E-3</v>
      </c>
    </row>
    <row r="209" spans="1:35" x14ac:dyDescent="0.35">
      <c r="A209" s="9">
        <v>43907</v>
      </c>
      <c r="B209" s="10">
        <f>Расчеты!G213/360</f>
        <v>1.5972222222222221E-2</v>
      </c>
      <c r="C209" s="34">
        <f>SNGS!C200</f>
        <v>26.33</v>
      </c>
      <c r="D209" s="34">
        <f>'FXGD ETF'!C200</f>
        <v>780.8</v>
      </c>
      <c r="E209" s="34">
        <f t="shared" si="33"/>
        <v>1090167.7583357538</v>
      </c>
      <c r="F209" s="3">
        <f t="shared" si="34"/>
        <v>1.3115354141514102</v>
      </c>
      <c r="G209" s="3">
        <f t="shared" si="35"/>
        <v>1.2955631919291879</v>
      </c>
      <c r="H209" s="34">
        <v>2224.7399999999998</v>
      </c>
      <c r="I209" s="3">
        <f t="shared" si="36"/>
        <v>-1.8598085491199567</v>
      </c>
      <c r="J209" s="3">
        <f t="shared" si="37"/>
        <v>-1.875780771342179</v>
      </c>
      <c r="K209" s="3">
        <f t="shared" si="43"/>
        <v>1.6784839842817458</v>
      </c>
      <c r="L209" s="3">
        <f t="shared" si="38"/>
        <v>3.5185535021370602</v>
      </c>
      <c r="M209" s="3">
        <f t="shared" si="39"/>
        <v>-2.4301925234794677</v>
      </c>
      <c r="O209" s="8">
        <v>1.3115354141514102</v>
      </c>
      <c r="P209" s="26">
        <f t="shared" si="40"/>
        <v>1.3115354141514102E-2</v>
      </c>
      <c r="AF209" s="8">
        <v>1.3115354141514102</v>
      </c>
      <c r="AG209" s="8">
        <f t="shared" si="41"/>
        <v>-1.3115354141514102</v>
      </c>
      <c r="AH209" s="8">
        <v>-0.36387000614791498</v>
      </c>
      <c r="AI209" s="7">
        <f t="shared" si="42"/>
        <v>-3.6387000614791498E-3</v>
      </c>
    </row>
    <row r="210" spans="1:35" x14ac:dyDescent="0.35">
      <c r="A210" s="9">
        <v>43908</v>
      </c>
      <c r="B210" s="10">
        <f>Расчеты!G214/360</f>
        <v>1.6111111111111111E-2</v>
      </c>
      <c r="C210" s="34">
        <f>SNGS!C201</f>
        <v>24.835000000000001</v>
      </c>
      <c r="D210" s="34">
        <f>'FXGD ETF'!C201</f>
        <v>811</v>
      </c>
      <c r="E210" s="34">
        <f t="shared" si="33"/>
        <v>1050514.7274886668</v>
      </c>
      <c r="F210" s="3">
        <f t="shared" si="34"/>
        <v>-3.6373329282477829</v>
      </c>
      <c r="G210" s="3">
        <f t="shared" si="35"/>
        <v>-3.6534440393588938</v>
      </c>
      <c r="H210" s="34">
        <v>2112.64</v>
      </c>
      <c r="I210" s="3">
        <f t="shared" si="36"/>
        <v>-5.0387910497406434</v>
      </c>
      <c r="J210" s="3">
        <f t="shared" si="37"/>
        <v>-5.0549021608517544</v>
      </c>
      <c r="K210" s="3">
        <f t="shared" si="43"/>
        <v>13.347653348727031</v>
      </c>
      <c r="L210" s="3">
        <f t="shared" si="38"/>
        <v>25.552035855783735</v>
      </c>
      <c r="M210" s="3">
        <f t="shared" si="39"/>
        <v>18.467802169106236</v>
      </c>
      <c r="O210" s="8">
        <v>1.319299483942582</v>
      </c>
      <c r="P210" s="26">
        <f t="shared" si="40"/>
        <v>1.319299483942582E-2</v>
      </c>
      <c r="AF210" s="8">
        <v>1.319299483942582</v>
      </c>
      <c r="AG210" s="8">
        <f t="shared" si="41"/>
        <v>-1.319299483942582</v>
      </c>
      <c r="AH210" s="8">
        <v>-0.35231847076833134</v>
      </c>
      <c r="AI210" s="7">
        <f t="shared" si="42"/>
        <v>-3.5231847076833134E-3</v>
      </c>
    </row>
    <row r="211" spans="1:35" x14ac:dyDescent="0.35">
      <c r="A211" s="9">
        <v>43909</v>
      </c>
      <c r="B211" s="10">
        <f>Расчеты!G215/360</f>
        <v>1.6555555555555556E-2</v>
      </c>
      <c r="C211" s="34">
        <f>SNGS!C202</f>
        <v>27</v>
      </c>
      <c r="D211" s="34">
        <f>'FXGD ETF'!C202</f>
        <v>804</v>
      </c>
      <c r="E211" s="34">
        <f t="shared" si="33"/>
        <v>1118902.8212752535</v>
      </c>
      <c r="F211" s="3">
        <f t="shared" si="34"/>
        <v>6.5099604981334824</v>
      </c>
      <c r="G211" s="3">
        <f t="shared" si="35"/>
        <v>6.4934049425779268</v>
      </c>
      <c r="H211" s="34">
        <v>2275.6999999999998</v>
      </c>
      <c r="I211" s="3">
        <f t="shared" si="36"/>
        <v>7.7183050590730051</v>
      </c>
      <c r="J211" s="3">
        <f t="shared" si="37"/>
        <v>7.7017495035174495</v>
      </c>
      <c r="K211" s="3">
        <f t="shared" si="43"/>
        <v>42.16430774829545</v>
      </c>
      <c r="L211" s="3">
        <f t="shared" si="38"/>
        <v>59.316945414931283</v>
      </c>
      <c r="M211" s="3">
        <f t="shared" si="39"/>
        <v>50.010578292637298</v>
      </c>
      <c r="O211" s="8">
        <v>1.3543424870562148</v>
      </c>
      <c r="P211" s="26">
        <f t="shared" si="40"/>
        <v>1.3543424870562148E-2</v>
      </c>
      <c r="AF211" s="8">
        <v>1.3543424870562148</v>
      </c>
      <c r="AG211" s="8">
        <f t="shared" si="41"/>
        <v>-1.3543424870562148</v>
      </c>
      <c r="AH211" s="8">
        <v>-0.33905505240980904</v>
      </c>
      <c r="AI211" s="7">
        <f t="shared" si="42"/>
        <v>-3.3905505240980904E-3</v>
      </c>
    </row>
    <row r="212" spans="1:35" x14ac:dyDescent="0.35">
      <c r="A212" s="9">
        <v>43910</v>
      </c>
      <c r="B212" s="10">
        <f>Расчеты!G216/360</f>
        <v>1.6666666666666666E-2</v>
      </c>
      <c r="C212" s="34">
        <f>SNGS!C203</f>
        <v>26.86</v>
      </c>
      <c r="D212" s="34">
        <f>'FXGD ETF'!C203</f>
        <v>816.2</v>
      </c>
      <c r="E212" s="34">
        <f t="shared" si="33"/>
        <v>1117986.729074334</v>
      </c>
      <c r="F212" s="3">
        <f t="shared" si="34"/>
        <v>-8.1874152383976107E-2</v>
      </c>
      <c r="G212" s="3">
        <f t="shared" si="35"/>
        <v>-9.8540819050642769E-2</v>
      </c>
      <c r="H212" s="34">
        <v>2331.61</v>
      </c>
      <c r="I212" s="3">
        <f t="shared" si="36"/>
        <v>2.4568264709759813</v>
      </c>
      <c r="J212" s="3">
        <f t="shared" si="37"/>
        <v>2.4401598043093147</v>
      </c>
      <c r="K212" s="3">
        <f t="shared" si="43"/>
        <v>9.7102930191715203E-3</v>
      </c>
      <c r="L212" s="3">
        <f t="shared" si="38"/>
        <v>5.9543798705668731</v>
      </c>
      <c r="M212" s="3">
        <f t="shared" si="39"/>
        <v>-0.24045534573109606</v>
      </c>
      <c r="O212" s="8">
        <v>1.395982360659187</v>
      </c>
      <c r="P212" s="26">
        <f t="shared" si="40"/>
        <v>1.395982360659187E-2</v>
      </c>
      <c r="AF212" s="8">
        <v>1.395982360659187</v>
      </c>
      <c r="AG212" s="8">
        <f t="shared" si="41"/>
        <v>-1.395982360659187</v>
      </c>
      <c r="AH212" s="8">
        <v>-0.33315358125949324</v>
      </c>
      <c r="AI212" s="7">
        <f t="shared" si="42"/>
        <v>-3.3315358125949324E-3</v>
      </c>
    </row>
    <row r="213" spans="1:35" x14ac:dyDescent="0.35">
      <c r="A213" s="9">
        <v>43913</v>
      </c>
      <c r="B213" s="10">
        <f>Расчеты!G217/360</f>
        <v>1.6638888888888891E-2</v>
      </c>
      <c r="C213" s="34">
        <f>SNGS!C204</f>
        <v>26.094999999999999</v>
      </c>
      <c r="D213" s="34">
        <f>'FXGD ETF'!C204</f>
        <v>848.6</v>
      </c>
      <c r="E213" s="34">
        <f t="shared" si="33"/>
        <v>1102754.0701004011</v>
      </c>
      <c r="F213" s="3">
        <f t="shared" si="34"/>
        <v>-1.3625080314276339</v>
      </c>
      <c r="G213" s="3">
        <f t="shared" si="35"/>
        <v>-1.3791469203165228</v>
      </c>
      <c r="H213" s="34">
        <v>2253.35</v>
      </c>
      <c r="I213" s="3">
        <f t="shared" si="36"/>
        <v>-3.3564789994896316</v>
      </c>
      <c r="J213" s="3">
        <f t="shared" si="37"/>
        <v>-3.3731178883785207</v>
      </c>
      <c r="K213" s="3">
        <f t="shared" si="43"/>
        <v>1.9020462278185493</v>
      </c>
      <c r="L213" s="3">
        <f t="shared" si="38"/>
        <v>11.37792428889917</v>
      </c>
      <c r="M213" s="3">
        <f t="shared" si="39"/>
        <v>4.6520251476218091</v>
      </c>
      <c r="O213" s="8">
        <v>1.4241882341428092</v>
      </c>
      <c r="P213" s="26">
        <f t="shared" si="40"/>
        <v>1.4241882341428092E-2</v>
      </c>
      <c r="AF213" s="8">
        <v>1.4241882341428092</v>
      </c>
      <c r="AG213" s="8">
        <f t="shared" si="41"/>
        <v>-1.4241882341428092</v>
      </c>
      <c r="AH213" s="8">
        <v>-0.33020604182049107</v>
      </c>
      <c r="AI213" s="7">
        <f t="shared" si="42"/>
        <v>-3.3020604182049107E-3</v>
      </c>
    </row>
    <row r="214" spans="1:35" x14ac:dyDescent="0.35">
      <c r="A214" s="9">
        <v>43914</v>
      </c>
      <c r="B214" s="10">
        <f>Расчеты!G218/360</f>
        <v>1.6611111111111111E-2</v>
      </c>
      <c r="C214" s="34">
        <f>SNGS!C205</f>
        <v>28.25</v>
      </c>
      <c r="D214" s="34">
        <f>'FXGD ETF'!C205</f>
        <v>868</v>
      </c>
      <c r="E214" s="34">
        <f t="shared" si="33"/>
        <v>1178696.2474717626</v>
      </c>
      <c r="F214" s="3">
        <f t="shared" si="34"/>
        <v>6.8865923446056465</v>
      </c>
      <c r="G214" s="3">
        <f t="shared" si="35"/>
        <v>6.8699812334945358</v>
      </c>
      <c r="H214" s="34">
        <v>2415.9699999999998</v>
      </c>
      <c r="I214" s="3">
        <f t="shared" si="36"/>
        <v>7.2168105265493443</v>
      </c>
      <c r="J214" s="3">
        <f t="shared" si="37"/>
        <v>7.2001994154382336</v>
      </c>
      <c r="K214" s="3">
        <f t="shared" si="43"/>
        <v>47.196642148567101</v>
      </c>
      <c r="L214" s="3">
        <f t="shared" si="38"/>
        <v>51.842871622077084</v>
      </c>
      <c r="M214" s="3">
        <f t="shared" si="39"/>
        <v>49.46523486147899</v>
      </c>
      <c r="O214" s="8">
        <v>1.4606340960978237</v>
      </c>
      <c r="P214" s="26">
        <f t="shared" si="40"/>
        <v>1.4606340960978237E-2</v>
      </c>
      <c r="AF214" s="8">
        <v>1.4606340960978237</v>
      </c>
      <c r="AG214" s="8">
        <f t="shared" si="41"/>
        <v>-1.4606340960978237</v>
      </c>
      <c r="AH214" s="8">
        <v>-0.32354600705999381</v>
      </c>
      <c r="AI214" s="7">
        <f t="shared" si="42"/>
        <v>-3.2354600705999381E-3</v>
      </c>
    </row>
    <row r="215" spans="1:35" x14ac:dyDescent="0.35">
      <c r="A215" s="9">
        <v>43915</v>
      </c>
      <c r="B215" s="10">
        <f>Расчеты!G219/360</f>
        <v>1.6750000000000001E-2</v>
      </c>
      <c r="C215" s="34">
        <f>SNGS!C206</f>
        <v>29.664999999999999</v>
      </c>
      <c r="D215" s="34">
        <f>'FXGD ETF'!C206</f>
        <v>865.6</v>
      </c>
      <c r="E215" s="34">
        <f t="shared" si="33"/>
        <v>1224042.5056934203</v>
      </c>
      <c r="F215" s="3">
        <f t="shared" si="34"/>
        <v>3.8471538633403579</v>
      </c>
      <c r="G215" s="3">
        <f t="shared" si="35"/>
        <v>3.8304038633403579</v>
      </c>
      <c r="H215" s="34">
        <v>2452.69</v>
      </c>
      <c r="I215" s="3">
        <f t="shared" si="36"/>
        <v>1.5198864224307496</v>
      </c>
      <c r="J215" s="3">
        <f t="shared" si="37"/>
        <v>1.5031364224307495</v>
      </c>
      <c r="K215" s="3">
        <f t="shared" si="43"/>
        <v>14.671993756292739</v>
      </c>
      <c r="L215" s="3">
        <f t="shared" si="38"/>
        <v>2.2594191044379128</v>
      </c>
      <c r="M215" s="3">
        <f t="shared" si="39"/>
        <v>5.7576195596063471</v>
      </c>
      <c r="O215" s="8">
        <v>1.4764158640104386</v>
      </c>
      <c r="P215" s="26">
        <f t="shared" si="40"/>
        <v>1.4764158640104386E-2</v>
      </c>
      <c r="AF215" s="8">
        <v>1.4764158640104386</v>
      </c>
      <c r="AG215" s="8">
        <f t="shared" si="41"/>
        <v>-1.4764158640104386</v>
      </c>
      <c r="AH215" s="8">
        <v>-0.31155569645924253</v>
      </c>
      <c r="AI215" s="7">
        <f t="shared" si="42"/>
        <v>-3.1155569645924253E-3</v>
      </c>
    </row>
    <row r="216" spans="1:35" x14ac:dyDescent="0.35">
      <c r="A216" s="9">
        <v>43916</v>
      </c>
      <c r="B216" s="10">
        <f>Расчеты!G220/360</f>
        <v>1.7055555555555553E-2</v>
      </c>
      <c r="C216" s="34">
        <f>SNGS!C207</f>
        <v>32.25</v>
      </c>
      <c r="D216" s="34">
        <f>'FXGD ETF'!C207</f>
        <v>868</v>
      </c>
      <c r="E216" s="34">
        <f t="shared" si="33"/>
        <v>1308908.5069440894</v>
      </c>
      <c r="F216" s="3">
        <f t="shared" si="34"/>
        <v>6.9332560638972751</v>
      </c>
      <c r="G216" s="3">
        <f t="shared" si="35"/>
        <v>6.9162005083417197</v>
      </c>
      <c r="H216" s="34">
        <v>2489.9699999999998</v>
      </c>
      <c r="I216" s="3">
        <f t="shared" si="36"/>
        <v>1.5199637948537958</v>
      </c>
      <c r="J216" s="3">
        <f t="shared" si="37"/>
        <v>1.5029082392982402</v>
      </c>
      <c r="K216" s="3">
        <f t="shared" si="43"/>
        <v>47.833829471586263</v>
      </c>
      <c r="L216" s="3">
        <f t="shared" si="38"/>
        <v>2.2587331757505367</v>
      </c>
      <c r="M216" s="3">
        <f t="shared" si="39"/>
        <v>10.394414728625447</v>
      </c>
      <c r="O216" s="8">
        <v>1.5129213814556897</v>
      </c>
      <c r="P216" s="26">
        <f t="shared" si="40"/>
        <v>1.5129213814556897E-2</v>
      </c>
      <c r="AF216" s="8">
        <v>1.5129213814556897</v>
      </c>
      <c r="AG216" s="8">
        <f t="shared" si="41"/>
        <v>-1.5129213814556897</v>
      </c>
      <c r="AH216" s="8">
        <v>-0.29642916205459002</v>
      </c>
      <c r="AI216" s="7">
        <f t="shared" si="42"/>
        <v>-2.9642916205459002E-3</v>
      </c>
    </row>
    <row r="217" spans="1:35" x14ac:dyDescent="0.35">
      <c r="A217" s="9">
        <v>43917</v>
      </c>
      <c r="B217" s="10">
        <f>Расчеты!G221/360</f>
        <v>1.7361111111111112E-2</v>
      </c>
      <c r="C217" s="34">
        <f>SNGS!C208</f>
        <v>30.925000000000001</v>
      </c>
      <c r="D217" s="34">
        <f>'FXGD ETF'!C208</f>
        <v>887</v>
      </c>
      <c r="E217" s="34">
        <f t="shared" si="33"/>
        <v>1271446.6304800799</v>
      </c>
      <c r="F217" s="3">
        <f t="shared" si="34"/>
        <v>-2.8620699052122278</v>
      </c>
      <c r="G217" s="3">
        <f t="shared" si="35"/>
        <v>-2.879431016323339</v>
      </c>
      <c r="H217" s="34">
        <v>2401.11</v>
      </c>
      <c r="I217" s="3">
        <f t="shared" si="36"/>
        <v>-3.5687176953939082</v>
      </c>
      <c r="J217" s="3">
        <f t="shared" si="37"/>
        <v>-3.5860788065050193</v>
      </c>
      <c r="K217" s="3">
        <f t="shared" si="43"/>
        <v>8.2911229777648572</v>
      </c>
      <c r="L217" s="3">
        <f t="shared" si="38"/>
        <v>12.859961206464464</v>
      </c>
      <c r="M217" s="3">
        <f t="shared" si="39"/>
        <v>10.325866542430335</v>
      </c>
      <c r="O217" s="8">
        <v>1.5453926065467805</v>
      </c>
      <c r="P217" s="26">
        <f t="shared" si="40"/>
        <v>1.5453926065467805E-2</v>
      </c>
      <c r="AF217" s="8">
        <v>1.5453926065467805</v>
      </c>
      <c r="AG217" s="8">
        <f t="shared" si="41"/>
        <v>-1.5453926065467805</v>
      </c>
      <c r="AH217" s="8">
        <v>-0.28837788567045441</v>
      </c>
      <c r="AI217" s="7">
        <f t="shared" si="42"/>
        <v>-2.8837788567045441E-3</v>
      </c>
    </row>
    <row r="218" spans="1:35" x14ac:dyDescent="0.35">
      <c r="A218" s="9">
        <v>43920</v>
      </c>
      <c r="B218" s="10">
        <f>Расчеты!G222/360</f>
        <v>1.7208333333333332E-2</v>
      </c>
      <c r="C218" s="34">
        <f>SNGS!C209</f>
        <v>31.7</v>
      </c>
      <c r="D218" s="34">
        <f>'FXGD ETF'!C209</f>
        <v>896.4</v>
      </c>
      <c r="E218" s="34">
        <f t="shared" si="33"/>
        <v>1299480.8759723313</v>
      </c>
      <c r="F218" s="3">
        <f t="shared" si="34"/>
        <v>2.2049093387164875</v>
      </c>
      <c r="G218" s="3">
        <f t="shared" si="35"/>
        <v>2.187701005383154</v>
      </c>
      <c r="H218" s="34">
        <v>2433.35</v>
      </c>
      <c r="I218" s="3">
        <f t="shared" si="36"/>
        <v>1.3427123288812126</v>
      </c>
      <c r="J218" s="3">
        <f t="shared" si="37"/>
        <v>1.3255039955478793</v>
      </c>
      <c r="K218" s="3">
        <f t="shared" si="43"/>
        <v>4.7860356889544633</v>
      </c>
      <c r="L218" s="3">
        <f t="shared" si="38"/>
        <v>1.7569608422133924</v>
      </c>
      <c r="M218" s="3">
        <f t="shared" si="39"/>
        <v>2.8998064236994834</v>
      </c>
      <c r="O218" s="8">
        <v>1.5854351037827508</v>
      </c>
      <c r="P218" s="26">
        <f t="shared" si="40"/>
        <v>1.5854351037827508E-2</v>
      </c>
      <c r="AF218" s="8">
        <v>1.5854351037827508</v>
      </c>
      <c r="AG218" s="8">
        <f t="shared" si="41"/>
        <v>-1.5854351037827508</v>
      </c>
      <c r="AH218" s="8">
        <v>-0.28624025096740668</v>
      </c>
      <c r="AI218" s="7">
        <f t="shared" si="42"/>
        <v>-2.8624025096740668E-3</v>
      </c>
    </row>
    <row r="219" spans="1:35" x14ac:dyDescent="0.35">
      <c r="A219" s="9">
        <v>43921</v>
      </c>
      <c r="B219" s="10">
        <f>Расчеты!G223/360</f>
        <v>1.7208333333333332E-2</v>
      </c>
      <c r="C219" s="34">
        <f>SNGS!C210</f>
        <v>33.9</v>
      </c>
      <c r="D219" s="34">
        <f>'FXGD ETF'!C210</f>
        <v>864.8</v>
      </c>
      <c r="E219" s="34">
        <f t="shared" si="33"/>
        <v>1361665.9592208539</v>
      </c>
      <c r="F219" s="3">
        <f t="shared" si="34"/>
        <v>4.7853788692344468</v>
      </c>
      <c r="G219" s="3">
        <f t="shared" si="35"/>
        <v>4.7681705359011133</v>
      </c>
      <c r="H219" s="34">
        <v>2508.81</v>
      </c>
      <c r="I219" s="3">
        <f t="shared" si="36"/>
        <v>3.1010746501736408</v>
      </c>
      <c r="J219" s="3">
        <f t="shared" si="37"/>
        <v>3.0838663168403073</v>
      </c>
      <c r="K219" s="3">
        <f t="shared" si="43"/>
        <v>22.73545025943551</v>
      </c>
      <c r="L219" s="3">
        <f t="shared" si="38"/>
        <v>9.5102314601422027</v>
      </c>
      <c r="M219" s="3">
        <f t="shared" si="39"/>
        <v>14.704400508615841</v>
      </c>
      <c r="O219" s="8">
        <v>1.5947494857420974</v>
      </c>
      <c r="P219" s="26">
        <f t="shared" si="40"/>
        <v>1.5947494857420974E-2</v>
      </c>
      <c r="AF219" s="8">
        <v>1.5947494857420974</v>
      </c>
      <c r="AG219" s="8">
        <f t="shared" si="41"/>
        <v>-1.5947494857420974</v>
      </c>
      <c r="AH219" s="8">
        <v>-0.28554473529340818</v>
      </c>
      <c r="AI219" s="7">
        <f t="shared" si="42"/>
        <v>-2.8554473529340818E-3</v>
      </c>
    </row>
    <row r="220" spans="1:35" x14ac:dyDescent="0.35">
      <c r="A220" s="9">
        <v>43922</v>
      </c>
      <c r="B220" s="10">
        <f>Расчеты!G224/360</f>
        <v>1.7208333333333332E-2</v>
      </c>
      <c r="C220" s="34">
        <f>SNGS!C211</f>
        <v>35</v>
      </c>
      <c r="D220" s="34">
        <f>'FXGD ETF'!C211</f>
        <v>860</v>
      </c>
      <c r="E220" s="34">
        <f t="shared" si="33"/>
        <v>1396041.6734423884</v>
      </c>
      <c r="F220" s="3">
        <f t="shared" si="34"/>
        <v>2.5245335677778424</v>
      </c>
      <c r="G220" s="3">
        <f t="shared" si="35"/>
        <v>2.5073252344445089</v>
      </c>
      <c r="H220" s="34">
        <v>2473.61</v>
      </c>
      <c r="I220" s="3">
        <f t="shared" si="36"/>
        <v>-1.4030556319529874</v>
      </c>
      <c r="J220" s="3">
        <f t="shared" si="37"/>
        <v>-1.4202639652863207</v>
      </c>
      <c r="K220" s="3">
        <f t="shared" si="43"/>
        <v>6.2866798312822114</v>
      </c>
      <c r="L220" s="3">
        <f t="shared" si="38"/>
        <v>2.0171497310908233</v>
      </c>
      <c r="M220" s="3">
        <f t="shared" si="39"/>
        <v>-3.561063679734612</v>
      </c>
      <c r="O220" s="8">
        <v>1.5965215267851995</v>
      </c>
      <c r="P220" s="26">
        <f t="shared" si="40"/>
        <v>1.5965215267851995E-2</v>
      </c>
      <c r="AF220" s="8">
        <v>1.5965215267851995</v>
      </c>
      <c r="AG220" s="8">
        <f t="shared" si="41"/>
        <v>-1.5965215267851995</v>
      </c>
      <c r="AH220" s="8">
        <v>-0.28102397916218713</v>
      </c>
      <c r="AI220" s="7">
        <f t="shared" si="42"/>
        <v>-2.8102397916218713E-3</v>
      </c>
    </row>
    <row r="221" spans="1:35" x14ac:dyDescent="0.35">
      <c r="A221" s="9">
        <v>43923</v>
      </c>
      <c r="B221" s="10">
        <f>Расчеты!G225/360</f>
        <v>1.7208333333333332E-2</v>
      </c>
      <c r="C221" s="34">
        <f>SNGS!C212</f>
        <v>35.67</v>
      </c>
      <c r="D221" s="34">
        <f>'FXGD ETF'!C212</f>
        <v>861.6</v>
      </c>
      <c r="E221" s="34">
        <f t="shared" si="33"/>
        <v>1418329.7792817885</v>
      </c>
      <c r="F221" s="3">
        <f t="shared" si="34"/>
        <v>1.5965215267851995</v>
      </c>
      <c r="G221" s="3">
        <f t="shared" si="35"/>
        <v>1.5793131934518663</v>
      </c>
      <c r="H221" s="34">
        <v>2545.9499999999998</v>
      </c>
      <c r="I221" s="3">
        <f t="shared" si="36"/>
        <v>2.9244707128447844</v>
      </c>
      <c r="J221" s="3">
        <f t="shared" si="37"/>
        <v>2.9072623795114509</v>
      </c>
      <c r="K221" s="3">
        <f t="shared" si="43"/>
        <v>2.4942301630111321</v>
      </c>
      <c r="L221" s="3">
        <f t="shared" si="38"/>
        <v>8.4521745433225846</v>
      </c>
      <c r="M221" s="3">
        <f t="shared" si="39"/>
        <v>4.5914778327887014</v>
      </c>
      <c r="O221" s="8">
        <v>1.6187239264656483</v>
      </c>
      <c r="P221" s="26">
        <f t="shared" si="40"/>
        <v>1.6187239264656483E-2</v>
      </c>
      <c r="AF221" s="8">
        <v>1.6187239264656483</v>
      </c>
      <c r="AG221" s="8">
        <f t="shared" si="41"/>
        <v>-1.6187239264656483</v>
      </c>
      <c r="AH221" s="8">
        <v>-0.27880838875649072</v>
      </c>
      <c r="AI221" s="7">
        <f t="shared" si="42"/>
        <v>-2.7880838875649072E-3</v>
      </c>
    </row>
    <row r="222" spans="1:35" x14ac:dyDescent="0.35">
      <c r="A222" s="9">
        <v>43924</v>
      </c>
      <c r="B222" s="10">
        <f>Расчеты!G226/360</f>
        <v>1.7208333333333332E-2</v>
      </c>
      <c r="C222" s="34">
        <f>SNGS!C213</f>
        <v>36.384999999999998</v>
      </c>
      <c r="D222" s="34">
        <f>'FXGD ETF'!C213</f>
        <v>859.4</v>
      </c>
      <c r="E222" s="34">
        <f t="shared" si="33"/>
        <v>1440948.5861430119</v>
      </c>
      <c r="F222" s="3">
        <f t="shared" si="34"/>
        <v>1.5947494857420974</v>
      </c>
      <c r="G222" s="3">
        <f t="shared" si="35"/>
        <v>1.5775411524087641</v>
      </c>
      <c r="H222" s="34">
        <v>2572.23</v>
      </c>
      <c r="I222" s="3">
        <f t="shared" si="36"/>
        <v>1.0322276556884447</v>
      </c>
      <c r="J222" s="3">
        <f t="shared" si="37"/>
        <v>1.0150193223551114</v>
      </c>
      <c r="K222" s="3">
        <f t="shared" si="43"/>
        <v>2.4886360875431714</v>
      </c>
      <c r="L222" s="3">
        <f t="shared" si="38"/>
        <v>1.0302642247542295</v>
      </c>
      <c r="M222" s="3">
        <f t="shared" si="39"/>
        <v>1.6012347515052452</v>
      </c>
      <c r="O222" s="8">
        <v>1.6608866484494333</v>
      </c>
      <c r="P222" s="26">
        <f t="shared" si="40"/>
        <v>1.6608866484494333E-2</v>
      </c>
      <c r="AF222" s="8">
        <v>1.6608866484494333</v>
      </c>
      <c r="AG222" s="8">
        <f t="shared" si="41"/>
        <v>-1.6608866484494333</v>
      </c>
      <c r="AH222" s="8">
        <v>-0.27348753828422279</v>
      </c>
      <c r="AI222" s="7">
        <f t="shared" si="42"/>
        <v>-2.7348753828422279E-3</v>
      </c>
    </row>
    <row r="223" spans="1:35" x14ac:dyDescent="0.35">
      <c r="A223" s="9">
        <v>43927</v>
      </c>
      <c r="B223" s="10">
        <f>Расчеты!G227/360</f>
        <v>1.7055555555555553E-2</v>
      </c>
      <c r="C223" s="34">
        <f>SNGS!C214</f>
        <v>37.25</v>
      </c>
      <c r="D223" s="34">
        <f>'FXGD ETF'!C214</f>
        <v>862</v>
      </c>
      <c r="E223" s="34">
        <f t="shared" si="33"/>
        <v>1469883.0098678037</v>
      </c>
      <c r="F223" s="3">
        <f t="shared" si="34"/>
        <v>2.0080122221598939</v>
      </c>
      <c r="G223" s="3">
        <f t="shared" si="35"/>
        <v>1.9909566666043383</v>
      </c>
      <c r="H223" s="34">
        <v>2622.59</v>
      </c>
      <c r="I223" s="3">
        <f t="shared" si="36"/>
        <v>1.9578342527690085</v>
      </c>
      <c r="J223" s="3">
        <f t="shared" si="37"/>
        <v>1.9407786972134529</v>
      </c>
      <c r="K223" s="3">
        <f t="shared" si="43"/>
        <v>3.9639084482962583</v>
      </c>
      <c r="L223" s="3">
        <f t="shared" si="38"/>
        <v>3.7666219515575472</v>
      </c>
      <c r="M223" s="3">
        <f t="shared" si="39"/>
        <v>3.8640062856208064</v>
      </c>
      <c r="O223" s="8">
        <v>1.8353236053961774</v>
      </c>
      <c r="P223" s="26">
        <f t="shared" si="40"/>
        <v>1.8353236053961774E-2</v>
      </c>
      <c r="AF223" s="8">
        <v>1.8353236053961774</v>
      </c>
      <c r="AG223" s="8">
        <f t="shared" si="41"/>
        <v>-1.8353236053961774</v>
      </c>
      <c r="AH223" s="8">
        <v>-0.25778493389618795</v>
      </c>
      <c r="AI223" s="7">
        <f t="shared" si="42"/>
        <v>-2.5778493389618795E-3</v>
      </c>
    </row>
    <row r="224" spans="1:35" x14ac:dyDescent="0.35">
      <c r="A224" s="9">
        <v>43928</v>
      </c>
      <c r="B224" s="10">
        <f>Расчеты!G228/360</f>
        <v>1.7055555555555553E-2</v>
      </c>
      <c r="C224" s="34">
        <f>SNGS!C215</f>
        <v>37.200000000000003</v>
      </c>
      <c r="D224" s="34">
        <f>'FXGD ETF'!C215</f>
        <v>859.6</v>
      </c>
      <c r="E224" s="34">
        <f t="shared" si="33"/>
        <v>1467539.0280577219</v>
      </c>
      <c r="F224" s="3">
        <f t="shared" si="34"/>
        <v>-0.15946723612326741</v>
      </c>
      <c r="G224" s="3">
        <f t="shared" si="35"/>
        <v>-0.17652279167882295</v>
      </c>
      <c r="H224" s="34">
        <v>2634.74</v>
      </c>
      <c r="I224" s="3">
        <f t="shared" si="36"/>
        <v>0.4632824802961899</v>
      </c>
      <c r="J224" s="3">
        <f t="shared" si="37"/>
        <v>0.44622692474063436</v>
      </c>
      <c r="K224" s="3">
        <f t="shared" si="43"/>
        <v>3.1160295982085126E-2</v>
      </c>
      <c r="L224" s="3">
        <f t="shared" si="38"/>
        <v>0.19911846836348376</v>
      </c>
      <c r="M224" s="3">
        <f t="shared" si="39"/>
        <v>-7.8769222477472811E-2</v>
      </c>
      <c r="O224" s="8">
        <v>1.8364177917812308</v>
      </c>
      <c r="P224" s="26">
        <f t="shared" si="40"/>
        <v>1.8364177917812308E-2</v>
      </c>
      <c r="AF224" s="8">
        <v>1.8364177917812308</v>
      </c>
      <c r="AG224" s="8">
        <f t="shared" si="41"/>
        <v>-1.8364177917812308</v>
      </c>
      <c r="AH224" s="8">
        <v>-0.25778300148874278</v>
      </c>
      <c r="AI224" s="7">
        <f t="shared" si="42"/>
        <v>-2.5778300148874278E-3</v>
      </c>
    </row>
    <row r="225" spans="1:35" x14ac:dyDescent="0.35">
      <c r="A225" s="9">
        <v>43929</v>
      </c>
      <c r="B225" s="10">
        <f>Расчеты!G229/360</f>
        <v>1.7000000000000001E-2</v>
      </c>
      <c r="C225" s="34">
        <f>SNGS!C216</f>
        <v>36.875</v>
      </c>
      <c r="D225" s="34">
        <f>'FXGD ETF'!C216</f>
        <v>855.6</v>
      </c>
      <c r="E225" s="34">
        <f t="shared" si="33"/>
        <v>1455765.4010311326</v>
      </c>
      <c r="F225" s="3">
        <f t="shared" si="34"/>
        <v>-0.80227011353637412</v>
      </c>
      <c r="G225" s="3">
        <f t="shared" si="35"/>
        <v>-0.81927011353637413</v>
      </c>
      <c r="H225" s="34">
        <v>2670.12</v>
      </c>
      <c r="I225" s="3">
        <f t="shared" si="36"/>
        <v>1.3428269962121542</v>
      </c>
      <c r="J225" s="3">
        <f t="shared" si="37"/>
        <v>1.3258269962121543</v>
      </c>
      <c r="K225" s="3">
        <f t="shared" si="43"/>
        <v>0.6712035189339034</v>
      </c>
      <c r="L225" s="3">
        <f t="shared" si="38"/>
        <v>1.7578172238849437</v>
      </c>
      <c r="M225" s="3">
        <f t="shared" si="39"/>
        <v>-1.0862104337163214</v>
      </c>
      <c r="O225" s="8">
        <v>1.8519751812987817</v>
      </c>
      <c r="P225" s="26">
        <f t="shared" si="40"/>
        <v>1.8519751812987817E-2</v>
      </c>
      <c r="AF225" s="8">
        <v>1.8519751812987817</v>
      </c>
      <c r="AG225" s="8">
        <f t="shared" si="41"/>
        <v>-1.8519751812987817</v>
      </c>
      <c r="AH225" s="8">
        <v>-0.25664411816455068</v>
      </c>
      <c r="AI225" s="7">
        <f t="shared" si="42"/>
        <v>-2.5664411816455068E-3</v>
      </c>
    </row>
    <row r="226" spans="1:35" x14ac:dyDescent="0.35">
      <c r="A226" s="9">
        <v>43930</v>
      </c>
      <c r="B226" s="10">
        <f>Расчеты!G230/360</f>
        <v>1.6833333333333332E-2</v>
      </c>
      <c r="C226" s="34">
        <f>SNGS!C217</f>
        <v>37.520000000000003</v>
      </c>
      <c r="D226" s="34">
        <f>'FXGD ETF'!C217</f>
        <v>849.6</v>
      </c>
      <c r="E226" s="34">
        <f t="shared" si="33"/>
        <v>1474971.3064543509</v>
      </c>
      <c r="F226" s="3">
        <f t="shared" si="34"/>
        <v>1.319299483942582</v>
      </c>
      <c r="G226" s="3">
        <f t="shared" si="35"/>
        <v>1.3024661506092488</v>
      </c>
      <c r="H226" s="34">
        <v>2701.77</v>
      </c>
      <c r="I226" s="3">
        <f t="shared" si="36"/>
        <v>1.185339984719791</v>
      </c>
      <c r="J226" s="3">
        <f t="shared" si="37"/>
        <v>1.1685066513864577</v>
      </c>
      <c r="K226" s="3">
        <f t="shared" si="43"/>
        <v>1.6964180734828742</v>
      </c>
      <c r="L226" s="3">
        <f t="shared" si="38"/>
        <v>1.3654077943343925</v>
      </c>
      <c r="M226" s="3">
        <f t="shared" si="39"/>
        <v>1.5219403601926229</v>
      </c>
      <c r="O226" s="8">
        <v>1.8933055392270637</v>
      </c>
      <c r="P226" s="26">
        <f t="shared" si="40"/>
        <v>1.8933055392270637E-2</v>
      </c>
      <c r="AF226" s="8">
        <v>1.8933055392270637</v>
      </c>
      <c r="AG226" s="8">
        <f t="shared" si="41"/>
        <v>-1.8933055392270637</v>
      </c>
      <c r="AH226" s="8">
        <v>-0.25608865173898376</v>
      </c>
      <c r="AI226" s="7">
        <f t="shared" si="42"/>
        <v>-2.5608865173898376E-3</v>
      </c>
    </row>
    <row r="227" spans="1:35" x14ac:dyDescent="0.35">
      <c r="A227" s="9">
        <v>43931</v>
      </c>
      <c r="B227" s="10">
        <f>Расчеты!G231/360</f>
        <v>1.7277777777777777E-2</v>
      </c>
      <c r="C227" s="34">
        <f>SNGS!C218</f>
        <v>37.08</v>
      </c>
      <c r="D227" s="34">
        <f>'FXGD ETF'!C218</f>
        <v>861</v>
      </c>
      <c r="E227" s="34">
        <f t="shared" si="33"/>
        <v>1464050.5186041142</v>
      </c>
      <c r="F227" s="3">
        <f t="shared" si="34"/>
        <v>-0.74040679994575864</v>
      </c>
      <c r="G227" s="3">
        <f t="shared" si="35"/>
        <v>-0.75768457772353637</v>
      </c>
      <c r="H227" s="34">
        <v>2677.86</v>
      </c>
      <c r="I227" s="3">
        <f t="shared" si="36"/>
        <v>-0.88497540501226712</v>
      </c>
      <c r="J227" s="3">
        <f t="shared" si="37"/>
        <v>-0.90225318279004485</v>
      </c>
      <c r="K227" s="3">
        <f t="shared" si="43"/>
        <v>0.57408591932009367</v>
      </c>
      <c r="L227" s="3">
        <f t="shared" si="38"/>
        <v>0.81406080585476603</v>
      </c>
      <c r="M227" s="3">
        <f t="shared" si="39"/>
        <v>0.68362332180199181</v>
      </c>
      <c r="O227" s="8">
        <v>1.9049446538647263</v>
      </c>
      <c r="P227" s="26">
        <f t="shared" si="40"/>
        <v>1.9049446538647263E-2</v>
      </c>
      <c r="AF227" s="8">
        <v>1.9049446538647263</v>
      </c>
      <c r="AG227" s="8">
        <f t="shared" si="41"/>
        <v>-1.9049446538647263</v>
      </c>
      <c r="AH227" s="8">
        <v>-0.24930273305652229</v>
      </c>
      <c r="AI227" s="7">
        <f t="shared" si="42"/>
        <v>-2.4930273305652229E-3</v>
      </c>
    </row>
    <row r="228" spans="1:35" x14ac:dyDescent="0.35">
      <c r="A228" s="9">
        <v>43934</v>
      </c>
      <c r="B228" s="10">
        <f>Расчеты!G232/360</f>
        <v>1.7000000000000001E-2</v>
      </c>
      <c r="C228" s="34">
        <f>SNGS!C219</f>
        <v>36.01</v>
      </c>
      <c r="D228" s="34">
        <f>'FXGD ETF'!C219</f>
        <v>869.6</v>
      </c>
      <c r="E228" s="34">
        <f t="shared" si="33"/>
        <v>1431785.5832258619</v>
      </c>
      <c r="F228" s="3">
        <f t="shared" si="34"/>
        <v>-2.2038129810585394</v>
      </c>
      <c r="G228" s="3">
        <f t="shared" si="35"/>
        <v>-2.2208129810585393</v>
      </c>
      <c r="H228" s="34">
        <v>2628.85</v>
      </c>
      <c r="I228" s="3">
        <f t="shared" si="36"/>
        <v>-1.8301927658652906</v>
      </c>
      <c r="J228" s="3">
        <f t="shared" si="37"/>
        <v>-1.8471927658652905</v>
      </c>
      <c r="K228" s="3">
        <f t="shared" si="43"/>
        <v>4.9320102968381159</v>
      </c>
      <c r="L228" s="3">
        <f t="shared" si="38"/>
        <v>3.4121211142650618</v>
      </c>
      <c r="M228" s="3">
        <f t="shared" si="39"/>
        <v>4.1022696729510644</v>
      </c>
      <c r="O228" s="8">
        <v>1.9251035191387711</v>
      </c>
      <c r="P228" s="26">
        <f t="shared" si="40"/>
        <v>1.9251035191387711E-2</v>
      </c>
      <c r="AF228" s="8">
        <v>1.9251035191387711</v>
      </c>
      <c r="AG228" s="8">
        <f t="shared" si="41"/>
        <v>-1.9251035191387711</v>
      </c>
      <c r="AH228" s="8">
        <v>-0.2475369092984181</v>
      </c>
      <c r="AI228" s="7">
        <f t="shared" si="42"/>
        <v>-2.475369092984181E-3</v>
      </c>
    </row>
    <row r="229" spans="1:35" x14ac:dyDescent="0.35">
      <c r="A229" s="9">
        <v>43935</v>
      </c>
      <c r="B229" s="10">
        <f>Расчеты!G233/360</f>
        <v>1.6972222222222222E-2</v>
      </c>
      <c r="C229" s="34">
        <f>SNGS!C220</f>
        <v>35.65</v>
      </c>
      <c r="D229" s="34">
        <f>'FXGD ETF'!C220</f>
        <v>870</v>
      </c>
      <c r="E229" s="34">
        <f t="shared" si="33"/>
        <v>1420185.8679677988</v>
      </c>
      <c r="F229" s="3">
        <f t="shared" si="34"/>
        <v>-0.81015728849067603</v>
      </c>
      <c r="G229" s="3">
        <f t="shared" si="35"/>
        <v>-0.8271295107128982</v>
      </c>
      <c r="H229" s="34">
        <v>2631.83</v>
      </c>
      <c r="I229" s="3">
        <f t="shared" si="36"/>
        <v>0.11335755178119022</v>
      </c>
      <c r="J229" s="3">
        <f t="shared" si="37"/>
        <v>9.6385329558968003E-2</v>
      </c>
      <c r="K229" s="3">
        <f t="shared" si="43"/>
        <v>0.68414322749215839</v>
      </c>
      <c r="L229" s="3">
        <f t="shared" si="38"/>
        <v>9.2901317541908713E-3</v>
      </c>
      <c r="M229" s="3">
        <f t="shared" si="39"/>
        <v>-7.9723150478010651E-2</v>
      </c>
      <c r="O229" s="8">
        <v>1.936505182218573</v>
      </c>
      <c r="P229" s="26">
        <f t="shared" si="40"/>
        <v>1.936505182218573E-2</v>
      </c>
      <c r="AF229" s="8">
        <v>1.936505182218573</v>
      </c>
      <c r="AG229" s="8">
        <f t="shared" si="41"/>
        <v>-1.936505182218573</v>
      </c>
      <c r="AH229" s="8">
        <v>-0.23288034898716337</v>
      </c>
      <c r="AI229" s="7">
        <f t="shared" si="42"/>
        <v>-2.3288034898716337E-3</v>
      </c>
    </row>
    <row r="230" spans="1:35" x14ac:dyDescent="0.35">
      <c r="A230" s="9">
        <v>43936</v>
      </c>
      <c r="B230" s="10">
        <f>Расчеты!G234/360</f>
        <v>1.7027777777777777E-2</v>
      </c>
      <c r="C230" s="34">
        <f>SNGS!C221</f>
        <v>33.75</v>
      </c>
      <c r="D230" s="34">
        <f>'FXGD ETF'!C221</f>
        <v>883.6</v>
      </c>
      <c r="E230" s="34">
        <f t="shared" si="33"/>
        <v>1362394.2399296174</v>
      </c>
      <c r="F230" s="3">
        <f t="shared" si="34"/>
        <v>-4.0693003177730391</v>
      </c>
      <c r="G230" s="3">
        <f t="shared" si="35"/>
        <v>-4.086328095550817</v>
      </c>
      <c r="H230" s="34">
        <v>2498.94</v>
      </c>
      <c r="I230" s="3">
        <f t="shared" si="36"/>
        <v>-5.0493382931268265</v>
      </c>
      <c r="J230" s="3">
        <f t="shared" si="37"/>
        <v>-5.0663660709046043</v>
      </c>
      <c r="K230" s="3">
        <f t="shared" si="43"/>
        <v>16.698077304487967</v>
      </c>
      <c r="L230" s="3">
        <f t="shared" si="38"/>
        <v>25.66806516441336</v>
      </c>
      <c r="M230" s="3">
        <f t="shared" si="39"/>
        <v>20.702834017882886</v>
      </c>
      <c r="O230" s="8">
        <v>1.9477385155897808</v>
      </c>
      <c r="P230" s="26">
        <f t="shared" si="40"/>
        <v>1.9477385155897808E-2</v>
      </c>
      <c r="AF230" s="8">
        <v>1.9477385155897808</v>
      </c>
      <c r="AG230" s="8">
        <f t="shared" si="41"/>
        <v>-1.9477385155897808</v>
      </c>
      <c r="AH230" s="8">
        <v>-0.23274250316320799</v>
      </c>
      <c r="AI230" s="7">
        <f t="shared" si="42"/>
        <v>-2.3274250316320799E-3</v>
      </c>
    </row>
    <row r="231" spans="1:35" x14ac:dyDescent="0.35">
      <c r="A231" s="9">
        <v>43937</v>
      </c>
      <c r="B231" s="10">
        <f>Расчеты!G235/360</f>
        <v>1.7305555555555557E-2</v>
      </c>
      <c r="C231" s="34">
        <f>SNGS!C222</f>
        <v>34.295000000000002</v>
      </c>
      <c r="D231" s="34">
        <f>'FXGD ETF'!C222</f>
        <v>880</v>
      </c>
      <c r="E231" s="34">
        <f t="shared" si="33"/>
        <v>1379061.1674327054</v>
      </c>
      <c r="F231" s="3">
        <f t="shared" si="34"/>
        <v>1.2233556935728807</v>
      </c>
      <c r="G231" s="3">
        <f t="shared" si="35"/>
        <v>1.2060501380173252</v>
      </c>
      <c r="H231" s="34">
        <v>2515.0500000000002</v>
      </c>
      <c r="I231" s="3">
        <f t="shared" si="36"/>
        <v>0.64467334149680422</v>
      </c>
      <c r="J231" s="3">
        <f t="shared" si="37"/>
        <v>0.62736778594124865</v>
      </c>
      <c r="K231" s="3">
        <f t="shared" si="43"/>
        <v>1.4545569354116092</v>
      </c>
      <c r="L231" s="3">
        <f t="shared" si="38"/>
        <v>0.39359033883682437</v>
      </c>
      <c r="M231" s="3">
        <f t="shared" si="39"/>
        <v>0.75663700482206664</v>
      </c>
      <c r="O231" s="8">
        <v>1.9557591005055386</v>
      </c>
      <c r="P231" s="26">
        <f t="shared" si="40"/>
        <v>1.9557591005055386E-2</v>
      </c>
      <c r="AF231" s="8">
        <v>1.9557591005055386</v>
      </c>
      <c r="AG231" s="8">
        <f t="shared" si="41"/>
        <v>-1.9557591005055386</v>
      </c>
      <c r="AH231" s="8">
        <v>-0.22183061337814891</v>
      </c>
      <c r="AI231" s="7">
        <f t="shared" si="42"/>
        <v>-2.2183061337814891E-3</v>
      </c>
    </row>
    <row r="232" spans="1:35" x14ac:dyDescent="0.35">
      <c r="A232" s="9">
        <v>43938</v>
      </c>
      <c r="B232" s="10">
        <f>Расчеты!G236/360</f>
        <v>1.7472222222222222E-2</v>
      </c>
      <c r="C232" s="34">
        <f>SNGS!C223</f>
        <v>34.36</v>
      </c>
      <c r="D232" s="34">
        <f>'FXGD ETF'!C223</f>
        <v>861</v>
      </c>
      <c r="E232" s="34">
        <f t="shared" si="33"/>
        <v>1375506.1821629317</v>
      </c>
      <c r="F232" s="3">
        <f t="shared" si="34"/>
        <v>-0.25778300148874278</v>
      </c>
      <c r="G232" s="3">
        <f t="shared" si="35"/>
        <v>-0.275255223710965</v>
      </c>
      <c r="H232" s="34">
        <v>2534.9699999999998</v>
      </c>
      <c r="I232" s="3">
        <f t="shared" si="36"/>
        <v>0.79203196755530669</v>
      </c>
      <c r="J232" s="3">
        <f t="shared" si="37"/>
        <v>0.77455974533308447</v>
      </c>
      <c r="K232" s="3">
        <f t="shared" si="43"/>
        <v>7.5765438180173394E-2</v>
      </c>
      <c r="L232" s="3">
        <f t="shared" si="38"/>
        <v>0.59994279909045267</v>
      </c>
      <c r="M232" s="3">
        <f t="shared" si="39"/>
        <v>-0.21320161597916626</v>
      </c>
      <c r="O232" s="8">
        <v>2.0080122221598939</v>
      </c>
      <c r="P232" s="26">
        <f t="shared" si="40"/>
        <v>2.0080122221598939E-2</v>
      </c>
      <c r="AF232" s="8">
        <v>2.0080122221598939</v>
      </c>
      <c r="AG232" s="8">
        <f t="shared" si="41"/>
        <v>-2.0080122221598939</v>
      </c>
      <c r="AH232" s="8">
        <v>-0.21879631948424905</v>
      </c>
      <c r="AI232" s="7">
        <f t="shared" si="42"/>
        <v>-2.1879631948424905E-3</v>
      </c>
    </row>
    <row r="233" spans="1:35" x14ac:dyDescent="0.35">
      <c r="A233" s="9">
        <v>43941</v>
      </c>
      <c r="B233" s="10">
        <f>Расчеты!G237/360</f>
        <v>1.7555555555555557E-2</v>
      </c>
      <c r="C233" s="34">
        <f>SNGS!C224</f>
        <v>33.994999999999997</v>
      </c>
      <c r="D233" s="34">
        <f>'FXGD ETF'!C224</f>
        <v>865</v>
      </c>
      <c r="E233" s="34">
        <f t="shared" si="33"/>
        <v>1364818.1944305447</v>
      </c>
      <c r="F233" s="3">
        <f t="shared" si="34"/>
        <v>-0.77702215162569477</v>
      </c>
      <c r="G233" s="3">
        <f t="shared" si="35"/>
        <v>-0.79457770718125031</v>
      </c>
      <c r="H233" s="34">
        <v>2525.9699999999998</v>
      </c>
      <c r="I233" s="3">
        <f t="shared" si="36"/>
        <v>-0.35503378738209745</v>
      </c>
      <c r="J233" s="3">
        <f t="shared" si="37"/>
        <v>-0.372589342937653</v>
      </c>
      <c r="K233" s="3">
        <f t="shared" si="43"/>
        <v>0.63135373274941275</v>
      </c>
      <c r="L233" s="3">
        <f t="shared" si="38"/>
        <v>0.13882281847071198</v>
      </c>
      <c r="M233" s="3">
        <f t="shared" si="39"/>
        <v>0.29605118583156892</v>
      </c>
      <c r="O233" s="8">
        <v>2.0081283418558415</v>
      </c>
      <c r="P233" s="26">
        <f t="shared" si="40"/>
        <v>2.0081283418558415E-2</v>
      </c>
      <c r="AF233" s="8">
        <v>2.0081283418558415</v>
      </c>
      <c r="AG233" s="8">
        <f t="shared" si="41"/>
        <v>-2.0081283418558415</v>
      </c>
      <c r="AH233" s="8">
        <v>-0.21754739184983718</v>
      </c>
      <c r="AI233" s="7">
        <f t="shared" si="42"/>
        <v>-2.1754739184983718E-3</v>
      </c>
    </row>
    <row r="234" spans="1:35" x14ac:dyDescent="0.35">
      <c r="A234" s="9">
        <v>43942</v>
      </c>
      <c r="B234" s="10">
        <f>Расчеты!G238/360</f>
        <v>1.7638888888888888E-2</v>
      </c>
      <c r="C234" s="34">
        <f>SNGS!C225</f>
        <v>33.549999999999997</v>
      </c>
      <c r="D234" s="34">
        <f>'FXGD ETF'!C225</f>
        <v>892.4</v>
      </c>
      <c r="E234" s="34">
        <f t="shared" si="33"/>
        <v>1358510.1650338194</v>
      </c>
      <c r="F234" s="3">
        <f t="shared" si="34"/>
        <v>-0.46218825499738658</v>
      </c>
      <c r="G234" s="3">
        <f t="shared" si="35"/>
        <v>-0.47982714388627545</v>
      </c>
      <c r="H234" s="34">
        <v>2488.02</v>
      </c>
      <c r="I234" s="3">
        <f t="shared" si="36"/>
        <v>-1.5023931400610424</v>
      </c>
      <c r="J234" s="3">
        <f t="shared" si="37"/>
        <v>-1.5200320289499314</v>
      </c>
      <c r="K234" s="3">
        <f t="shared" si="43"/>
        <v>0.23023408801006048</v>
      </c>
      <c r="L234" s="3">
        <f t="shared" si="38"/>
        <v>2.3104973690336452</v>
      </c>
      <c r="M234" s="3">
        <f t="shared" si="39"/>
        <v>0.72935262706670589</v>
      </c>
      <c r="O234" s="8">
        <v>2.0763298227275184</v>
      </c>
      <c r="P234" s="26">
        <f t="shared" si="40"/>
        <v>2.0763298227275184E-2</v>
      </c>
      <c r="AF234" s="8">
        <v>2.0763298227275184</v>
      </c>
      <c r="AG234" s="8">
        <f t="shared" si="41"/>
        <v>-2.0763298227275184</v>
      </c>
      <c r="AH234" s="8">
        <v>-0.21158946928930833</v>
      </c>
      <c r="AI234" s="7">
        <f t="shared" si="42"/>
        <v>-2.1158946928930833E-3</v>
      </c>
    </row>
    <row r="235" spans="1:35" x14ac:dyDescent="0.35">
      <c r="A235" s="9">
        <v>43943</v>
      </c>
      <c r="B235" s="10">
        <f>Расчеты!G239/360</f>
        <v>1.7638888888888888E-2</v>
      </c>
      <c r="C235" s="34">
        <f>SNGS!C226</f>
        <v>35.67</v>
      </c>
      <c r="D235" s="34">
        <f>'FXGD ETF'!C226</f>
        <v>892</v>
      </c>
      <c r="E235" s="34">
        <f t="shared" si="33"/>
        <v>1427403.2744597066</v>
      </c>
      <c r="F235" s="3">
        <f t="shared" si="34"/>
        <v>5.0712251699767119</v>
      </c>
      <c r="G235" s="3">
        <f t="shared" si="35"/>
        <v>5.0535862810878234</v>
      </c>
      <c r="H235" s="34">
        <v>2573.41</v>
      </c>
      <c r="I235" s="3">
        <f t="shared" si="36"/>
        <v>3.4320463661867695</v>
      </c>
      <c r="J235" s="3">
        <f t="shared" si="37"/>
        <v>3.4144074772978805</v>
      </c>
      <c r="K235" s="3">
        <f t="shared" si="43"/>
        <v>25.538734300399057</v>
      </c>
      <c r="L235" s="3">
        <f t="shared" si="38"/>
        <v>11.658178421027676</v>
      </c>
      <c r="M235" s="3">
        <f t="shared" si="39"/>
        <v>17.255002785316254</v>
      </c>
      <c r="O235" s="8">
        <v>2.126511513773921</v>
      </c>
      <c r="P235" s="26">
        <f t="shared" si="40"/>
        <v>2.126511513773921E-2</v>
      </c>
      <c r="AF235" s="8">
        <v>2.126511513773921</v>
      </c>
      <c r="AG235" s="8">
        <f t="shared" si="41"/>
        <v>-2.126511513773921</v>
      </c>
      <c r="AH235" s="8">
        <v>-0.18886427543196582</v>
      </c>
      <c r="AI235" s="7">
        <f t="shared" si="42"/>
        <v>-1.8886427543196582E-3</v>
      </c>
    </row>
    <row r="236" spans="1:35" x14ac:dyDescent="0.35">
      <c r="A236" s="9">
        <v>43944</v>
      </c>
      <c r="B236" s="10">
        <f>Расчеты!G240/360</f>
        <v>1.7638888888888888E-2</v>
      </c>
      <c r="C236" s="34">
        <f>SNGS!C227</f>
        <v>35.884999999999998</v>
      </c>
      <c r="D236" s="34">
        <f>'FXGD ETF'!C227</f>
        <v>885.4</v>
      </c>
      <c r="E236" s="34">
        <f t="shared" si="33"/>
        <v>1432432.2798479802</v>
      </c>
      <c r="F236" s="3">
        <f t="shared" si="34"/>
        <v>0.35231847076833134</v>
      </c>
      <c r="G236" s="3">
        <f t="shared" si="35"/>
        <v>0.33467958187944247</v>
      </c>
      <c r="H236" s="34">
        <v>2599.41</v>
      </c>
      <c r="I236" s="3">
        <f t="shared" si="36"/>
        <v>1.0103325937180552</v>
      </c>
      <c r="J236" s="3">
        <f t="shared" si="37"/>
        <v>0.9926937048291663</v>
      </c>
      <c r="K236" s="3">
        <f t="shared" si="43"/>
        <v>0.11201042252699843</v>
      </c>
      <c r="L236" s="3">
        <f t="shared" si="38"/>
        <v>0.9854407916074559</v>
      </c>
      <c r="M236" s="3">
        <f t="shared" si="39"/>
        <v>0.33223431406658005</v>
      </c>
      <c r="O236" s="8">
        <v>2.2049093387164875</v>
      </c>
      <c r="P236" s="26">
        <f t="shared" si="40"/>
        <v>2.2049093387164875E-2</v>
      </c>
      <c r="AF236" s="8">
        <v>2.2049093387164875</v>
      </c>
      <c r="AG236" s="8">
        <f t="shared" si="41"/>
        <v>-2.2049093387164875</v>
      </c>
      <c r="AH236" s="8">
        <v>-0.18770406960670893</v>
      </c>
      <c r="AI236" s="7">
        <f t="shared" si="42"/>
        <v>-1.8770406960670893E-3</v>
      </c>
    </row>
    <row r="237" spans="1:35" x14ac:dyDescent="0.35">
      <c r="A237" s="9">
        <v>43945</v>
      </c>
      <c r="B237" s="10">
        <f>Расчеты!G241/360</f>
        <v>1.7416666666666667E-2</v>
      </c>
      <c r="C237" s="34">
        <f>SNGS!C228</f>
        <v>35.125</v>
      </c>
      <c r="D237" s="34">
        <f>'FXGD ETF'!C228</f>
        <v>878</v>
      </c>
      <c r="E237" s="34">
        <f t="shared" si="33"/>
        <v>1405483.2708009817</v>
      </c>
      <c r="F237" s="3">
        <f t="shared" si="34"/>
        <v>-1.8813461150050781</v>
      </c>
      <c r="G237" s="3">
        <f t="shared" si="35"/>
        <v>-1.8987627816717447</v>
      </c>
      <c r="H237" s="34">
        <v>2562.0300000000002</v>
      </c>
      <c r="I237" s="3">
        <f t="shared" si="36"/>
        <v>-1.438018627303872</v>
      </c>
      <c r="J237" s="3">
        <f t="shared" si="37"/>
        <v>-1.4554352939705386</v>
      </c>
      <c r="K237" s="3">
        <f t="shared" si="43"/>
        <v>3.6053001010618217</v>
      </c>
      <c r="L237" s="3">
        <f t="shared" si="38"/>
        <v>2.1182918949351079</v>
      </c>
      <c r="M237" s="3">
        <f t="shared" si="39"/>
        <v>2.7635263673227333</v>
      </c>
      <c r="O237" s="8">
        <v>2.2836572651955267</v>
      </c>
      <c r="P237" s="26">
        <f t="shared" si="40"/>
        <v>2.2836572651955267E-2</v>
      </c>
      <c r="AF237" s="8">
        <v>2.2836572651955267</v>
      </c>
      <c r="AG237" s="8">
        <f t="shared" si="41"/>
        <v>-2.2836572651955267</v>
      </c>
      <c r="AH237" s="8">
        <v>-0.18554146727292053</v>
      </c>
      <c r="AI237" s="7">
        <f t="shared" si="42"/>
        <v>-1.8554146727292053E-3</v>
      </c>
    </row>
    <row r="238" spans="1:35" x14ac:dyDescent="0.35">
      <c r="A238" s="9">
        <v>43948</v>
      </c>
      <c r="B238" s="10">
        <f>Расчеты!G242/360</f>
        <v>1.6027777777777776E-2</v>
      </c>
      <c r="C238" s="34">
        <f>SNGS!C229</f>
        <v>35</v>
      </c>
      <c r="D238" s="34">
        <f>'FXGD ETF'!C229</f>
        <v>878.4</v>
      </c>
      <c r="E238" s="34">
        <f t="shared" si="33"/>
        <v>1401533.5257869179</v>
      </c>
      <c r="F238" s="3">
        <f t="shared" si="34"/>
        <v>-0.28102397916218713</v>
      </c>
      <c r="G238" s="3">
        <f t="shared" si="35"/>
        <v>-0.29705175693996488</v>
      </c>
      <c r="H238" s="34">
        <v>2570.91</v>
      </c>
      <c r="I238" s="3">
        <f t="shared" si="36"/>
        <v>0.34660015690681778</v>
      </c>
      <c r="J238" s="3">
        <f t="shared" si="37"/>
        <v>0.33057237912904003</v>
      </c>
      <c r="K238" s="3">
        <f t="shared" si="43"/>
        <v>8.823974630111997E-2</v>
      </c>
      <c r="L238" s="3">
        <f t="shared" si="38"/>
        <v>0.10927809784303377</v>
      </c>
      <c r="M238" s="3">
        <f t="shared" si="39"/>
        <v>-9.8197106016105512E-2</v>
      </c>
      <c r="O238" s="8">
        <v>2.3313369832191011</v>
      </c>
      <c r="P238" s="26">
        <f t="shared" si="40"/>
        <v>2.3313369832191011E-2</v>
      </c>
      <c r="AF238" s="8">
        <v>2.3313369832191011</v>
      </c>
      <c r="AG238" s="8">
        <f t="shared" si="41"/>
        <v>-2.3313369832191011</v>
      </c>
      <c r="AH238" s="8">
        <v>-0.18317005096191163</v>
      </c>
      <c r="AI238" s="7">
        <f t="shared" si="42"/>
        <v>-1.8317005096191163E-3</v>
      </c>
    </row>
    <row r="239" spans="1:35" x14ac:dyDescent="0.35">
      <c r="A239" s="9">
        <v>43949</v>
      </c>
      <c r="B239" s="10">
        <f>Расчеты!G243/360</f>
        <v>1.6027777777777776E-2</v>
      </c>
      <c r="C239" s="34">
        <f>SNGS!C230</f>
        <v>36.799999999999997</v>
      </c>
      <c r="D239" s="34">
        <f>'FXGD ETF'!C230</f>
        <v>869.4</v>
      </c>
      <c r="E239" s="34">
        <f t="shared" si="33"/>
        <v>1457442.8104244233</v>
      </c>
      <c r="F239" s="3">
        <f t="shared" si="34"/>
        <v>3.9891507130458415</v>
      </c>
      <c r="G239" s="3">
        <f t="shared" si="35"/>
        <v>3.9731229352680635</v>
      </c>
      <c r="H239" s="34">
        <v>2612.2399999999998</v>
      </c>
      <c r="I239" s="3">
        <f t="shared" si="36"/>
        <v>1.6076019775099093</v>
      </c>
      <c r="J239" s="3">
        <f t="shared" si="37"/>
        <v>1.5915741997321315</v>
      </c>
      <c r="K239" s="3">
        <f t="shared" si="43"/>
        <v>15.785705858753113</v>
      </c>
      <c r="L239" s="3">
        <f t="shared" si="38"/>
        <v>2.5331084332529747</v>
      </c>
      <c r="M239" s="3">
        <f t="shared" si="39"/>
        <v>6.3235199561366455</v>
      </c>
      <c r="O239" s="8">
        <v>2.5245335677778424</v>
      </c>
      <c r="P239" s="26">
        <f t="shared" si="40"/>
        <v>2.5245335677778424E-2</v>
      </c>
      <c r="AF239" s="8">
        <v>2.5245335677778424</v>
      </c>
      <c r="AG239" s="8">
        <f t="shared" si="41"/>
        <v>-2.5245335677778424</v>
      </c>
      <c r="AH239" s="8">
        <v>-0.18299710304527927</v>
      </c>
      <c r="AI239" s="7">
        <f t="shared" si="42"/>
        <v>-1.8299710304527927E-3</v>
      </c>
    </row>
    <row r="240" spans="1:35" x14ac:dyDescent="0.35">
      <c r="A240" s="9">
        <v>43950</v>
      </c>
      <c r="B240" s="10">
        <f>Расчеты!G244/360</f>
        <v>1.6111111111111111E-2</v>
      </c>
      <c r="C240" s="34">
        <f>SNGS!C231</f>
        <v>37.435000000000002</v>
      </c>
      <c r="D240" s="34">
        <f>'FXGD ETF'!C231</f>
        <v>857</v>
      </c>
      <c r="E240" s="34">
        <f t="shared" si="33"/>
        <v>1474412.9756878205</v>
      </c>
      <c r="F240" s="3">
        <f t="shared" si="34"/>
        <v>1.1643794968843491</v>
      </c>
      <c r="G240" s="3">
        <f t="shared" si="35"/>
        <v>1.1482683857732379</v>
      </c>
      <c r="H240" s="34">
        <v>2663.14</v>
      </c>
      <c r="I240" s="3">
        <f t="shared" si="36"/>
        <v>1.9485192784736594</v>
      </c>
      <c r="J240" s="3">
        <f t="shared" si="37"/>
        <v>1.9324081673625482</v>
      </c>
      <c r="K240" s="3">
        <f t="shared" si="43"/>
        <v>1.3185202857662774</v>
      </c>
      <c r="L240" s="3">
        <f t="shared" si="38"/>
        <v>3.7342013252894821</v>
      </c>
      <c r="M240" s="3">
        <f t="shared" si="39"/>
        <v>2.2189232069924141</v>
      </c>
      <c r="O240" s="8">
        <v>2.618664214233446</v>
      </c>
      <c r="P240" s="26">
        <f t="shared" si="40"/>
        <v>2.618664214233446E-2</v>
      </c>
      <c r="AF240" s="8">
        <v>2.618664214233446</v>
      </c>
      <c r="AG240" s="8">
        <f t="shared" si="41"/>
        <v>-2.618664214233446</v>
      </c>
      <c r="AH240" s="8">
        <v>-0.17608217162143891</v>
      </c>
      <c r="AI240" s="7">
        <f t="shared" si="42"/>
        <v>-1.7608217162143891E-3</v>
      </c>
    </row>
    <row r="241" spans="1:35" x14ac:dyDescent="0.35">
      <c r="A241" s="9">
        <v>43951</v>
      </c>
      <c r="B241" s="10">
        <f>Расчеты!G245/360</f>
        <v>1.6500000000000001E-2</v>
      </c>
      <c r="C241" s="34">
        <f>SNGS!C232</f>
        <v>37.115000000000002</v>
      </c>
      <c r="D241" s="34">
        <f>'FXGD ETF'!C232</f>
        <v>864</v>
      </c>
      <c r="E241" s="34">
        <f t="shared" si="33"/>
        <v>1466085.2865828443</v>
      </c>
      <c r="F241" s="3">
        <f t="shared" si="34"/>
        <v>-0.56481387794971027</v>
      </c>
      <c r="G241" s="3">
        <f t="shared" si="35"/>
        <v>-0.58131387794971023</v>
      </c>
      <c r="H241" s="34">
        <v>2650.56</v>
      </c>
      <c r="I241" s="3">
        <f t="shared" si="36"/>
        <v>-0.47237471556133004</v>
      </c>
      <c r="J241" s="3">
        <f t="shared" si="37"/>
        <v>-0.48887471556133005</v>
      </c>
      <c r="K241" s="3">
        <f t="shared" si="43"/>
        <v>0.33792582469693061</v>
      </c>
      <c r="L241" s="3">
        <f t="shared" si="38"/>
        <v>0.23899848751517136</v>
      </c>
      <c r="M241" s="3">
        <f t="shared" si="39"/>
        <v>0.28418965673451835</v>
      </c>
      <c r="O241" s="8">
        <v>2.6598713142081509</v>
      </c>
      <c r="P241" s="26">
        <f t="shared" si="40"/>
        <v>2.6598713142081509E-2</v>
      </c>
      <c r="AF241" s="8">
        <v>2.6598713142081509</v>
      </c>
      <c r="AG241" s="8">
        <f t="shared" si="41"/>
        <v>-2.6598713142081509</v>
      </c>
      <c r="AH241" s="8">
        <v>-0.17367866440676227</v>
      </c>
      <c r="AI241" s="7">
        <f t="shared" si="42"/>
        <v>-1.7367866440676227E-3</v>
      </c>
    </row>
    <row r="242" spans="1:35" x14ac:dyDescent="0.35">
      <c r="A242" s="9">
        <v>43955</v>
      </c>
      <c r="B242" s="10">
        <f>Расчеты!G246/360</f>
        <v>1.6319444444444445E-2</v>
      </c>
      <c r="C242" s="34">
        <f>SNGS!C233</f>
        <v>36.409999999999997</v>
      </c>
      <c r="D242" s="34">
        <f>'FXGD ETF'!C233</f>
        <v>877</v>
      </c>
      <c r="E242" s="34">
        <f t="shared" si="33"/>
        <v>1447015.488920351</v>
      </c>
      <c r="F242" s="3">
        <f t="shared" si="34"/>
        <v>-1.3007290801574922</v>
      </c>
      <c r="G242" s="3">
        <f t="shared" si="35"/>
        <v>-1.3170485246019368</v>
      </c>
      <c r="H242" s="34">
        <v>2624.64</v>
      </c>
      <c r="I242" s="3">
        <f t="shared" si="36"/>
        <v>-0.97790655559579776</v>
      </c>
      <c r="J242" s="3">
        <f t="shared" si="37"/>
        <v>-0.9942260000402422</v>
      </c>
      <c r="K242" s="3">
        <f t="shared" si="43"/>
        <v>1.7346168161561384</v>
      </c>
      <c r="L242" s="3">
        <f t="shared" si="38"/>
        <v>0.98848533915601966</v>
      </c>
      <c r="M242" s="3">
        <f t="shared" si="39"/>
        <v>1.3094438864738862</v>
      </c>
      <c r="O242" s="8">
        <v>2.6658291531784117</v>
      </c>
      <c r="P242" s="26">
        <f t="shared" si="40"/>
        <v>2.6658291531784117E-2</v>
      </c>
      <c r="AF242" s="8">
        <v>2.6658291531784117</v>
      </c>
      <c r="AG242" s="8">
        <f t="shared" si="41"/>
        <v>-2.6658291531784117</v>
      </c>
      <c r="AH242" s="8">
        <v>-0.15946723612326741</v>
      </c>
      <c r="AI242" s="7">
        <f t="shared" si="42"/>
        <v>-1.5946723612326741E-3</v>
      </c>
    </row>
    <row r="243" spans="1:35" x14ac:dyDescent="0.35">
      <c r="A243" s="9">
        <v>43956</v>
      </c>
      <c r="B243" s="10">
        <f>Расчеты!G247/360</f>
        <v>1.6319444444444445E-2</v>
      </c>
      <c r="C243" s="34">
        <f>SNGS!C234</f>
        <v>36.844999999999999</v>
      </c>
      <c r="D243" s="34">
        <f>'FXGD ETF'!C234</f>
        <v>861</v>
      </c>
      <c r="E243" s="34">
        <f t="shared" si="33"/>
        <v>1456400.5483601149</v>
      </c>
      <c r="F243" s="3">
        <f t="shared" si="34"/>
        <v>0.64858044102666934</v>
      </c>
      <c r="G243" s="3">
        <f t="shared" si="35"/>
        <v>0.6322609965822249</v>
      </c>
      <c r="H243" s="34">
        <v>2653.51</v>
      </c>
      <c r="I243" s="3">
        <f t="shared" si="36"/>
        <v>1.099960375518183</v>
      </c>
      <c r="J243" s="3">
        <f t="shared" si="37"/>
        <v>1.0836409310737385</v>
      </c>
      <c r="K243" s="3">
        <f t="shared" si="43"/>
        <v>0.39975396779914818</v>
      </c>
      <c r="L243" s="3">
        <f t="shared" si="38"/>
        <v>1.1742776674983588</v>
      </c>
      <c r="M243" s="3">
        <f t="shared" si="39"/>
        <v>0.68514389501797202</v>
      </c>
      <c r="O243" s="8">
        <v>3.4014536077212165</v>
      </c>
      <c r="P243" s="26">
        <f t="shared" si="40"/>
        <v>3.4014536077212165E-2</v>
      </c>
      <c r="AF243" s="8">
        <v>3.4014536077212165</v>
      </c>
      <c r="AG243" s="8">
        <f t="shared" si="41"/>
        <v>-3.4014536077212165</v>
      </c>
      <c r="AH243" s="8">
        <v>-0.15478600239584583</v>
      </c>
      <c r="AI243" s="7">
        <f t="shared" si="42"/>
        <v>-1.5478600239584583E-3</v>
      </c>
    </row>
    <row r="244" spans="1:35" x14ac:dyDescent="0.35">
      <c r="A244" s="9">
        <v>43957</v>
      </c>
      <c r="B244" s="10">
        <f>Расчеты!G248/360</f>
        <v>1.6138888888888887E-2</v>
      </c>
      <c r="C244" s="34">
        <f>SNGS!C235</f>
        <v>35.72</v>
      </c>
      <c r="D244" s="34">
        <f>'FXGD ETF'!C235</f>
        <v>862</v>
      </c>
      <c r="E244" s="34">
        <f t="shared" si="33"/>
        <v>1420076.8206196385</v>
      </c>
      <c r="F244" s="3">
        <f t="shared" si="34"/>
        <v>-2.4940753957677586</v>
      </c>
      <c r="G244" s="3">
        <f t="shared" si="35"/>
        <v>-2.5102142846566475</v>
      </c>
      <c r="H244" s="34">
        <v>2632.1</v>
      </c>
      <c r="I244" s="3">
        <f t="shared" si="36"/>
        <v>-0.80685582492624475</v>
      </c>
      <c r="J244" s="3">
        <f t="shared" si="37"/>
        <v>-0.82299471381513367</v>
      </c>
      <c r="K244" s="3">
        <f t="shared" si="43"/>
        <v>6.3011757548942846</v>
      </c>
      <c r="L244" s="3">
        <f t="shared" si="38"/>
        <v>0.67732029896765378</v>
      </c>
      <c r="M244" s="3">
        <f t="shared" si="39"/>
        <v>2.0658930868156582</v>
      </c>
      <c r="O244" s="8">
        <v>3.5104656717600102</v>
      </c>
      <c r="P244" s="26">
        <f t="shared" si="40"/>
        <v>3.5104656717600102E-2</v>
      </c>
      <c r="AF244" s="8">
        <v>3.5104656717600102</v>
      </c>
      <c r="AG244" s="8">
        <f t="shared" si="41"/>
        <v>-3.5104656717600102</v>
      </c>
      <c r="AH244" s="8">
        <v>-0.15371034176143716</v>
      </c>
      <c r="AI244" s="7">
        <f t="shared" si="42"/>
        <v>-1.5371034176143716E-3</v>
      </c>
    </row>
    <row r="245" spans="1:35" x14ac:dyDescent="0.35">
      <c r="A245" s="9">
        <v>43958</v>
      </c>
      <c r="B245" s="10">
        <f>Расчеты!G249/360</f>
        <v>1.575E-2</v>
      </c>
      <c r="C245" s="34">
        <f>SNGS!C236</f>
        <v>36.54</v>
      </c>
      <c r="D245" s="34">
        <f>'FXGD ETF'!C236</f>
        <v>863.2</v>
      </c>
      <c r="E245" s="34">
        <f t="shared" si="33"/>
        <v>1447128.4980948046</v>
      </c>
      <c r="F245" s="3">
        <f t="shared" si="34"/>
        <v>1.9049446538647263</v>
      </c>
      <c r="G245" s="3">
        <f t="shared" si="35"/>
        <v>1.8891946538647264</v>
      </c>
      <c r="H245" s="34">
        <v>2634</v>
      </c>
      <c r="I245" s="3">
        <f t="shared" si="36"/>
        <v>7.218570722997697E-2</v>
      </c>
      <c r="J245" s="3">
        <f t="shared" si="37"/>
        <v>5.643570722997697E-2</v>
      </c>
      <c r="K245" s="3">
        <f t="shared" si="43"/>
        <v>3.5690564401910634</v>
      </c>
      <c r="L245" s="3">
        <f t="shared" si="38"/>
        <v>3.1849890505476746E-3</v>
      </c>
      <c r="M245" s="3">
        <f t="shared" si="39"/>
        <v>0.10661803638594738</v>
      </c>
      <c r="O245" s="8">
        <v>3.8471538633403579</v>
      </c>
      <c r="P245" s="26">
        <f t="shared" si="40"/>
        <v>3.8471538633403579E-2</v>
      </c>
      <c r="AF245" s="8">
        <v>3.8471538633403579</v>
      </c>
      <c r="AG245" s="8">
        <f t="shared" si="41"/>
        <v>-3.8471538633403579</v>
      </c>
      <c r="AH245" s="8">
        <v>-0.13810080422385074</v>
      </c>
      <c r="AI245" s="7">
        <f t="shared" si="42"/>
        <v>-1.3810080422385074E-3</v>
      </c>
    </row>
    <row r="246" spans="1:35" x14ac:dyDescent="0.35">
      <c r="A246" s="9">
        <v>43959</v>
      </c>
      <c r="B246" s="10">
        <f>Расчеты!G250/360</f>
        <v>1.5000000000000001E-2</v>
      </c>
      <c r="C246" s="34">
        <f>SNGS!C237</f>
        <v>37.200000000000003</v>
      </c>
      <c r="D246" s="34">
        <f>'FXGD ETF'!C237</f>
        <v>862.8</v>
      </c>
      <c r="E246" s="34">
        <f t="shared" si="33"/>
        <v>1468494.1328132923</v>
      </c>
      <c r="F246" s="3">
        <f t="shared" si="34"/>
        <v>1.4764158640104386</v>
      </c>
      <c r="G246" s="3">
        <f t="shared" si="35"/>
        <v>1.4614158640104387</v>
      </c>
      <c r="H246" s="34">
        <v>2641.55</v>
      </c>
      <c r="I246" s="3">
        <f t="shared" si="36"/>
        <v>0.28663629460896622</v>
      </c>
      <c r="J246" s="3">
        <f t="shared" si="37"/>
        <v>0.27163629460896621</v>
      </c>
      <c r="K246" s="3">
        <f t="shared" si="43"/>
        <v>2.1357363275813768</v>
      </c>
      <c r="L246" s="3">
        <f t="shared" si="38"/>
        <v>7.3786276548889085E-2</v>
      </c>
      <c r="M246" s="3">
        <f t="shared" si="39"/>
        <v>0.3969735901825564</v>
      </c>
      <c r="O246" s="8">
        <v>3.9891507130458415</v>
      </c>
      <c r="P246" s="26">
        <f t="shared" si="40"/>
        <v>3.9891507130458415E-2</v>
      </c>
      <c r="AF246" s="8">
        <v>3.9891507130458415</v>
      </c>
      <c r="AG246" s="8">
        <f t="shared" si="41"/>
        <v>-3.9891507130458415</v>
      </c>
      <c r="AH246" s="8">
        <v>-0.12973656427675007</v>
      </c>
      <c r="AI246" s="7">
        <f t="shared" si="42"/>
        <v>-1.2973656427675007E-3</v>
      </c>
    </row>
    <row r="247" spans="1:35" x14ac:dyDescent="0.35">
      <c r="A247" s="9">
        <v>43963</v>
      </c>
      <c r="B247" s="10">
        <f>Расчеты!G251/360</f>
        <v>1.5583333333333334E-2</v>
      </c>
      <c r="C247" s="34">
        <f>SNGS!C238</f>
        <v>37.159999999999997</v>
      </c>
      <c r="D247" s="34">
        <f>'FXGD ETF'!C238</f>
        <v>859.6</v>
      </c>
      <c r="E247" s="34">
        <f t="shared" si="33"/>
        <v>1466236.9054629984</v>
      </c>
      <c r="F247" s="3">
        <f t="shared" si="34"/>
        <v>-0.15371034176143716</v>
      </c>
      <c r="G247" s="3">
        <f t="shared" si="35"/>
        <v>-0.1692936750947705</v>
      </c>
      <c r="H247" s="34">
        <v>2642.04</v>
      </c>
      <c r="I247" s="3">
        <f t="shared" si="36"/>
        <v>1.854971512935677E-2</v>
      </c>
      <c r="J247" s="3">
        <f t="shared" si="37"/>
        <v>2.9663817960234352E-3</v>
      </c>
      <c r="K247" s="3">
        <f t="shared" si="43"/>
        <v>2.8660348427093717E-2</v>
      </c>
      <c r="L247" s="3">
        <f t="shared" si="38"/>
        <v>8.7994209597792215E-6</v>
      </c>
      <c r="M247" s="3">
        <f t="shared" si="39"/>
        <v>-5.0218967598303322E-4</v>
      </c>
      <c r="O247" s="8">
        <v>4.2106229607389078</v>
      </c>
      <c r="P247" s="26">
        <f t="shared" si="40"/>
        <v>4.2106229607389078E-2</v>
      </c>
      <c r="AF247" s="8">
        <v>4.2106229607389078</v>
      </c>
      <c r="AG247" s="8">
        <f t="shared" si="41"/>
        <v>-4.2106229607389078</v>
      </c>
      <c r="AH247" s="8">
        <v>-0.12300993115552661</v>
      </c>
      <c r="AI247" s="7">
        <f t="shared" si="42"/>
        <v>-1.2300993115552661E-3</v>
      </c>
    </row>
    <row r="248" spans="1:35" x14ac:dyDescent="0.35">
      <c r="A248" s="9">
        <v>43964</v>
      </c>
      <c r="B248" s="10">
        <f>Расчеты!G252/360</f>
        <v>1.5777777777777776E-2</v>
      </c>
      <c r="C248" s="34">
        <f>SNGS!C239</f>
        <v>36.445</v>
      </c>
      <c r="D248" s="34">
        <f>'FXGD ETF'!C239</f>
        <v>869.8</v>
      </c>
      <c r="E248" s="34">
        <f t="shared" si="33"/>
        <v>1446005.8604907005</v>
      </c>
      <c r="F248" s="3">
        <f t="shared" si="34"/>
        <v>-1.3797937357135082</v>
      </c>
      <c r="G248" s="3">
        <f t="shared" si="35"/>
        <v>-1.3955715134912858</v>
      </c>
      <c r="H248" s="34">
        <v>2604.98</v>
      </c>
      <c r="I248" s="3">
        <f t="shared" si="36"/>
        <v>-1.402703971173791</v>
      </c>
      <c r="J248" s="3">
        <f t="shared" si="37"/>
        <v>-1.4184817489515686</v>
      </c>
      <c r="K248" s="3">
        <f t="shared" si="43"/>
        <v>1.9476198492683583</v>
      </c>
      <c r="L248" s="3">
        <f t="shared" si="38"/>
        <v>2.0120904721087012</v>
      </c>
      <c r="M248" s="3">
        <f t="shared" si="39"/>
        <v>1.9795927212441069</v>
      </c>
      <c r="O248" s="8">
        <v>4.3122121277759495</v>
      </c>
      <c r="P248" s="26">
        <f t="shared" si="40"/>
        <v>4.3122121277759495E-2</v>
      </c>
      <c r="AF248" s="8">
        <v>4.3122121277759495</v>
      </c>
      <c r="AG248" s="8">
        <f t="shared" si="41"/>
        <v>-4.3122121277759495</v>
      </c>
      <c r="AH248" s="8">
        <v>-0.11896696815021368</v>
      </c>
      <c r="AI248" s="7">
        <f t="shared" si="42"/>
        <v>-1.1896696815021368E-3</v>
      </c>
    </row>
    <row r="249" spans="1:35" x14ac:dyDescent="0.35">
      <c r="A249" s="9">
        <v>43965</v>
      </c>
      <c r="B249" s="10">
        <f>Расчеты!G253/360</f>
        <v>1.5722222222222224E-2</v>
      </c>
      <c r="C249" s="34">
        <f>SNGS!C240</f>
        <v>39.28</v>
      </c>
      <c r="D249" s="34">
        <f>'FXGD ETF'!C240</f>
        <v>878.4</v>
      </c>
      <c r="E249" s="34">
        <f t="shared" si="33"/>
        <v>1540860.6434223077</v>
      </c>
      <c r="F249" s="3">
        <f t="shared" si="34"/>
        <v>6.5597785958777743</v>
      </c>
      <c r="G249" s="3">
        <f t="shared" si="35"/>
        <v>6.5440563736555522</v>
      </c>
      <c r="H249" s="34">
        <v>2590.31</v>
      </c>
      <c r="I249" s="3">
        <f t="shared" si="36"/>
        <v>-0.56315211633103379</v>
      </c>
      <c r="J249" s="3">
        <f t="shared" si="37"/>
        <v>-0.57887433855325598</v>
      </c>
      <c r="K249" s="3">
        <f t="shared" si="43"/>
        <v>42.824673821581854</v>
      </c>
      <c r="L249" s="3">
        <f t="shared" si="38"/>
        <v>0.3350954998354696</v>
      </c>
      <c r="M249" s="3">
        <f t="shared" si="39"/>
        <v>-3.7881863047550768</v>
      </c>
      <c r="O249" s="8">
        <v>4.7853788692344468</v>
      </c>
      <c r="P249" s="26">
        <f t="shared" si="40"/>
        <v>4.7853788692344468E-2</v>
      </c>
      <c r="AF249" s="8">
        <v>4.7853788692344468</v>
      </c>
      <c r="AG249" s="8">
        <f t="shared" si="41"/>
        <v>-4.7853788692344468</v>
      </c>
      <c r="AH249" s="8">
        <v>-0.10806930104749757</v>
      </c>
      <c r="AI249" s="7">
        <f t="shared" si="42"/>
        <v>-1.0806930104749757E-3</v>
      </c>
    </row>
    <row r="250" spans="1:35" x14ac:dyDescent="0.35">
      <c r="A250" s="9">
        <v>43966</v>
      </c>
      <c r="B250" s="10">
        <f>Расчеты!G254/360</f>
        <v>1.5611111111111112E-2</v>
      </c>
      <c r="C250" s="34">
        <f>SNGS!C241</f>
        <v>40.145000000000003</v>
      </c>
      <c r="D250" s="34">
        <f>'FXGD ETF'!C241</f>
        <v>881.8</v>
      </c>
      <c r="E250" s="34">
        <f t="shared" si="33"/>
        <v>1570033.843335992</v>
      </c>
      <c r="F250" s="3">
        <f t="shared" si="34"/>
        <v>1.8933055392270637</v>
      </c>
      <c r="G250" s="3">
        <f t="shared" si="35"/>
        <v>1.8776944281159527</v>
      </c>
      <c r="H250" s="34">
        <v>2593.91</v>
      </c>
      <c r="I250" s="3">
        <f t="shared" si="36"/>
        <v>0.1389795043836406</v>
      </c>
      <c r="J250" s="3">
        <f t="shared" si="37"/>
        <v>0.12336839327252948</v>
      </c>
      <c r="K250" s="3">
        <f t="shared" si="43"/>
        <v>3.5257363653776945</v>
      </c>
      <c r="L250" s="3">
        <f t="shared" si="38"/>
        <v>1.5219760458645497E-2</v>
      </c>
      <c r="M250" s="3">
        <f t="shared" si="39"/>
        <v>0.23164814465344619</v>
      </c>
      <c r="O250" s="8">
        <v>5.0712251699767119</v>
      </c>
      <c r="P250" s="26">
        <f t="shared" si="40"/>
        <v>5.0712251699767119E-2</v>
      </c>
      <c r="AF250" s="8">
        <v>5.0712251699767119</v>
      </c>
      <c r="AG250" s="8">
        <f t="shared" si="41"/>
        <v>-5.0712251699767119</v>
      </c>
      <c r="AH250" s="8">
        <v>-9.0543394235498287E-2</v>
      </c>
      <c r="AI250" s="7">
        <f t="shared" si="42"/>
        <v>-9.0543394235498287E-4</v>
      </c>
    </row>
    <row r="251" spans="1:35" x14ac:dyDescent="0.35">
      <c r="A251" s="9">
        <v>43969</v>
      </c>
      <c r="B251" s="10">
        <f>Расчеты!G255/360</f>
        <v>1.5555555555555555E-2</v>
      </c>
      <c r="C251" s="34">
        <f>SNGS!C242</f>
        <v>40.6</v>
      </c>
      <c r="D251" s="34">
        <f>'FXGD ETF'!C242</f>
        <v>861.8</v>
      </c>
      <c r="E251" s="34">
        <f t="shared" si="33"/>
        <v>1578876.0831286546</v>
      </c>
      <c r="F251" s="3">
        <f t="shared" si="34"/>
        <v>0.56318784656734788</v>
      </c>
      <c r="G251" s="3">
        <f t="shared" si="35"/>
        <v>0.54763229101179234</v>
      </c>
      <c r="H251" s="34">
        <v>2694.25</v>
      </c>
      <c r="I251" s="3">
        <f t="shared" si="36"/>
        <v>3.8682914981630123</v>
      </c>
      <c r="J251" s="3">
        <f t="shared" si="37"/>
        <v>3.8527359426074566</v>
      </c>
      <c r="K251" s="3">
        <f t="shared" si="43"/>
        <v>0.29990112615882442</v>
      </c>
      <c r="L251" s="3">
        <f t="shared" si="38"/>
        <v>14.843574243459367</v>
      </c>
      <c r="M251" s="3">
        <f t="shared" si="39"/>
        <v>2.1098826109135986</v>
      </c>
      <c r="O251" s="8">
        <v>6.0387019223156368</v>
      </c>
      <c r="P251" s="26">
        <f t="shared" si="40"/>
        <v>6.0387019223156368E-2</v>
      </c>
      <c r="AF251" s="8">
        <v>6.0387019223156368</v>
      </c>
      <c r="AG251" s="8">
        <f t="shared" si="41"/>
        <v>-6.0387019223156368</v>
      </c>
      <c r="AH251" s="8">
        <v>-8.1874152383976107E-2</v>
      </c>
      <c r="AI251" s="7">
        <f t="shared" si="42"/>
        <v>-8.1874152383976107E-4</v>
      </c>
    </row>
    <row r="252" spans="1:35" x14ac:dyDescent="0.35">
      <c r="A252" s="9">
        <v>43970</v>
      </c>
      <c r="B252" s="10">
        <f>Расчеты!G256/360</f>
        <v>1.5611111111111112E-2</v>
      </c>
      <c r="C252" s="34">
        <f>SNGS!C243</f>
        <v>40.04</v>
      </c>
      <c r="D252" s="34">
        <f>'FXGD ETF'!C243</f>
        <v>867.2</v>
      </c>
      <c r="E252" s="34">
        <f t="shared" si="33"/>
        <v>1562258.1060775537</v>
      </c>
      <c r="F252" s="3">
        <f t="shared" si="34"/>
        <v>-1.0525193983666692</v>
      </c>
      <c r="G252" s="3">
        <f t="shared" si="35"/>
        <v>-1.0681305094777802</v>
      </c>
      <c r="H252" s="34">
        <v>2711.72</v>
      </c>
      <c r="I252" s="3">
        <f t="shared" si="36"/>
        <v>0.64841792706689105</v>
      </c>
      <c r="J252" s="3">
        <f t="shared" si="37"/>
        <v>0.63280681595577992</v>
      </c>
      <c r="K252" s="3">
        <f t="shared" si="43"/>
        <v>1.1409027852772624</v>
      </c>
      <c r="L252" s="3">
        <f t="shared" si="38"/>
        <v>0.40044446632009234</v>
      </c>
      <c r="M252" s="3">
        <f t="shared" si="39"/>
        <v>-0.6759202667278591</v>
      </c>
      <c r="O252" s="8">
        <v>6.0424315676265383</v>
      </c>
      <c r="P252" s="26">
        <f t="shared" si="40"/>
        <v>6.0424315676265383E-2</v>
      </c>
      <c r="AF252" s="8">
        <v>6.0424315676265383</v>
      </c>
      <c r="AG252" s="8">
        <f t="shared" si="41"/>
        <v>-6.0424315676265383</v>
      </c>
      <c r="AH252" s="8">
        <v>-6.4846064875379028E-2</v>
      </c>
      <c r="AI252" s="7">
        <f t="shared" si="42"/>
        <v>-6.4846064875379028E-4</v>
      </c>
    </row>
    <row r="253" spans="1:35" x14ac:dyDescent="0.35">
      <c r="A253" s="9">
        <v>43971</v>
      </c>
      <c r="B253" s="10">
        <f>Расчеты!G257/360</f>
        <v>1.5611111111111112E-2</v>
      </c>
      <c r="C253" s="34">
        <f>SNGS!C244</f>
        <v>40.795000000000002</v>
      </c>
      <c r="D253" s="34">
        <f>'FXGD ETF'!C244</f>
        <v>859.4</v>
      </c>
      <c r="E253" s="34">
        <f t="shared" si="33"/>
        <v>1584507.6022112526</v>
      </c>
      <c r="F253" s="3">
        <f t="shared" si="34"/>
        <v>1.4241882341428092</v>
      </c>
      <c r="G253" s="3">
        <f t="shared" si="35"/>
        <v>1.4085771230316981</v>
      </c>
      <c r="H253" s="34">
        <v>2770.79</v>
      </c>
      <c r="I253" s="3">
        <f t="shared" si="36"/>
        <v>2.1783222456595919</v>
      </c>
      <c r="J253" s="3">
        <f t="shared" si="37"/>
        <v>2.1627111345484806</v>
      </c>
      <c r="K253" s="3">
        <f t="shared" si="43"/>
        <v>1.9840895115282557</v>
      </c>
      <c r="L253" s="3">
        <f t="shared" si="38"/>
        <v>4.6773194514999759</v>
      </c>
      <c r="M253" s="3">
        <f t="shared" si="39"/>
        <v>3.0463454278509188</v>
      </c>
      <c r="O253" s="8">
        <v>6.1076585216505608</v>
      </c>
      <c r="P253" s="26">
        <f t="shared" si="40"/>
        <v>6.1076585216505608E-2</v>
      </c>
      <c r="AF253" s="8">
        <v>6.1076585216505608</v>
      </c>
      <c r="AG253" s="8">
        <f t="shared" si="41"/>
        <v>-6.1076585216505608</v>
      </c>
      <c r="AH253" s="8">
        <v>-6.2788993356721612E-2</v>
      </c>
      <c r="AI253" s="7">
        <f t="shared" si="42"/>
        <v>-6.2788993356721612E-4</v>
      </c>
    </row>
    <row r="254" spans="1:35" x14ac:dyDescent="0.35">
      <c r="A254" s="9">
        <v>43972</v>
      </c>
      <c r="B254" s="10">
        <f>Расчеты!G258/360</f>
        <v>1.5555555555555555E-2</v>
      </c>
      <c r="C254" s="34">
        <f>SNGS!C245</f>
        <v>39</v>
      </c>
      <c r="D254" s="34">
        <f>'FXGD ETF'!C245</f>
        <v>840.8</v>
      </c>
      <c r="E254" s="34">
        <f t="shared" si="33"/>
        <v>1520523.3043812932</v>
      </c>
      <c r="F254" s="3">
        <f t="shared" si="34"/>
        <v>-4.0381187026598209</v>
      </c>
      <c r="G254" s="3">
        <f t="shared" si="35"/>
        <v>-4.0536742582153762</v>
      </c>
      <c r="H254" s="34">
        <v>2718.67</v>
      </c>
      <c r="I254" s="3">
        <f t="shared" si="36"/>
        <v>-1.8810519743466592</v>
      </c>
      <c r="J254" s="3">
        <f t="shared" si="37"/>
        <v>-1.8966075299022147</v>
      </c>
      <c r="K254" s="3">
        <f t="shared" si="43"/>
        <v>16.432274991717982</v>
      </c>
      <c r="L254" s="3">
        <f t="shared" si="38"/>
        <v>3.5971201224817801</v>
      </c>
      <c r="M254" s="3">
        <f t="shared" si="39"/>
        <v>7.6882291219020571</v>
      </c>
      <c r="O254" s="8">
        <v>6.5099604981334824</v>
      </c>
      <c r="P254" s="26">
        <f t="shared" si="40"/>
        <v>6.5099604981334824E-2</v>
      </c>
      <c r="AF254" s="8">
        <v>6.5099604981334824</v>
      </c>
      <c r="AG254" s="8">
        <f t="shared" si="41"/>
        <v>-6.5099604981334824</v>
      </c>
      <c r="AH254" s="8">
        <v>-5.8765927898196679E-2</v>
      </c>
      <c r="AI254" s="7">
        <f t="shared" si="42"/>
        <v>-5.8765927898196679E-4</v>
      </c>
    </row>
    <row r="255" spans="1:35" x14ac:dyDescent="0.35">
      <c r="A255" s="9">
        <v>43973</v>
      </c>
      <c r="B255" s="10">
        <f>Расчеты!G259/360</f>
        <v>1.5611111111111112E-2</v>
      </c>
      <c r="C255" s="34">
        <f>SNGS!C246</f>
        <v>39.799999999999997</v>
      </c>
      <c r="D255" s="34">
        <f>'FXGD ETF'!C246</f>
        <v>852.2</v>
      </c>
      <c r="E255" s="34">
        <f t="shared" si="33"/>
        <v>1549968.316967478</v>
      </c>
      <c r="F255" s="3">
        <f t="shared" si="34"/>
        <v>1.936505182218573</v>
      </c>
      <c r="G255" s="3">
        <f t="shared" si="35"/>
        <v>1.920894071107462</v>
      </c>
      <c r="H255" s="34">
        <v>2709.38</v>
      </c>
      <c r="I255" s="3">
        <f t="shared" si="36"/>
        <v>-0.34171120437567204</v>
      </c>
      <c r="J255" s="3">
        <f t="shared" si="37"/>
        <v>-0.35732231548678317</v>
      </c>
      <c r="K255" s="3">
        <f t="shared" si="43"/>
        <v>3.6898340324157992</v>
      </c>
      <c r="L255" s="3">
        <f t="shared" si="38"/>
        <v>0.1276792371448362</v>
      </c>
      <c r="M255" s="3">
        <f t="shared" si="39"/>
        <v>-0.68637831729295185</v>
      </c>
      <c r="O255" s="8">
        <v>6.5249629756165994</v>
      </c>
      <c r="P255" s="26">
        <f t="shared" si="40"/>
        <v>6.5249629756165994E-2</v>
      </c>
      <c r="AF255" s="8">
        <v>6.5249629756165994</v>
      </c>
      <c r="AG255" s="8">
        <f t="shared" si="41"/>
        <v>-6.5249629756165994</v>
      </c>
      <c r="AH255" s="8">
        <v>-5.3840887810974181E-2</v>
      </c>
      <c r="AI255" s="7">
        <f t="shared" si="42"/>
        <v>-5.3840887810974181E-4</v>
      </c>
    </row>
    <row r="256" spans="1:35" x14ac:dyDescent="0.35">
      <c r="A256" s="9">
        <v>43976</v>
      </c>
      <c r="B256" s="10">
        <f>Расчеты!G260/360</f>
        <v>1.5694444444444445E-2</v>
      </c>
      <c r="C256" s="34">
        <f>SNGS!C247</f>
        <v>41.825000000000003</v>
      </c>
      <c r="D256" s="34">
        <f>'FXGD ETF'!C247</f>
        <v>850</v>
      </c>
      <c r="E256" s="34">
        <f t="shared" si="33"/>
        <v>1615231.6388058891</v>
      </c>
      <c r="F256" s="3">
        <f t="shared" si="34"/>
        <v>4.2106229607389078</v>
      </c>
      <c r="G256" s="3">
        <f t="shared" si="35"/>
        <v>4.1949285162944632</v>
      </c>
      <c r="H256" s="34">
        <v>2757.93</v>
      </c>
      <c r="I256" s="3">
        <f t="shared" si="36"/>
        <v>1.7919228753441541</v>
      </c>
      <c r="J256" s="3">
        <f t="shared" si="37"/>
        <v>1.7762284308997096</v>
      </c>
      <c r="K256" s="3">
        <f t="shared" si="43"/>
        <v>17.597425256820465</v>
      </c>
      <c r="L256" s="3">
        <f t="shared" si="38"/>
        <v>3.1549874387364443</v>
      </c>
      <c r="M256" s="3">
        <f t="shared" si="39"/>
        <v>7.4511512962341611</v>
      </c>
      <c r="O256" s="8">
        <v>6.5597785958777743</v>
      </c>
      <c r="P256" s="26">
        <f t="shared" si="40"/>
        <v>6.5597785958777743E-2</v>
      </c>
      <c r="AF256" s="8">
        <v>6.5597785958777743</v>
      </c>
      <c r="AG256" s="8">
        <f t="shared" si="41"/>
        <v>-6.5597785958777743</v>
      </c>
      <c r="AH256" s="8">
        <v>-5.1879437650637072E-2</v>
      </c>
      <c r="AI256" s="7">
        <f t="shared" si="42"/>
        <v>-5.1879437650637072E-4</v>
      </c>
    </row>
    <row r="257" spans="1:35" x14ac:dyDescent="0.35">
      <c r="A257" s="9">
        <v>43977</v>
      </c>
      <c r="B257" s="10">
        <f>Расчеты!G261/360</f>
        <v>1.5722222222222224E-2</v>
      </c>
      <c r="C257" s="34">
        <f>SNGS!C248</f>
        <v>41.7</v>
      </c>
      <c r="D257" s="34">
        <f>'FXGD ETF'!C248</f>
        <v>834.4</v>
      </c>
      <c r="E257" s="34">
        <f t="shared" si="33"/>
        <v>1606506.3700139734</v>
      </c>
      <c r="F257" s="3">
        <f t="shared" si="34"/>
        <v>-0.54018684269744321</v>
      </c>
      <c r="G257" s="3">
        <f t="shared" si="35"/>
        <v>-0.55590906491966541</v>
      </c>
      <c r="H257" s="34">
        <v>2754.04</v>
      </c>
      <c r="I257" s="3">
        <f t="shared" si="36"/>
        <v>-0.14104781484663986</v>
      </c>
      <c r="J257" s="3">
        <f t="shared" si="37"/>
        <v>-0.15677003706886208</v>
      </c>
      <c r="K257" s="3">
        <f t="shared" si="43"/>
        <v>0.30903488845985677</v>
      </c>
      <c r="L257" s="3">
        <f t="shared" si="38"/>
        <v>2.4576844522572392E-2</v>
      </c>
      <c r="M257" s="3">
        <f t="shared" si="39"/>
        <v>8.7149884714372405E-2</v>
      </c>
      <c r="O257" s="8">
        <v>6.5969687796476162</v>
      </c>
      <c r="P257" s="26">
        <f t="shared" si="40"/>
        <v>6.5969687796476162E-2</v>
      </c>
      <c r="AF257" s="8">
        <v>6.5969687796476162</v>
      </c>
      <c r="AG257" s="8">
        <f t="shared" si="41"/>
        <v>-6.5969687796476162</v>
      </c>
      <c r="AH257" s="8">
        <v>-4.1791815683156486E-2</v>
      </c>
      <c r="AI257" s="7">
        <f t="shared" si="42"/>
        <v>-4.1791815683156486E-4</v>
      </c>
    </row>
    <row r="258" spans="1:35" x14ac:dyDescent="0.35">
      <c r="A258" s="9">
        <v>43978</v>
      </c>
      <c r="B258" s="10">
        <f>Расчеты!G262/360</f>
        <v>1.5722222222222224E-2</v>
      </c>
      <c r="C258" s="34">
        <f>SNGS!C249</f>
        <v>40.685000000000002</v>
      </c>
      <c r="D258" s="34">
        <f>'FXGD ETF'!C249</f>
        <v>833</v>
      </c>
      <c r="E258" s="34">
        <f t="shared" si="33"/>
        <v>1573047.1508423085</v>
      </c>
      <c r="F258" s="3">
        <f t="shared" si="34"/>
        <v>-2.0827318083633806</v>
      </c>
      <c r="G258" s="3">
        <f t="shared" si="35"/>
        <v>-2.0984540305856028</v>
      </c>
      <c r="H258" s="34">
        <v>2741.02</v>
      </c>
      <c r="I258" s="3">
        <f t="shared" si="36"/>
        <v>-0.47276001800991008</v>
      </c>
      <c r="J258" s="3">
        <f t="shared" si="37"/>
        <v>-0.48848224023213233</v>
      </c>
      <c r="K258" s="3">
        <f t="shared" si="43"/>
        <v>4.4035093184809622</v>
      </c>
      <c r="L258" s="3">
        <f t="shared" si="38"/>
        <v>0.23861489902220265</v>
      </c>
      <c r="M258" s="3">
        <f t="shared" si="39"/>
        <v>1.0250575258846029</v>
      </c>
      <c r="O258" s="8">
        <v>6.8865923446056465</v>
      </c>
      <c r="P258" s="26">
        <f t="shared" si="40"/>
        <v>6.8865923446056465E-2</v>
      </c>
      <c r="AF258" s="8">
        <v>6.8865923446056465</v>
      </c>
      <c r="AG258" s="8">
        <f t="shared" si="41"/>
        <v>-6.8865923446056465</v>
      </c>
      <c r="AH258" s="8">
        <v>-3.4022888416262997E-2</v>
      </c>
      <c r="AI258" s="7">
        <f t="shared" si="42"/>
        <v>-3.4022888416262997E-4</v>
      </c>
    </row>
    <row r="259" spans="1:35" x14ac:dyDescent="0.35">
      <c r="A259" s="9">
        <v>43979</v>
      </c>
      <c r="B259" s="10">
        <f>Расчеты!G263/360</f>
        <v>1.5805555555555555E-2</v>
      </c>
      <c r="C259" s="34">
        <f>SNGS!C250</f>
        <v>40.5</v>
      </c>
      <c r="D259" s="34">
        <f>'FXGD ETF'!C250</f>
        <v>834</v>
      </c>
      <c r="E259" s="34">
        <f t="shared" si="33"/>
        <v>1567323.304077829</v>
      </c>
      <c r="F259" s="3">
        <f t="shared" si="34"/>
        <v>-0.36387000614791498</v>
      </c>
      <c r="G259" s="3">
        <f t="shared" si="35"/>
        <v>-0.37967556170347055</v>
      </c>
      <c r="H259" s="34">
        <v>2779.98</v>
      </c>
      <c r="I259" s="3">
        <f t="shared" si="36"/>
        <v>1.421368687568858</v>
      </c>
      <c r="J259" s="3">
        <f t="shared" si="37"/>
        <v>1.4055631320133024</v>
      </c>
      <c r="K259" s="3">
        <f t="shared" si="43"/>
        <v>0.14415353215484589</v>
      </c>
      <c r="L259" s="3">
        <f t="shared" si="38"/>
        <v>1.9756077180750442</v>
      </c>
      <c r="M259" s="3">
        <f t="shared" si="39"/>
        <v>-0.53365797165683992</v>
      </c>
      <c r="O259" s="8">
        <v>6.9332560638972751</v>
      </c>
      <c r="P259" s="26">
        <f t="shared" si="40"/>
        <v>6.9332560638972751E-2</v>
      </c>
      <c r="AF259" s="8">
        <v>6.9332560638972751</v>
      </c>
      <c r="AG259" s="8">
        <f t="shared" si="41"/>
        <v>-6.9332560638972751</v>
      </c>
      <c r="AH259" s="8">
        <v>-2.9209835010934881E-2</v>
      </c>
      <c r="AI259" s="7">
        <f t="shared" si="42"/>
        <v>-2.9209835010934881E-4</v>
      </c>
    </row>
    <row r="260" spans="1:35" x14ac:dyDescent="0.35">
      <c r="A260" s="9">
        <v>43980</v>
      </c>
      <c r="B260" s="10">
        <f>Расчеты!G264/360</f>
        <v>1.5805555555555555E-2</v>
      </c>
      <c r="C260" s="34">
        <f>SNGS!C251</f>
        <v>39.61</v>
      </c>
      <c r="D260" s="34">
        <f>'FXGD ETF'!C251</f>
        <v>840</v>
      </c>
      <c r="E260" s="34">
        <f t="shared" si="33"/>
        <v>1540141.8977619305</v>
      </c>
      <c r="F260" s="3">
        <f t="shared" si="34"/>
        <v>-1.7342565024828338</v>
      </c>
      <c r="G260" s="3">
        <f t="shared" si="35"/>
        <v>-1.7500620580383894</v>
      </c>
      <c r="H260" s="34">
        <v>2734.83</v>
      </c>
      <c r="I260" s="3">
        <f t="shared" si="36"/>
        <v>-1.6241124036863619</v>
      </c>
      <c r="J260" s="3">
        <f t="shared" si="37"/>
        <v>-1.6399179592419175</v>
      </c>
      <c r="K260" s="3">
        <f t="shared" si="43"/>
        <v>3.062717206985563</v>
      </c>
      <c r="L260" s="3">
        <f t="shared" si="38"/>
        <v>2.6893309130441754</v>
      </c>
      <c r="M260" s="3">
        <f t="shared" si="39"/>
        <v>2.8699581987650258</v>
      </c>
      <c r="O260" s="8">
        <v>7.3959497707566602</v>
      </c>
      <c r="P260" s="26">
        <f t="shared" si="40"/>
        <v>7.3959497707566602E-2</v>
      </c>
      <c r="AF260" s="8">
        <v>7.3959497707566602</v>
      </c>
      <c r="AG260" s="8">
        <f t="shared" si="41"/>
        <v>-7.3959497707566602</v>
      </c>
      <c r="AH260" s="8">
        <v>-2.6922708835463993E-2</v>
      </c>
      <c r="AI260" s="7">
        <f t="shared" si="42"/>
        <v>-2.6922708835463993E-4</v>
      </c>
    </row>
    <row r="261" spans="1:35" x14ac:dyDescent="0.35">
      <c r="A261" s="9">
        <v>43983</v>
      </c>
      <c r="B261" s="10">
        <f>Расчеты!G265/360</f>
        <v>1.575E-2</v>
      </c>
      <c r="C261" s="34">
        <f>SNGS!C252</f>
        <v>39.950000000000003</v>
      </c>
      <c r="D261" s="34">
        <f>'FXGD ETF'!C252</f>
        <v>829.6</v>
      </c>
      <c r="E261" s="34">
        <f t="shared" si="33"/>
        <v>1548105.8493614749</v>
      </c>
      <c r="F261" s="3">
        <f t="shared" si="34"/>
        <v>0.51709206866699109</v>
      </c>
      <c r="G261" s="3">
        <f t="shared" si="35"/>
        <v>0.50134206866699105</v>
      </c>
      <c r="H261" s="34">
        <v>2750.24</v>
      </c>
      <c r="I261" s="3">
        <f t="shared" si="36"/>
        <v>0.56347195255279647</v>
      </c>
      <c r="J261" s="3">
        <f t="shared" si="37"/>
        <v>0.54772195255279643</v>
      </c>
      <c r="K261" s="3">
        <f t="shared" si="43"/>
        <v>0.25134386981529799</v>
      </c>
      <c r="L261" s="3">
        <f t="shared" si="38"/>
        <v>0.29999933730824779</v>
      </c>
      <c r="M261" s="3">
        <f t="shared" si="39"/>
        <v>0.27459605674714249</v>
      </c>
      <c r="O261" s="8">
        <v>8.2065879649632976</v>
      </c>
      <c r="P261" s="26">
        <f t="shared" si="40"/>
        <v>8.2065879649632981E-2</v>
      </c>
      <c r="AF261" s="8">
        <v>8.2065879649632976</v>
      </c>
      <c r="AG261" s="8">
        <f t="shared" si="41"/>
        <v>-8.2065879649632976</v>
      </c>
      <c r="AH261" s="8">
        <v>-2.2788696572229039E-2</v>
      </c>
      <c r="AI261" s="7">
        <f t="shared" si="42"/>
        <v>-2.2788696572229039E-4</v>
      </c>
    </row>
    <row r="262" spans="1:35" x14ac:dyDescent="0.35">
      <c r="A262" s="9">
        <v>43984</v>
      </c>
      <c r="B262" s="10">
        <f>Расчеты!G266/360</f>
        <v>1.5666666666666666E-2</v>
      </c>
      <c r="C262" s="34">
        <f>SNGS!C253</f>
        <v>40.225000000000001</v>
      </c>
      <c r="D262" s="34">
        <f>'FXGD ETF'!C253</f>
        <v>821</v>
      </c>
      <c r="E262" s="34">
        <f t="shared" si="33"/>
        <v>1554491.098169602</v>
      </c>
      <c r="F262" s="3">
        <f t="shared" si="34"/>
        <v>0.41245557018989576</v>
      </c>
      <c r="G262" s="3">
        <f t="shared" si="35"/>
        <v>0.3967889035232291</v>
      </c>
      <c r="H262" s="34">
        <v>2796.51</v>
      </c>
      <c r="I262" s="3">
        <f t="shared" si="36"/>
        <v>1.6823986270289248</v>
      </c>
      <c r="J262" s="3">
        <f t="shared" si="37"/>
        <v>1.6667319603622581</v>
      </c>
      <c r="K262" s="3">
        <f t="shared" si="43"/>
        <v>0.1574414339591664</v>
      </c>
      <c r="L262" s="3">
        <f t="shared" si="38"/>
        <v>2.7779954276930159</v>
      </c>
      <c r="M262" s="3">
        <f t="shared" si="39"/>
        <v>0.6613407470192626</v>
      </c>
      <c r="O262" s="8">
        <v>9.9348975168008771</v>
      </c>
      <c r="P262" s="26">
        <f t="shared" si="40"/>
        <v>9.934897516800878E-2</v>
      </c>
      <c r="AF262" s="8">
        <v>9.9348975168008771</v>
      </c>
      <c r="AG262" s="8">
        <f t="shared" si="41"/>
        <v>-9.9348975168008771</v>
      </c>
      <c r="AH262" s="8">
        <v>-3.3920962618116945E-3</v>
      </c>
      <c r="AI262" s="7">
        <f t="shared" si="42"/>
        <v>-3.3920962618116945E-5</v>
      </c>
    </row>
    <row r="263" spans="1:35" x14ac:dyDescent="0.35">
      <c r="A263" s="9">
        <v>43985</v>
      </c>
      <c r="B263" s="10">
        <f>Расчеты!G267/360</f>
        <v>1.5738095238095239E-2</v>
      </c>
      <c r="C263" s="34">
        <f>SNGS!C254</f>
        <v>39.979999999999997</v>
      </c>
      <c r="D263" s="34">
        <f>'FXGD ETF'!C254</f>
        <v>813</v>
      </c>
      <c r="E263" s="34">
        <f t="shared" si="33"/>
        <v>1544127.8353879959</v>
      </c>
      <c r="F263" s="3">
        <f t="shared" si="34"/>
        <v>-0.66666594577535765</v>
      </c>
      <c r="G263" s="3">
        <f t="shared" si="35"/>
        <v>-0.68240404101345287</v>
      </c>
      <c r="H263" s="34">
        <v>2801.77</v>
      </c>
      <c r="I263" s="3">
        <f t="shared" si="36"/>
        <v>0.18809158558346084</v>
      </c>
      <c r="J263" s="3">
        <f t="shared" si="37"/>
        <v>0.1723534903453656</v>
      </c>
      <c r="K263" s="3">
        <f t="shared" si="43"/>
        <v>0.46567527519149027</v>
      </c>
      <c r="L263" s="3">
        <f t="shared" si="38"/>
        <v>2.9705725634230032E-2</v>
      </c>
      <c r="M263" s="3">
        <f t="shared" si="39"/>
        <v>-0.11761471829445061</v>
      </c>
      <c r="O263" s="8">
        <v>12.867973965630309</v>
      </c>
      <c r="P263" s="26">
        <f t="shared" si="40"/>
        <v>0.12867973965630308</v>
      </c>
      <c r="AF263" s="8">
        <v>12.867973965630309</v>
      </c>
      <c r="AG263" s="8">
        <f t="shared" si="41"/>
        <v>-12.867973965630309</v>
      </c>
      <c r="AH263" s="8">
        <v>-5.2156183341089957E-4</v>
      </c>
      <c r="AI263" s="7">
        <f t="shared" si="42"/>
        <v>-5.2156183341089957E-6</v>
      </c>
    </row>
    <row r="264" spans="1:35" x14ac:dyDescent="0.35">
      <c r="A264" s="4" t="s">
        <v>3</v>
      </c>
      <c r="B264" s="2"/>
      <c r="C264" s="2"/>
      <c r="D264" s="2"/>
      <c r="E264" s="2"/>
      <c r="F264" s="2"/>
      <c r="G264" s="5">
        <f>SUM(G14:G263)</f>
        <v>46.90783598845249</v>
      </c>
      <c r="H264" s="2"/>
      <c r="I264" s="2"/>
      <c r="J264" s="5">
        <f>SUM(J14:J263)</f>
        <v>1.9905879446998178</v>
      </c>
      <c r="K264" s="5">
        <f>SUM(K14:K263)</f>
        <v>1642.6424409031047</v>
      </c>
      <c r="L264" s="5">
        <f>SUM(L14:L263)</f>
        <v>594.19370640923</v>
      </c>
      <c r="M264" s="5">
        <f>SUM(M14:M263)</f>
        <v>586.55492573192873</v>
      </c>
    </row>
    <row r="265" spans="1:35" x14ac:dyDescent="0.35">
      <c r="D265" s="8"/>
      <c r="E265" s="8"/>
      <c r="F265" s="8"/>
    </row>
    <row r="268" spans="1:35" x14ac:dyDescent="0.35">
      <c r="A268" s="70" t="s">
        <v>6</v>
      </c>
      <c r="B268" s="70"/>
      <c r="C268" s="70"/>
      <c r="D268" s="70"/>
      <c r="E268" s="2">
        <v>250</v>
      </c>
    </row>
    <row r="269" spans="1:35" x14ac:dyDescent="0.35">
      <c r="A269" s="70" t="s">
        <v>7</v>
      </c>
      <c r="B269" s="70"/>
      <c r="C269" s="70"/>
      <c r="D269" s="70"/>
      <c r="E269" s="3">
        <f>((E268*M264)-(G264*J264))/(E268*L264-J264^2)</f>
        <v>0.98654203027309795</v>
      </c>
      <c r="F269" t="s">
        <v>130</v>
      </c>
    </row>
    <row r="270" spans="1:35" x14ac:dyDescent="0.35">
      <c r="A270" s="70" t="s">
        <v>8</v>
      </c>
      <c r="B270" s="70"/>
      <c r="C270" s="70"/>
      <c r="D270" s="70"/>
      <c r="E270" s="3">
        <f>G264/E268-E269*J264/E268</f>
        <v>0.17977614926420471</v>
      </c>
      <c r="F270" t="s">
        <v>131</v>
      </c>
    </row>
    <row r="271" spans="1:35" x14ac:dyDescent="0.35">
      <c r="A271" s="70" t="s">
        <v>9</v>
      </c>
      <c r="B271" s="70"/>
      <c r="C271" s="70"/>
      <c r="D271" s="70"/>
      <c r="E271" s="3">
        <f>((K264-E270*G264-E269*M264)/(E268-2))^0.5</f>
        <v>2.0630665824717771</v>
      </c>
      <c r="F271" t="s">
        <v>132</v>
      </c>
    </row>
    <row r="272" spans="1:35" x14ac:dyDescent="0.35">
      <c r="A272" s="70" t="s">
        <v>10</v>
      </c>
      <c r="B272" s="70"/>
      <c r="C272" s="70"/>
      <c r="D272" s="70"/>
      <c r="E272" s="3">
        <f>E271/(L264-J264^2/E268)^0.5</f>
        <v>8.4635977221698536E-2</v>
      </c>
    </row>
    <row r="273" spans="1:8" x14ac:dyDescent="0.35">
      <c r="A273" s="70" t="s">
        <v>11</v>
      </c>
      <c r="B273" s="70"/>
      <c r="C273" s="70"/>
      <c r="D273" s="70"/>
      <c r="E273" s="3">
        <f>E271/(E268-(J264)^2/L264)^0.5</f>
        <v>0.13048152757373774</v>
      </c>
    </row>
    <row r="274" spans="1:8" x14ac:dyDescent="0.35">
      <c r="A274" s="70" t="s">
        <v>12</v>
      </c>
      <c r="B274" s="70"/>
      <c r="C274" s="70"/>
      <c r="D274" s="70"/>
      <c r="E274" s="3">
        <f>CORREL(G14:G263,J14:J263)</f>
        <v>0.59493418024021538</v>
      </c>
      <c r="F274" t="s">
        <v>133</v>
      </c>
    </row>
    <row r="275" spans="1:8" x14ac:dyDescent="0.35">
      <c r="A275" s="70" t="s">
        <v>13</v>
      </c>
      <c r="B275" s="70"/>
      <c r="C275" s="70"/>
      <c r="D275" s="70"/>
      <c r="E275" s="3">
        <f>E274^2</f>
        <v>0.3539466788180971</v>
      </c>
      <c r="F275" t="s">
        <v>134</v>
      </c>
    </row>
    <row r="276" spans="1:8" x14ac:dyDescent="0.35">
      <c r="A276" s="70" t="s">
        <v>14</v>
      </c>
      <c r="B276" s="70"/>
      <c r="C276" s="70"/>
      <c r="D276" s="70"/>
      <c r="E276" s="3">
        <f>1-E275</f>
        <v>0.64605332118190284</v>
      </c>
      <c r="F276" t="s">
        <v>135</v>
      </c>
    </row>
    <row r="279" spans="1:8" x14ac:dyDescent="0.35">
      <c r="A279" s="67" t="s">
        <v>71</v>
      </c>
      <c r="B279" s="67"/>
      <c r="C279" s="67"/>
      <c r="D279" s="67"/>
      <c r="E279" s="39">
        <f>AVERAGE(F14:F263)</f>
        <v>0.2061837963347623</v>
      </c>
    </row>
    <row r="280" spans="1:8" x14ac:dyDescent="0.35">
      <c r="A280" s="66"/>
      <c r="B280" s="66"/>
      <c r="C280" s="66"/>
      <c r="D280" s="66"/>
    </row>
    <row r="281" spans="1:8" s="53" customFormat="1" x14ac:dyDescent="0.35">
      <c r="A281" s="67" t="s">
        <v>145</v>
      </c>
      <c r="B281" s="67"/>
      <c r="C281" s="67"/>
      <c r="D281" s="67"/>
      <c r="E281" s="40">
        <f>(21.32%-0.02%)/25%</f>
        <v>0.85199999999999998</v>
      </c>
      <c r="H281" s="8"/>
    </row>
    <row r="282" spans="1:8" s="53" customFormat="1" x14ac:dyDescent="0.35">
      <c r="A282" s="67" t="s">
        <v>146</v>
      </c>
      <c r="B282" s="67"/>
      <c r="C282" s="67"/>
      <c r="D282" s="67"/>
      <c r="E282" s="40">
        <f>(21.32%-0.02%)/0.98</f>
        <v>0.2173469387755102</v>
      </c>
    </row>
    <row r="283" spans="1:8" s="53" customFormat="1" x14ac:dyDescent="0.35">
      <c r="A283" s="67" t="s">
        <v>147</v>
      </c>
      <c r="B283" s="67"/>
      <c r="C283" s="67"/>
      <c r="D283" s="67"/>
      <c r="E283" s="2"/>
    </row>
    <row r="284" spans="1:8" s="53" customFormat="1" x14ac:dyDescent="0.35">
      <c r="A284" s="67" t="s">
        <v>148</v>
      </c>
      <c r="B284" s="67"/>
      <c r="C284" s="67"/>
      <c r="D284" s="67"/>
      <c r="E284" s="2"/>
    </row>
    <row r="285" spans="1:8" s="53" customFormat="1" x14ac:dyDescent="0.35"/>
    <row r="288" spans="1:8" x14ac:dyDescent="0.35">
      <c r="E288" t="s">
        <v>76</v>
      </c>
    </row>
    <row r="289" spans="5:13" ht="15" thickBot="1" x14ac:dyDescent="0.4"/>
    <row r="290" spans="5:13" x14ac:dyDescent="0.35">
      <c r="E290" s="46" t="s">
        <v>77</v>
      </c>
      <c r="F290" s="46"/>
    </row>
    <row r="291" spans="5:13" x14ac:dyDescent="0.35">
      <c r="E291" s="43" t="s">
        <v>78</v>
      </c>
      <c r="F291" s="47">
        <v>0.59493418024021549</v>
      </c>
    </row>
    <row r="292" spans="5:13" x14ac:dyDescent="0.35">
      <c r="E292" s="43" t="s">
        <v>79</v>
      </c>
      <c r="F292" s="47">
        <v>0.35394667881809716</v>
      </c>
    </row>
    <row r="293" spans="5:13" x14ac:dyDescent="0.35">
      <c r="E293" s="43" t="s">
        <v>80</v>
      </c>
      <c r="F293" s="43">
        <v>0.35134162510365402</v>
      </c>
    </row>
    <row r="294" spans="5:13" x14ac:dyDescent="0.35">
      <c r="E294" s="43" t="s">
        <v>81</v>
      </c>
      <c r="F294" s="47">
        <v>2.0630665824717771</v>
      </c>
    </row>
    <row r="295" spans="5:13" ht="15" thickBot="1" x14ac:dyDescent="0.4">
      <c r="E295" s="44" t="s">
        <v>82</v>
      </c>
      <c r="F295" s="44">
        <v>250</v>
      </c>
    </row>
    <row r="297" spans="5:13" ht="15" thickBot="1" x14ac:dyDescent="0.4">
      <c r="E297" t="s">
        <v>83</v>
      </c>
    </row>
    <row r="298" spans="5:13" x14ac:dyDescent="0.35">
      <c r="E298" s="45"/>
      <c r="F298" s="45" t="s">
        <v>88</v>
      </c>
      <c r="G298" s="45" t="s">
        <v>89</v>
      </c>
      <c r="H298" s="45" t="s">
        <v>90</v>
      </c>
      <c r="I298" s="45" t="s">
        <v>91</v>
      </c>
      <c r="J298" s="45" t="s">
        <v>92</v>
      </c>
    </row>
    <row r="299" spans="5:13" x14ac:dyDescent="0.35">
      <c r="E299" s="43" t="s">
        <v>84</v>
      </c>
      <c r="F299" s="43">
        <v>1</v>
      </c>
      <c r="G299" s="43">
        <v>578.29261711410527</v>
      </c>
      <c r="H299" s="43">
        <v>578.29261711410527</v>
      </c>
      <c r="I299" s="43">
        <v>135.86924402200091</v>
      </c>
      <c r="J299" s="43">
        <v>2.5117078213045108E-25</v>
      </c>
    </row>
    <row r="300" spans="5:13" x14ac:dyDescent="0.35">
      <c r="E300" s="43" t="s">
        <v>85</v>
      </c>
      <c r="F300" s="43">
        <v>248</v>
      </c>
      <c r="G300" s="43">
        <v>1055.5484434805207</v>
      </c>
      <c r="H300" s="43">
        <v>4.2562437237117772</v>
      </c>
      <c r="I300" s="43"/>
      <c r="J300" s="43"/>
    </row>
    <row r="301" spans="5:13" ht="15" thickBot="1" x14ac:dyDescent="0.4">
      <c r="E301" s="44" t="s">
        <v>86</v>
      </c>
      <c r="F301" s="44">
        <v>249</v>
      </c>
      <c r="G301" s="44">
        <v>1633.841060594626</v>
      </c>
      <c r="H301" s="44"/>
      <c r="I301" s="44"/>
      <c r="J301" s="44"/>
    </row>
    <row r="302" spans="5:13" ht="15" thickBot="1" x14ac:dyDescent="0.4"/>
    <row r="303" spans="5:13" x14ac:dyDescent="0.35">
      <c r="E303" s="45"/>
      <c r="F303" s="45" t="s">
        <v>93</v>
      </c>
      <c r="G303" s="45" t="s">
        <v>81</v>
      </c>
      <c r="H303" s="45" t="s">
        <v>94</v>
      </c>
      <c r="I303" s="45" t="s">
        <v>95</v>
      </c>
      <c r="J303" s="45" t="s">
        <v>96</v>
      </c>
      <c r="K303" s="45" t="s">
        <v>97</v>
      </c>
      <c r="L303" s="45" t="s">
        <v>98</v>
      </c>
      <c r="M303" s="45" t="s">
        <v>99</v>
      </c>
    </row>
    <row r="304" spans="5:13" x14ac:dyDescent="0.35">
      <c r="E304" s="43" t="s">
        <v>87</v>
      </c>
      <c r="F304" s="43">
        <v>0.17977614926420471</v>
      </c>
      <c r="G304" s="43">
        <v>0.13048152757373774</v>
      </c>
      <c r="H304" s="43">
        <v>1.377790041296149</v>
      </c>
      <c r="I304" s="43">
        <v>0.16951008891699521</v>
      </c>
      <c r="J304" s="43">
        <v>-7.7217090692972057E-2</v>
      </c>
      <c r="K304" s="43">
        <v>0.43676938922138148</v>
      </c>
      <c r="L304" s="43">
        <v>-7.7217090692972057E-2</v>
      </c>
      <c r="M304" s="43">
        <v>0.43676938922138148</v>
      </c>
    </row>
    <row r="305" spans="5:13" ht="15" thickBot="1" x14ac:dyDescent="0.4">
      <c r="E305" s="44" t="s">
        <v>100</v>
      </c>
      <c r="F305" s="48">
        <v>0.98654203027309861</v>
      </c>
      <c r="G305" s="44">
        <v>8.463597722169855E-2</v>
      </c>
      <c r="H305" s="44">
        <v>11.656296325248476</v>
      </c>
      <c r="I305" s="44">
        <v>2.5117078213043322E-25</v>
      </c>
      <c r="J305" s="44">
        <v>0.81984507011638774</v>
      </c>
      <c r="K305" s="44">
        <v>1.1532389904298095</v>
      </c>
      <c r="L305" s="44">
        <v>0.81984507011638774</v>
      </c>
      <c r="M305" s="44">
        <v>1.1532389904298095</v>
      </c>
    </row>
  </sheetData>
  <sortState xmlns:xlrd2="http://schemas.microsoft.com/office/spreadsheetml/2017/richdata2" ref="AH14:AH263">
    <sortCondition ref="AH14"/>
  </sortState>
  <mergeCells count="17">
    <mergeCell ref="A270:D270"/>
    <mergeCell ref="A281:D281"/>
    <mergeCell ref="A282:D282"/>
    <mergeCell ref="A283:D283"/>
    <mergeCell ref="A284:D284"/>
    <mergeCell ref="A279:D279"/>
    <mergeCell ref="A271:D271"/>
    <mergeCell ref="A272:D272"/>
    <mergeCell ref="A273:D273"/>
    <mergeCell ref="A274:D274"/>
    <mergeCell ref="A275:D275"/>
    <mergeCell ref="A276:D276"/>
    <mergeCell ref="R12:U12"/>
    <mergeCell ref="Z12:AC12"/>
    <mergeCell ref="AK12:AN12"/>
    <mergeCell ref="A268:D268"/>
    <mergeCell ref="A269:D26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E86C9-FB8B-42B0-BCE9-4AD6BE707579}">
  <dimension ref="A4:M267"/>
  <sheetViews>
    <sheetView topLeftCell="A253" workbookViewId="0">
      <selection activeCell="L19" sqref="L19:L119"/>
    </sheetView>
  </sheetViews>
  <sheetFormatPr defaultRowHeight="14.5" x14ac:dyDescent="0.35"/>
  <cols>
    <col min="1" max="1" width="15.26953125" customWidth="1"/>
    <col min="2" max="2" width="11.81640625" customWidth="1"/>
    <col min="7" max="7" width="9.7265625" customWidth="1"/>
    <col min="10" max="10" width="35.453125" customWidth="1"/>
    <col min="11" max="11" width="12.7265625" bestFit="1" customWidth="1"/>
    <col min="12" max="12" width="12" bestFit="1" customWidth="1"/>
  </cols>
  <sheetData>
    <row r="4" spans="1:12" x14ac:dyDescent="0.35">
      <c r="B4" t="s">
        <v>115</v>
      </c>
    </row>
    <row r="5" spans="1:12" x14ac:dyDescent="0.35">
      <c r="A5" t="s">
        <v>4</v>
      </c>
      <c r="B5" t="s">
        <v>73</v>
      </c>
      <c r="C5" t="s">
        <v>68</v>
      </c>
      <c r="E5" t="s">
        <v>104</v>
      </c>
    </row>
    <row r="6" spans="1:12" x14ac:dyDescent="0.35">
      <c r="A6" s="9">
        <v>43622</v>
      </c>
      <c r="B6" s="8">
        <v>0.21821067248564141</v>
      </c>
      <c r="C6" s="8">
        <v>0.43232457598936236</v>
      </c>
      <c r="E6">
        <f t="array" ref="E6">CORREL(B6:B255,C6:C255)</f>
        <v>-0.1984167342377629</v>
      </c>
    </row>
    <row r="7" spans="1:12" x14ac:dyDescent="0.35">
      <c r="A7" s="9">
        <v>43623</v>
      </c>
      <c r="B7" s="8">
        <v>-0.23752969121141332</v>
      </c>
      <c r="C7" s="8">
        <v>3.3112582781469335E-2</v>
      </c>
    </row>
    <row r="8" spans="1:12" x14ac:dyDescent="0.35">
      <c r="A8" s="9">
        <v>43626</v>
      </c>
      <c r="B8" s="8">
        <v>-0.4761904761904856</v>
      </c>
      <c r="C8" s="8">
        <v>-1.4895729890764597</v>
      </c>
    </row>
    <row r="9" spans="1:12" ht="15" thickBot="1" x14ac:dyDescent="0.4">
      <c r="A9" s="9">
        <v>43627</v>
      </c>
      <c r="B9" s="8">
        <v>1.2360446570973016</v>
      </c>
      <c r="C9" s="8">
        <v>-0.50403225806451291</v>
      </c>
    </row>
    <row r="10" spans="1:12" x14ac:dyDescent="0.35">
      <c r="A10" s="9">
        <v>43629</v>
      </c>
      <c r="B10" s="8">
        <v>-1.2209531311540012</v>
      </c>
      <c r="C10" s="8">
        <v>1.1482607227288</v>
      </c>
      <c r="J10" s="45" t="s">
        <v>102</v>
      </c>
      <c r="K10" s="45" t="s">
        <v>73</v>
      </c>
      <c r="L10" s="45" t="s">
        <v>68</v>
      </c>
    </row>
    <row r="11" spans="1:12" x14ac:dyDescent="0.35">
      <c r="A11" s="9">
        <v>43630</v>
      </c>
      <c r="B11" s="8">
        <v>0.37878787878788955</v>
      </c>
      <c r="C11" s="8">
        <v>0.66777963272119933</v>
      </c>
      <c r="J11" s="43" t="s">
        <v>73</v>
      </c>
      <c r="K11" s="43">
        <f>VARP(Расчеты!$B$6:$B$255)</f>
        <v>9.5386425832702919</v>
      </c>
      <c r="L11" s="43"/>
    </row>
    <row r="12" spans="1:12" ht="15" thickBot="1" x14ac:dyDescent="0.4">
      <c r="A12" s="9">
        <v>43633</v>
      </c>
      <c r="B12" s="8">
        <v>-9.9304865938443232E-2</v>
      </c>
      <c r="C12" s="8">
        <v>-1.194029850746281</v>
      </c>
      <c r="J12" s="44" t="s">
        <v>68</v>
      </c>
      <c r="K12" s="44">
        <v>-0.74665857742420494</v>
      </c>
      <c r="L12" s="44">
        <f>VARP(Расчеты!$C$6:$C$255)</f>
        <v>1.4845709109752532</v>
      </c>
    </row>
    <row r="13" spans="1:12" x14ac:dyDescent="0.35">
      <c r="A13" s="9">
        <v>43634</v>
      </c>
      <c r="B13" s="8">
        <v>0.51689860834991386</v>
      </c>
      <c r="C13" s="8">
        <v>0.40281973816718164</v>
      </c>
    </row>
    <row r="14" spans="1:12" x14ac:dyDescent="0.35">
      <c r="A14" s="9">
        <v>43635</v>
      </c>
      <c r="B14" s="8">
        <v>0.51424050632911111</v>
      </c>
      <c r="C14" s="8">
        <v>-0.5015045135406182</v>
      </c>
    </row>
    <row r="15" spans="1:12" x14ac:dyDescent="0.35">
      <c r="A15" s="9">
        <v>43636</v>
      </c>
      <c r="B15" s="8">
        <v>2.0857929948839171</v>
      </c>
      <c r="C15" s="8">
        <v>1.6465053763440762</v>
      </c>
    </row>
    <row r="16" spans="1:12" ht="43.5" x14ac:dyDescent="0.35">
      <c r="A16" s="9">
        <v>43637</v>
      </c>
      <c r="B16" s="8">
        <v>-0.44333076329993171</v>
      </c>
      <c r="C16" s="8">
        <v>1.2892561983470996</v>
      </c>
      <c r="G16" s="6" t="s">
        <v>123</v>
      </c>
      <c r="H16" s="6" t="s">
        <v>124</v>
      </c>
    </row>
    <row r="17" spans="1:13" x14ac:dyDescent="0.35">
      <c r="A17" s="9">
        <v>43640</v>
      </c>
      <c r="B17" s="8">
        <v>0.6776379477250849</v>
      </c>
      <c r="C17" s="8">
        <v>0.52219321148825326</v>
      </c>
      <c r="G17" s="10">
        <v>7.88</v>
      </c>
      <c r="H17">
        <f>G17/360</f>
        <v>2.1888888888888888E-2</v>
      </c>
      <c r="K17" t="s">
        <v>69</v>
      </c>
    </row>
    <row r="18" spans="1:13" x14ac:dyDescent="0.35">
      <c r="A18" s="9">
        <v>43641</v>
      </c>
      <c r="B18" s="8">
        <v>-0.30769230769229772</v>
      </c>
      <c r="C18" s="8">
        <v>0.90909090909090384</v>
      </c>
      <c r="G18" s="10">
        <v>7.91</v>
      </c>
    </row>
    <row r="19" spans="1:13" x14ac:dyDescent="0.35">
      <c r="A19" s="9">
        <v>43642</v>
      </c>
      <c r="B19" s="8">
        <v>1.4081790123456672</v>
      </c>
      <c r="C19" s="8">
        <v>-0.9009009009009028</v>
      </c>
      <c r="G19" s="10">
        <v>7.93</v>
      </c>
      <c r="J19">
        <v>1</v>
      </c>
      <c r="K19">
        <v>0</v>
      </c>
      <c r="L19" s="49">
        <f>(J19^2)*('Составление портфеля'!$B$114)+(K19^2)*('Составление портфеля'!$C$115)+2*J19*K19*'Составление портфеля'!$B$115</f>
        <v>9.5386425832702919</v>
      </c>
      <c r="M19" s="22">
        <v>0.01</v>
      </c>
    </row>
    <row r="20" spans="1:13" x14ac:dyDescent="0.35">
      <c r="A20" s="9">
        <v>43643</v>
      </c>
      <c r="B20" s="8">
        <v>0.13315579227697327</v>
      </c>
      <c r="C20" s="8">
        <v>-0.45454545454545192</v>
      </c>
      <c r="G20" s="10">
        <v>7.94</v>
      </c>
      <c r="J20">
        <v>0.99</v>
      </c>
      <c r="K20">
        <f t="shared" ref="K20:K51" si="0">1-J20</f>
        <v>1.0000000000000009E-2</v>
      </c>
      <c r="L20" s="49">
        <f>(J20^2)*('Составление портфеля'!$B$114)+(K20^2)*('Составление портфеля'!$C$115)+2*J20*K20*'Составление портфеля'!$B$115</f>
        <v>9.3341882131213101</v>
      </c>
    </row>
    <row r="21" spans="1:13" x14ac:dyDescent="0.35">
      <c r="A21" s="9">
        <v>43644</v>
      </c>
      <c r="B21" s="8">
        <v>7.5987841945290846E-2</v>
      </c>
      <c r="C21" s="8">
        <v>0.6849315068492956</v>
      </c>
      <c r="G21" s="10">
        <v>7.86</v>
      </c>
      <c r="J21">
        <v>0.98</v>
      </c>
      <c r="K21">
        <f t="shared" si="0"/>
        <v>2.0000000000000018E-2</v>
      </c>
      <c r="L21" s="49">
        <f>(J21^2)*('Составление портфеля'!$B$114)+(K21^2)*('Составление портфеля'!$C$115)+2*J21*K21*'Составление портфеля'!$B$115</f>
        <v>9.1322371491021492</v>
      </c>
    </row>
    <row r="22" spans="1:13" x14ac:dyDescent="0.35">
      <c r="A22" s="9">
        <v>43647</v>
      </c>
      <c r="B22" s="8">
        <v>0.1138952164009055</v>
      </c>
      <c r="C22" s="8">
        <v>-1.8464528668610258</v>
      </c>
      <c r="G22" s="10">
        <v>7.82</v>
      </c>
      <c r="J22">
        <v>0.97</v>
      </c>
      <c r="K22">
        <f t="shared" si="0"/>
        <v>3.0000000000000027E-2</v>
      </c>
      <c r="L22" s="49">
        <f>(J22^2)*('Составление портфеля'!$B$114)+(K22^2)*('Составление портфеля'!$C$115)+2*J22*K22*'Составление портфеля'!$B$115</f>
        <v>8.9327893912128076</v>
      </c>
    </row>
    <row r="23" spans="1:13" x14ac:dyDescent="0.35">
      <c r="A23" s="9">
        <v>43648</v>
      </c>
      <c r="B23" s="8">
        <v>1.3841486537732317</v>
      </c>
      <c r="C23" s="8">
        <v>1.4521452145214386</v>
      </c>
      <c r="G23" s="10">
        <v>7.81</v>
      </c>
      <c r="J23">
        <v>0.96</v>
      </c>
      <c r="K23">
        <f t="shared" si="0"/>
        <v>4.0000000000000036E-2</v>
      </c>
      <c r="L23" s="49">
        <f>(J23^2)*('Составление портфеля'!$B$114)+(K23^2)*('Составление портфеля'!$C$115)+2*J23*K23*'Составление портфеля'!$B$115</f>
        <v>8.7358449394532833</v>
      </c>
    </row>
    <row r="24" spans="1:13" x14ac:dyDescent="0.35">
      <c r="A24" s="9">
        <v>43649</v>
      </c>
      <c r="B24" s="8">
        <v>0.24312698709556546</v>
      </c>
      <c r="C24" s="8">
        <v>1.1060507482108184</v>
      </c>
      <c r="G24" s="10">
        <v>7.7</v>
      </c>
      <c r="J24">
        <v>0.95</v>
      </c>
      <c r="K24">
        <f t="shared" si="0"/>
        <v>5.0000000000000044E-2</v>
      </c>
      <c r="L24" s="49">
        <f>(J24^2)*('Составление портфеля'!$B$114)+(K24^2)*('Составление портфеля'!$C$115)+2*J24*K24*'Составление портфеля'!$B$115</f>
        <v>8.5414037938235765</v>
      </c>
    </row>
    <row r="25" spans="1:13" x14ac:dyDescent="0.35">
      <c r="A25" s="9">
        <v>43650</v>
      </c>
      <c r="B25" s="8">
        <v>0.18656716417910779</v>
      </c>
      <c r="C25" s="8">
        <v>0.19305019305018156</v>
      </c>
      <c r="G25" s="10">
        <v>7.7</v>
      </c>
      <c r="J25">
        <v>0.94</v>
      </c>
      <c r="K25">
        <f t="shared" si="0"/>
        <v>6.0000000000000053E-2</v>
      </c>
      <c r="L25" s="49">
        <f>(J25^2)*('Составление портфеля'!$B$114)+(K25^2)*('Составление портфеля'!$C$115)+2*J25*K25*'Составление портфеля'!$B$115</f>
        <v>8.3494659543236907</v>
      </c>
    </row>
    <row r="26" spans="1:13" x14ac:dyDescent="0.35">
      <c r="A26" s="9">
        <v>43651</v>
      </c>
      <c r="B26" s="8">
        <v>-0.18621973929237035</v>
      </c>
      <c r="C26" s="8">
        <v>-0.54592164418754141</v>
      </c>
      <c r="G26" s="10">
        <v>7.66</v>
      </c>
      <c r="J26">
        <v>0.93</v>
      </c>
      <c r="K26">
        <f t="shared" si="0"/>
        <v>6.9999999999999951E-2</v>
      </c>
      <c r="L26" s="49">
        <f>(J26^2)*('Составление портфеля'!$B$114)+(K26^2)*('Составление портфеля'!$C$115)+2*J26*K26*'Составление портфеля'!$B$115</f>
        <v>8.1600314209536222</v>
      </c>
    </row>
    <row r="27" spans="1:13" x14ac:dyDescent="0.35">
      <c r="A27" s="9">
        <v>43654</v>
      </c>
      <c r="B27" s="8">
        <v>0.44776119402984982</v>
      </c>
      <c r="C27" s="8">
        <v>-0.54891830804003616</v>
      </c>
      <c r="G27" s="10">
        <v>7.67</v>
      </c>
      <c r="J27">
        <v>0.92</v>
      </c>
      <c r="K27">
        <f t="shared" si="0"/>
        <v>7.999999999999996E-2</v>
      </c>
      <c r="L27" s="49">
        <f>(J27^2)*('Составление портфеля'!$B$114)+(K27^2)*('Составление портфеля'!$C$115)+2*J27*K27*'Составление портфеля'!$B$115</f>
        <v>7.9731001937133756</v>
      </c>
    </row>
    <row r="28" spans="1:13" x14ac:dyDescent="0.35">
      <c r="A28" s="9">
        <v>43655</v>
      </c>
      <c r="B28" s="8">
        <v>1.0401188707280795</v>
      </c>
      <c r="C28" s="8">
        <v>0.35714285714285587</v>
      </c>
      <c r="G28" s="10">
        <v>7.67</v>
      </c>
      <c r="J28">
        <v>0.91</v>
      </c>
      <c r="K28">
        <f t="shared" si="0"/>
        <v>8.9999999999999969E-2</v>
      </c>
      <c r="L28" s="49">
        <f>(J28^2)*('Составление портфеля'!$B$114)+(K28^2)*('Составление портфеля'!$C$115)+2*J28*K28*'Составление портфеля'!$B$115</f>
        <v>7.7886722726029438</v>
      </c>
    </row>
    <row r="29" spans="1:13" x14ac:dyDescent="0.35">
      <c r="A29" s="9">
        <v>43656</v>
      </c>
      <c r="B29" s="8">
        <v>-0.20220588235293491</v>
      </c>
      <c r="C29" s="8">
        <v>-0.29116790682628402</v>
      </c>
      <c r="G29" s="10">
        <v>7.66</v>
      </c>
      <c r="J29">
        <v>0.9</v>
      </c>
      <c r="K29">
        <f t="shared" si="0"/>
        <v>9.9999999999999978E-2</v>
      </c>
      <c r="L29" s="49">
        <f>(J29^2)*('Составление портфеля'!$B$114)+(K29^2)*('Составление портфеля'!$C$115)+2*J29*K29*'Составление портфеля'!$B$115</f>
        <v>7.6067476576223321</v>
      </c>
    </row>
    <row r="30" spans="1:13" x14ac:dyDescent="0.35">
      <c r="A30" s="9">
        <v>43657</v>
      </c>
      <c r="B30" s="8">
        <v>-1.620924663842338</v>
      </c>
      <c r="C30" s="8">
        <v>-0.35691109669044874</v>
      </c>
      <c r="G30" s="10">
        <v>7.73</v>
      </c>
      <c r="J30">
        <v>0.89</v>
      </c>
      <c r="K30">
        <f t="shared" si="0"/>
        <v>0.10999999999999999</v>
      </c>
      <c r="L30" s="49">
        <f>(J30^2)*('Составление портфеля'!$B$114)+(K30^2)*('Составление портфеля'!$C$115)+2*J30*K30*'Составление портфеля'!$B$115</f>
        <v>7.4273263487715404</v>
      </c>
    </row>
    <row r="31" spans="1:13" x14ac:dyDescent="0.35">
      <c r="A31" s="9">
        <v>43658</v>
      </c>
      <c r="B31" s="8">
        <v>0.31829245459651379</v>
      </c>
      <c r="C31" s="8">
        <v>0.13025073266035303</v>
      </c>
      <c r="G31" s="10">
        <v>7.73</v>
      </c>
      <c r="J31">
        <v>0.88</v>
      </c>
      <c r="K31">
        <f t="shared" si="0"/>
        <v>0.12</v>
      </c>
      <c r="L31" s="49">
        <f>(J31^2)*('Составление портфеля'!$B$114)+(K31^2)*('Составление портфеля'!$C$115)+2*J31*K31*'Составление портфеля'!$B$115</f>
        <v>7.2504083460505662</v>
      </c>
    </row>
    <row r="32" spans="1:13" x14ac:dyDescent="0.35">
      <c r="A32" s="9">
        <v>43661</v>
      </c>
      <c r="B32" s="8">
        <v>-0.82120194102276445</v>
      </c>
      <c r="C32" s="8">
        <v>-0.16260162601625661</v>
      </c>
      <c r="G32" s="10">
        <v>7.71</v>
      </c>
      <c r="J32">
        <v>0.87</v>
      </c>
      <c r="K32">
        <f t="shared" si="0"/>
        <v>0.13</v>
      </c>
      <c r="L32" s="49">
        <f>(J32^2)*('Составление портфеля'!$B$114)+(K32^2)*('Составление портфеля'!$C$115)+2*J32*K32*'Составление портфеля'!$B$115</f>
        <v>7.0759936494594102</v>
      </c>
    </row>
    <row r="33" spans="1:12" x14ac:dyDescent="0.35">
      <c r="A33" s="9">
        <v>43662</v>
      </c>
      <c r="B33" s="8">
        <v>0.97854723372223784</v>
      </c>
      <c r="C33" s="8">
        <v>0.16286644951140072</v>
      </c>
      <c r="G33" s="10">
        <v>7.72</v>
      </c>
      <c r="J33">
        <v>0.86</v>
      </c>
      <c r="K33">
        <f t="shared" si="0"/>
        <v>0.14000000000000001</v>
      </c>
      <c r="L33" s="49">
        <f>(J33^2)*('Составление портфеля'!$B$114)+(K33^2)*('Составление портфеля'!$C$115)+2*J33*K33*'Составление портфеля'!$B$115</f>
        <v>6.9040822589980735</v>
      </c>
    </row>
    <row r="34" spans="1:12" x14ac:dyDescent="0.35">
      <c r="A34" s="9">
        <v>43663</v>
      </c>
      <c r="B34" s="8">
        <v>-1.5840477077897819</v>
      </c>
      <c r="C34" s="8">
        <v>0.94308943089429498</v>
      </c>
      <c r="G34" s="10">
        <v>7.68</v>
      </c>
      <c r="J34">
        <v>0.85</v>
      </c>
      <c r="K34">
        <f t="shared" si="0"/>
        <v>0.15000000000000002</v>
      </c>
      <c r="L34" s="49">
        <f>(J34^2)*('Составление портфеля'!$B$114)+(K34^2)*('Составление портфеля'!$C$115)+2*J34*K34*'Составление портфеля'!$B$115</f>
        <v>6.7346741746665568</v>
      </c>
    </row>
    <row r="35" spans="1:12" x14ac:dyDescent="0.35">
      <c r="A35" s="9">
        <v>43664</v>
      </c>
      <c r="B35" s="8">
        <v>-0.53020261314145056</v>
      </c>
      <c r="C35" s="8">
        <v>0.54768041237114318</v>
      </c>
      <c r="G35" s="10">
        <v>7.64</v>
      </c>
      <c r="J35">
        <v>0.84</v>
      </c>
      <c r="K35">
        <f t="shared" si="0"/>
        <v>0.16000000000000003</v>
      </c>
      <c r="L35" s="49">
        <f>(J35^2)*('Составление портфеля'!$B$114)+(K35^2)*('Составление портфеля'!$C$115)+2*J35*K35*'Составление портфеля'!$B$115</f>
        <v>6.5677693964648567</v>
      </c>
    </row>
    <row r="36" spans="1:12" x14ac:dyDescent="0.35">
      <c r="A36" s="9">
        <v>43665</v>
      </c>
      <c r="B36" s="8">
        <v>0.45688178183895811</v>
      </c>
      <c r="C36" s="8">
        <v>-0.2883691124639598</v>
      </c>
      <c r="G36" s="10">
        <v>7.6</v>
      </c>
      <c r="J36">
        <v>0.83</v>
      </c>
      <c r="K36">
        <f t="shared" si="0"/>
        <v>0.17000000000000004</v>
      </c>
      <c r="L36" s="49">
        <f>(J36^2)*('Составление портфеля'!$B$114)+(K36^2)*('Составление портфеля'!$C$115)+2*J36*K36*'Составление портфеля'!$B$115</f>
        <v>6.4033679243929775</v>
      </c>
    </row>
    <row r="37" spans="1:12" x14ac:dyDescent="0.35">
      <c r="A37" s="9">
        <v>43668</v>
      </c>
      <c r="B37" s="8">
        <v>-1.4781125639567905</v>
      </c>
      <c r="C37" s="8">
        <v>0.28920308483291191</v>
      </c>
      <c r="G37" s="10">
        <v>7.56</v>
      </c>
      <c r="J37">
        <v>0.82</v>
      </c>
      <c r="K37">
        <f t="shared" si="0"/>
        <v>0.18000000000000005</v>
      </c>
      <c r="L37" s="49">
        <f>(J37^2)*('Составление портфеля'!$B$114)+(K37^2)*('Составление портфеля'!$C$115)+2*J37*K37*'Составление портфеля'!$B$115</f>
        <v>6.2414697584509158</v>
      </c>
    </row>
    <row r="38" spans="1:12" x14ac:dyDescent="0.35">
      <c r="A38" s="9">
        <v>43669</v>
      </c>
      <c r="B38" s="8">
        <v>2.4427774572032934</v>
      </c>
      <c r="C38" s="8">
        <v>-0.2563280999679618</v>
      </c>
      <c r="G38" s="10">
        <v>7.56</v>
      </c>
      <c r="J38">
        <v>0.81</v>
      </c>
      <c r="K38">
        <f t="shared" si="0"/>
        <v>0.18999999999999995</v>
      </c>
      <c r="L38" s="49">
        <f>(J38^2)*('Составление портфеля'!$B$114)+(K38^2)*('Составление портфеля'!$C$115)+2*J38*K38*'Составление портфеля'!$B$115</f>
        <v>6.0820748986386759</v>
      </c>
    </row>
    <row r="39" spans="1:12" x14ac:dyDescent="0.35">
      <c r="A39" s="9">
        <v>43670</v>
      </c>
      <c r="B39" s="8">
        <v>0</v>
      </c>
      <c r="C39" s="8">
        <v>-0.19274012206874636</v>
      </c>
      <c r="G39" s="10">
        <v>7.58</v>
      </c>
      <c r="J39">
        <v>0.8</v>
      </c>
      <c r="K39">
        <f t="shared" si="0"/>
        <v>0.19999999999999996</v>
      </c>
      <c r="L39" s="49">
        <f>(J39^2)*('Составление портфеля'!$B$114)+(K39^2)*('Составление портфеля'!$C$115)+2*J39*K39*'Составление портфеля'!$B$115</f>
        <v>5.9251833449562517</v>
      </c>
    </row>
    <row r="40" spans="1:12" x14ac:dyDescent="0.35">
      <c r="A40" s="9">
        <v>43671</v>
      </c>
      <c r="B40" s="8">
        <v>-0.11265490048816273</v>
      </c>
      <c r="C40" s="8">
        <v>0.19311232700354175</v>
      </c>
      <c r="G40" s="10">
        <v>7.61</v>
      </c>
      <c r="J40">
        <v>0.79</v>
      </c>
      <c r="K40">
        <f t="shared" si="0"/>
        <v>0.20999999999999996</v>
      </c>
      <c r="L40" s="49">
        <f>(J40^2)*('Составление портфеля'!$B$114)+(K40^2)*('Составление портфеля'!$C$115)+2*J40*K40*'Составление портфеля'!$B$115</f>
        <v>5.7707950974036466</v>
      </c>
    </row>
    <row r="41" spans="1:12" x14ac:dyDescent="0.35">
      <c r="A41" s="9">
        <v>43672</v>
      </c>
      <c r="B41" s="8">
        <v>-1.8609022556390964</v>
      </c>
      <c r="C41" s="8">
        <v>0.32123353678124023</v>
      </c>
      <c r="G41" s="10">
        <v>7.62</v>
      </c>
      <c r="J41">
        <v>0.78</v>
      </c>
      <c r="K41">
        <f t="shared" si="0"/>
        <v>0.21999999999999997</v>
      </c>
      <c r="L41" s="49">
        <f>(J41^2)*('Составление портфеля'!$B$114)+(K41^2)*('Составление портфеля'!$C$115)+2*J41*K41*'Составление портфеля'!$B$115</f>
        <v>5.6189101559808616</v>
      </c>
    </row>
    <row r="42" spans="1:12" x14ac:dyDescent="0.35">
      <c r="A42" s="9">
        <v>43675</v>
      </c>
      <c r="B42" s="8">
        <v>2.3750239417736019</v>
      </c>
      <c r="C42" s="8">
        <v>0</v>
      </c>
      <c r="G42" s="10">
        <v>7.57</v>
      </c>
      <c r="J42">
        <v>0.77</v>
      </c>
      <c r="K42">
        <f t="shared" si="0"/>
        <v>0.22999999999999998</v>
      </c>
      <c r="L42" s="49">
        <f>(J42^2)*('Составление портфеля'!$B$114)+(K42^2)*('Составление портфеля'!$C$115)+2*J42*K42*'Составление портфеля'!$B$115</f>
        <v>5.4695285206878932</v>
      </c>
    </row>
    <row r="43" spans="1:12" x14ac:dyDescent="0.35">
      <c r="A43" s="9">
        <v>43676</v>
      </c>
      <c r="B43" s="8">
        <v>0.69223573433114804</v>
      </c>
      <c r="C43" s="8">
        <v>0.86455331412103043</v>
      </c>
      <c r="G43" s="10">
        <v>7.56</v>
      </c>
      <c r="J43">
        <v>0.76</v>
      </c>
      <c r="K43">
        <f t="shared" si="0"/>
        <v>0.24</v>
      </c>
      <c r="L43" s="49">
        <f>(J43^2)*('Составление портфеля'!$B$114)+(K43^2)*('Составление портфеля'!$C$115)+2*J43*K43*'Составление портфеля'!$B$115</f>
        <v>5.3226501915247448</v>
      </c>
    </row>
    <row r="44" spans="1:12" x14ac:dyDescent="0.35">
      <c r="A44" s="9">
        <v>43677</v>
      </c>
      <c r="B44" s="8">
        <v>0.55741360089185399</v>
      </c>
      <c r="C44" s="8">
        <v>-0.19047619047619646</v>
      </c>
      <c r="G44" s="10">
        <v>7.56</v>
      </c>
      <c r="J44">
        <v>0.75</v>
      </c>
      <c r="K44">
        <f t="shared" si="0"/>
        <v>0.25</v>
      </c>
      <c r="L44" s="49">
        <f>(J44^2)*('Составление портфеля'!$B$114)+(K44^2)*('Составление портфеля'!$C$115)+2*J44*K44*'Составление портфеля'!$B$115</f>
        <v>5.1782751684914157</v>
      </c>
    </row>
    <row r="45" spans="1:12" x14ac:dyDescent="0.35">
      <c r="A45" s="9">
        <v>43678</v>
      </c>
      <c r="B45" s="8">
        <v>7.3909830007390376E-2</v>
      </c>
      <c r="C45" s="8">
        <v>-0.34987277353688562</v>
      </c>
      <c r="G45" s="10">
        <v>7.56</v>
      </c>
      <c r="J45">
        <v>0.74</v>
      </c>
      <c r="K45">
        <f t="shared" si="0"/>
        <v>0.26</v>
      </c>
      <c r="L45" s="49">
        <f>(J45^2)*('Составление портфеля'!$B$114)+(K45^2)*('Составление портфеля'!$C$115)+2*J45*K45*'Составление портфеля'!$B$115</f>
        <v>5.0364034515879048</v>
      </c>
    </row>
    <row r="46" spans="1:12" x14ac:dyDescent="0.35">
      <c r="A46" s="9">
        <v>43679</v>
      </c>
      <c r="B46" s="8">
        <v>-0.9970457902511054</v>
      </c>
      <c r="C46" s="8">
        <v>4.3408873284391802</v>
      </c>
      <c r="G46" s="10">
        <v>7.55</v>
      </c>
      <c r="J46">
        <v>0.73</v>
      </c>
      <c r="K46">
        <f t="shared" si="0"/>
        <v>0.27</v>
      </c>
      <c r="L46" s="49">
        <f>(J46^2)*('Составление портфеля'!$B$114)+(K46^2)*('Составление портфеля'!$C$115)+2*J46*K46*'Составление портфеля'!$B$115</f>
        <v>4.8970350408142131</v>
      </c>
    </row>
    <row r="47" spans="1:12" x14ac:dyDescent="0.35">
      <c r="A47" s="9">
        <v>43682</v>
      </c>
      <c r="B47" s="8">
        <v>-1.7717269675494141</v>
      </c>
      <c r="C47" s="8">
        <v>1.1012542061792585</v>
      </c>
      <c r="G47" s="10">
        <v>7.55</v>
      </c>
      <c r="J47">
        <v>0.72</v>
      </c>
      <c r="K47">
        <f t="shared" si="0"/>
        <v>0.28000000000000003</v>
      </c>
      <c r="L47" s="49">
        <f>(J47^2)*('Составление портфеля'!$B$114)+(K47^2)*('Составление портфеля'!$C$115)+2*J47*K47*'Составление портфеля'!$B$115</f>
        <v>4.7601699361703389</v>
      </c>
    </row>
    <row r="48" spans="1:12" x14ac:dyDescent="0.35">
      <c r="A48" s="9">
        <v>43683</v>
      </c>
      <c r="B48" s="8">
        <v>-1.2720713878868417</v>
      </c>
      <c r="C48" s="8">
        <v>1.0892586989410091</v>
      </c>
      <c r="G48" s="10">
        <v>7.56</v>
      </c>
      <c r="J48">
        <v>0.71</v>
      </c>
      <c r="K48">
        <f t="shared" si="0"/>
        <v>0.29000000000000004</v>
      </c>
      <c r="L48" s="49">
        <f>(J48^2)*('Составление портфеля'!$B$114)+(K48^2)*('Составление портфеля'!$C$115)+2*J48*K48*'Составление портфеля'!$B$115</f>
        <v>4.6258081376562856</v>
      </c>
    </row>
    <row r="49" spans="1:12" x14ac:dyDescent="0.35">
      <c r="A49" s="9">
        <v>43684</v>
      </c>
      <c r="B49" s="8">
        <v>0.26923076923077716</v>
      </c>
      <c r="C49" s="8">
        <v>2.5142173002095092</v>
      </c>
      <c r="G49" s="10">
        <v>7.53</v>
      </c>
      <c r="J49">
        <v>0.7</v>
      </c>
      <c r="K49">
        <f t="shared" si="0"/>
        <v>0.30000000000000004</v>
      </c>
      <c r="L49" s="49">
        <f>(J49^2)*('Составление портфеля'!$B$114)+(K49^2)*('Составление портфеля'!$C$115)+2*J49*K49*'Составление портфеля'!$B$115</f>
        <v>4.4939496452720489</v>
      </c>
    </row>
    <row r="50" spans="1:12" x14ac:dyDescent="0.35">
      <c r="A50" s="9">
        <v>43685</v>
      </c>
      <c r="B50" s="8">
        <v>0.11507479861909697</v>
      </c>
      <c r="C50" s="8">
        <v>-1.3722627737226212</v>
      </c>
      <c r="G50" s="10">
        <v>7.53</v>
      </c>
      <c r="J50">
        <v>0.69</v>
      </c>
      <c r="K50">
        <f t="shared" si="0"/>
        <v>0.31000000000000005</v>
      </c>
      <c r="L50" s="49">
        <f>(J50^2)*('Составление портфеля'!$B$114)+(K50^2)*('Составление портфеля'!$C$115)+2*J50*K50*'Составление портфеля'!$B$115</f>
        <v>4.3645944590176313</v>
      </c>
    </row>
    <row r="51" spans="1:12" x14ac:dyDescent="0.35">
      <c r="A51" s="9">
        <v>43686</v>
      </c>
      <c r="B51" s="8">
        <v>0.55555555555555358</v>
      </c>
      <c r="C51" s="8">
        <v>1.0065127294256904</v>
      </c>
      <c r="G51" s="10">
        <v>7.47</v>
      </c>
      <c r="J51">
        <v>0.68</v>
      </c>
      <c r="K51">
        <f t="shared" si="0"/>
        <v>0.31999999999999995</v>
      </c>
      <c r="L51" s="49">
        <f>(J51^2)*('Составление портфеля'!$B$114)+(K51^2)*('Составление портфеля'!$C$115)+2*J51*K51*'Составление портфеля'!$B$115</f>
        <v>4.2377425788930356</v>
      </c>
    </row>
    <row r="52" spans="1:12" x14ac:dyDescent="0.35">
      <c r="A52" s="9">
        <v>43689</v>
      </c>
      <c r="B52" s="8">
        <v>1.5240998285387608</v>
      </c>
      <c r="C52" s="8">
        <v>0.17584994138335475</v>
      </c>
      <c r="G52" s="10">
        <v>7.45</v>
      </c>
      <c r="J52">
        <v>0.67</v>
      </c>
      <c r="K52">
        <f t="shared" ref="K52:K83" si="1">1-J52</f>
        <v>0.32999999999999996</v>
      </c>
      <c r="L52" s="49">
        <f>(J52^2)*('Составление портфеля'!$B$114)+(K52^2)*('Составление портфеля'!$C$115)+2*J52*K52*'Составление портфеля'!$B$115</f>
        <v>4.1133940048982565</v>
      </c>
    </row>
    <row r="53" spans="1:12" x14ac:dyDescent="0.35">
      <c r="A53" s="9">
        <v>43690</v>
      </c>
      <c r="B53" s="8">
        <v>-0.18765246762995069</v>
      </c>
      <c r="C53" s="8">
        <v>-0.9362200117027486</v>
      </c>
      <c r="G53" s="10">
        <v>7.46</v>
      </c>
      <c r="J53">
        <v>0.66</v>
      </c>
      <c r="K53">
        <f t="shared" si="1"/>
        <v>0.33999999999999997</v>
      </c>
      <c r="L53" s="49">
        <f>(J53^2)*('Составление портфеля'!$B$114)+(K53^2)*('Составление портфеля'!$C$115)+2*J53*K53*'Составление портфеля'!$B$115</f>
        <v>3.9915487370332956</v>
      </c>
    </row>
    <row r="54" spans="1:12" x14ac:dyDescent="0.35">
      <c r="A54" s="9">
        <v>43691</v>
      </c>
      <c r="B54" s="8">
        <v>-1.8612521150592087</v>
      </c>
      <c r="C54" s="8">
        <v>2.421736562315413</v>
      </c>
      <c r="G54" s="10">
        <v>7.39</v>
      </c>
      <c r="J54">
        <v>0.65</v>
      </c>
      <c r="K54">
        <f t="shared" si="1"/>
        <v>0.35</v>
      </c>
      <c r="L54" s="49">
        <f>(J54^2)*('Составление портфеля'!$B$114)+(K54^2)*('Составление портфеля'!$C$115)+2*J54*K54*'Составление портфеля'!$B$115</f>
        <v>3.8722067752981548</v>
      </c>
    </row>
    <row r="55" spans="1:12" x14ac:dyDescent="0.35">
      <c r="A55" s="9">
        <v>43692</v>
      </c>
      <c r="B55" s="8">
        <v>-1.1494252873563204</v>
      </c>
      <c r="C55" s="8">
        <v>0.4325259515570945</v>
      </c>
      <c r="G55" s="10">
        <v>7.43</v>
      </c>
      <c r="J55">
        <v>0.64</v>
      </c>
      <c r="K55">
        <f t="shared" si="1"/>
        <v>0.36</v>
      </c>
      <c r="L55" s="49">
        <f>(J55^2)*('Составление портфеля'!$B$114)+(K55^2)*('Составление портфеля'!$C$115)+2*J55*K55*'Составление портфеля'!$B$115</f>
        <v>3.7553681196928315</v>
      </c>
    </row>
    <row r="56" spans="1:12" x14ac:dyDescent="0.35">
      <c r="A56" s="9">
        <v>43693</v>
      </c>
      <c r="B56" s="8">
        <v>0</v>
      </c>
      <c r="C56" s="8">
        <v>-0.114843525696251</v>
      </c>
      <c r="G56" s="10">
        <v>7.51</v>
      </c>
      <c r="J56">
        <v>0.63</v>
      </c>
      <c r="K56">
        <f t="shared" si="1"/>
        <v>0.37</v>
      </c>
      <c r="L56" s="49">
        <f>(J56^2)*('Составление портфеля'!$B$114)+(K56^2)*('Составление портфеля'!$C$115)+2*J56*K56*'Составление портфеля'!$B$115</f>
        <v>3.6410327702173269</v>
      </c>
    </row>
    <row r="57" spans="1:12" x14ac:dyDescent="0.35">
      <c r="A57" s="9">
        <v>43696</v>
      </c>
      <c r="B57" s="8">
        <v>0.29069767441860517</v>
      </c>
      <c r="C57" s="8">
        <v>-0.28743891922966558</v>
      </c>
      <c r="G57" s="10">
        <v>7.46</v>
      </c>
      <c r="J57">
        <v>0.62</v>
      </c>
      <c r="K57">
        <f t="shared" si="1"/>
        <v>0.38</v>
      </c>
      <c r="L57" s="49">
        <f>(J57^2)*('Составление портфеля'!$B$114)+(K57^2)*('Составление портфеля'!$C$115)+2*J57*K57*'Составление портфеля'!$B$115</f>
        <v>3.5292007268716419</v>
      </c>
    </row>
    <row r="58" spans="1:12" x14ac:dyDescent="0.35">
      <c r="A58" s="9">
        <v>43697</v>
      </c>
      <c r="B58" s="8">
        <v>0.69565217391305278</v>
      </c>
      <c r="C58" s="8">
        <v>0.11530700490056667</v>
      </c>
      <c r="G58" s="10">
        <v>7.46</v>
      </c>
      <c r="J58">
        <v>0.61</v>
      </c>
      <c r="K58">
        <f t="shared" si="1"/>
        <v>0.39</v>
      </c>
      <c r="L58" s="49">
        <f>(J58^2)*('Составление портфеля'!$B$114)+(K58^2)*('Составление портфеля'!$C$115)+2*J58*K58*'Составление портфеля'!$B$115</f>
        <v>3.4198719896557748</v>
      </c>
    </row>
    <row r="59" spans="1:12" x14ac:dyDescent="0.35">
      <c r="A59" s="9">
        <v>43698</v>
      </c>
      <c r="B59" s="8">
        <v>-0.80598733448474791</v>
      </c>
      <c r="C59" s="8">
        <v>-1.3820904117477717</v>
      </c>
      <c r="G59" s="10">
        <v>7.43</v>
      </c>
      <c r="J59">
        <v>0.6</v>
      </c>
      <c r="K59">
        <f t="shared" si="1"/>
        <v>0.4</v>
      </c>
      <c r="L59" s="49">
        <f>(J59^2)*('Составление портфеля'!$B$114)+(K59^2)*('Составление портфеля'!$C$115)+2*J59*K59*'Составление портфеля'!$B$115</f>
        <v>3.3130465585697269</v>
      </c>
    </row>
    <row r="60" spans="1:12" x14ac:dyDescent="0.35">
      <c r="A60" s="9">
        <v>43699</v>
      </c>
      <c r="B60" s="8">
        <v>-1.1414200038692091</v>
      </c>
      <c r="C60" s="8">
        <v>-0.46715328467153983</v>
      </c>
      <c r="G60" s="10">
        <v>7.37</v>
      </c>
      <c r="J60">
        <v>0.59</v>
      </c>
      <c r="K60">
        <f t="shared" si="1"/>
        <v>0.41000000000000003</v>
      </c>
      <c r="L60" s="49">
        <f>(J60^2)*('Составление портфеля'!$B$114)+(K60^2)*('Составление портфеля'!$C$115)+2*J60*K60*'Составление портфеля'!$B$115</f>
        <v>3.2087244336134981</v>
      </c>
    </row>
    <row r="61" spans="1:12" x14ac:dyDescent="0.35">
      <c r="A61" s="9">
        <v>43700</v>
      </c>
      <c r="B61" s="8">
        <v>0.29354207436398383</v>
      </c>
      <c r="C61" s="8">
        <v>2.3467292461132327</v>
      </c>
      <c r="G61" s="10">
        <v>7.41</v>
      </c>
      <c r="J61">
        <v>0.57999999999999996</v>
      </c>
      <c r="K61">
        <f t="shared" si="1"/>
        <v>0.42000000000000004</v>
      </c>
      <c r="L61" s="49">
        <f>(J61^2)*('Составление портфеля'!$B$114)+(K61^2)*('Составление портфеля'!$C$115)+2*J61*K61*'Составление портфеля'!$B$115</f>
        <v>3.1069056147870882</v>
      </c>
    </row>
    <row r="62" spans="1:12" x14ac:dyDescent="0.35">
      <c r="A62" s="9">
        <v>43703</v>
      </c>
      <c r="B62" s="8">
        <v>-0.42926829268292721</v>
      </c>
      <c r="C62" s="8">
        <v>0.28661507595300062</v>
      </c>
      <c r="G62" s="10">
        <v>7.4</v>
      </c>
      <c r="J62">
        <v>0.56999999999999995</v>
      </c>
      <c r="K62">
        <f t="shared" si="1"/>
        <v>0.43000000000000005</v>
      </c>
      <c r="L62" s="49">
        <f>(J62^2)*('Составление портфеля'!$B$114)+(K62^2)*('Составление портфеля'!$C$115)+2*J62*K62*'Составление портфеля'!$B$115</f>
        <v>3.0075901020904969</v>
      </c>
    </row>
    <row r="63" spans="1:12" x14ac:dyDescent="0.35">
      <c r="A63" s="9">
        <v>43704</v>
      </c>
      <c r="B63" s="8">
        <v>2.2731726435430089</v>
      </c>
      <c r="C63" s="8">
        <v>1.5432980851671996</v>
      </c>
      <c r="G63" s="10">
        <v>7.41</v>
      </c>
      <c r="J63">
        <v>0.56000000000000005</v>
      </c>
      <c r="K63">
        <f t="shared" si="1"/>
        <v>0.43999999999999995</v>
      </c>
      <c r="L63" s="49">
        <f>(J63^2)*('Составление портфеля'!$B$114)+(K63^2)*('Составление портфеля'!$C$115)+2*J63*K63*'Составление портфеля'!$B$115</f>
        <v>2.9107778955237249</v>
      </c>
    </row>
    <row r="64" spans="1:12" x14ac:dyDescent="0.35">
      <c r="A64" s="9">
        <v>43705</v>
      </c>
      <c r="B64" s="8">
        <v>0.68978731557769457</v>
      </c>
      <c r="C64" s="8">
        <v>-0.33774275260343156</v>
      </c>
      <c r="G64" s="10">
        <v>7.41</v>
      </c>
      <c r="J64">
        <v>0.55000000000000004</v>
      </c>
      <c r="K64">
        <f t="shared" si="1"/>
        <v>0.44999999999999996</v>
      </c>
      <c r="L64" s="49">
        <f>(J64^2)*('Составление портфеля'!$B$114)+(K64^2)*('Составление портфеля'!$C$115)+2*J64*K64*'Составление портфеля'!$B$115</f>
        <v>2.8164689950867707</v>
      </c>
    </row>
    <row r="65" spans="1:12" x14ac:dyDescent="0.35">
      <c r="A65" s="9">
        <v>43706</v>
      </c>
      <c r="B65" s="8">
        <v>1.0085632730732597</v>
      </c>
      <c r="C65" s="8">
        <v>2.8240609997176591E-2</v>
      </c>
      <c r="G65" s="10">
        <v>7.38</v>
      </c>
      <c r="J65">
        <v>0.54</v>
      </c>
      <c r="K65">
        <f t="shared" si="1"/>
        <v>0.45999999999999996</v>
      </c>
      <c r="L65" s="49">
        <f>(J65^2)*('Составление портфеля'!$B$114)+(K65^2)*('Составление портфеля'!$C$115)+2*J65*K65*'Составление портфеля'!$B$115</f>
        <v>2.7246634007796358</v>
      </c>
    </row>
    <row r="66" spans="1:12" x14ac:dyDescent="0.35">
      <c r="A66" s="9">
        <v>43707</v>
      </c>
      <c r="B66" s="8">
        <v>3.4287867370007552</v>
      </c>
      <c r="C66" s="8">
        <v>-0.45172219085262144</v>
      </c>
      <c r="G66" s="10">
        <v>7.37</v>
      </c>
      <c r="J66">
        <v>0.53</v>
      </c>
      <c r="K66">
        <f t="shared" si="1"/>
        <v>0.47</v>
      </c>
      <c r="L66" s="49">
        <f>(J66^2)*('Составление портфеля'!$B$114)+(K66^2)*('Составление портфеля'!$C$115)+2*J66*K66*'Составление портфеля'!$B$115</f>
        <v>2.63536111260232</v>
      </c>
    </row>
    <row r="67" spans="1:12" x14ac:dyDescent="0.35">
      <c r="A67" s="9">
        <v>43710</v>
      </c>
      <c r="B67" s="8">
        <v>12.295081967213118</v>
      </c>
      <c r="C67" s="8">
        <v>-8.5082246171297449E-2</v>
      </c>
      <c r="G67" s="10">
        <v>7.36</v>
      </c>
      <c r="J67">
        <v>0.52</v>
      </c>
      <c r="K67">
        <f t="shared" si="1"/>
        <v>0.48</v>
      </c>
      <c r="L67" s="49">
        <f>(J67^2)*('Составление портфеля'!$B$114)+(K67^2)*('Составление портфеля'!$C$115)+2*J67*K67*'Составление портфеля'!$B$115</f>
        <v>2.5485621305548225</v>
      </c>
    </row>
    <row r="68" spans="1:12" x14ac:dyDescent="0.35">
      <c r="A68" s="9">
        <v>43711</v>
      </c>
      <c r="B68" s="8">
        <v>15.166261151662619</v>
      </c>
      <c r="C68" s="8">
        <v>1.9017882486517035</v>
      </c>
      <c r="G68" s="10">
        <v>7.37</v>
      </c>
      <c r="J68">
        <v>0.51</v>
      </c>
      <c r="K68">
        <f t="shared" si="1"/>
        <v>0.49</v>
      </c>
      <c r="L68" s="49">
        <f>(J68^2)*('Составление портфеля'!$B$114)+(K68^2)*('Составление портфеля'!$C$115)+2*J68*K68*'Составление портфеля'!$B$115</f>
        <v>2.4642664546371433</v>
      </c>
    </row>
    <row r="69" spans="1:12" x14ac:dyDescent="0.35">
      <c r="A69" s="9">
        <v>43712</v>
      </c>
      <c r="B69" s="8">
        <v>-0.29577464788731467</v>
      </c>
      <c r="C69" s="8">
        <v>-1.3091922005570966</v>
      </c>
      <c r="G69" s="10">
        <v>7.37</v>
      </c>
      <c r="J69">
        <v>0.5</v>
      </c>
      <c r="K69">
        <f t="shared" si="1"/>
        <v>0.5</v>
      </c>
      <c r="L69" s="49">
        <f>(J69^2)*('Составление портфеля'!$B$114)+(K69^2)*('Составление портфеля'!$C$115)+2*J69*K69*'Составление портфеля'!$B$115</f>
        <v>2.3824740848492842</v>
      </c>
    </row>
    <row r="70" spans="1:12" x14ac:dyDescent="0.35">
      <c r="A70" s="9">
        <v>43713</v>
      </c>
      <c r="B70" s="8">
        <v>-4.9300748693318353</v>
      </c>
      <c r="C70" s="8">
        <v>-2.173299463731293</v>
      </c>
      <c r="G70" s="10">
        <v>7.38</v>
      </c>
      <c r="J70">
        <v>0.49</v>
      </c>
      <c r="K70">
        <f t="shared" si="1"/>
        <v>0.51</v>
      </c>
      <c r="L70" s="49">
        <f>(J70^2)*('Составление портфеля'!$B$114)+(K70^2)*('Составление портфеля'!$C$115)+2*J70*K70*'Составление портфеля'!$B$115</f>
        <v>2.3031850211912426</v>
      </c>
    </row>
    <row r="71" spans="1:12" x14ac:dyDescent="0.35">
      <c r="A71" s="9">
        <v>43714</v>
      </c>
      <c r="B71" s="8">
        <v>-0.59435364041603433</v>
      </c>
      <c r="C71" s="8">
        <v>-0.20196191575304612</v>
      </c>
      <c r="G71" s="10">
        <v>7.38</v>
      </c>
      <c r="J71">
        <v>0.48</v>
      </c>
      <c r="K71">
        <f t="shared" si="1"/>
        <v>0.52</v>
      </c>
      <c r="L71" s="49">
        <f>(J71^2)*('Составление портфеля'!$B$114)+(K71^2)*('Составление портфеля'!$C$115)+2*J71*K71*'Составление портфеля'!$B$115</f>
        <v>2.226399263663021</v>
      </c>
    </row>
    <row r="72" spans="1:12" x14ac:dyDescent="0.35">
      <c r="A72" s="9">
        <v>43717</v>
      </c>
      <c r="B72" s="8">
        <v>-1.1659192825112075</v>
      </c>
      <c r="C72" s="8">
        <v>-1.7056952876553844</v>
      </c>
      <c r="G72" s="10">
        <v>7.37</v>
      </c>
      <c r="J72">
        <v>0.47</v>
      </c>
      <c r="K72">
        <f t="shared" si="1"/>
        <v>0.53</v>
      </c>
      <c r="L72" s="49">
        <f>(J72^2)*('Составление портфеля'!$B$114)+(K72^2)*('Составление портфеля'!$C$115)+2*J72*K72*'Составление портфеля'!$B$115</f>
        <v>2.1521168122646173</v>
      </c>
    </row>
    <row r="73" spans="1:12" x14ac:dyDescent="0.35">
      <c r="A73" s="9">
        <v>43718</v>
      </c>
      <c r="B73" s="8">
        <v>1.6031457955232975</v>
      </c>
      <c r="C73" s="8">
        <v>-0.50000000000000044</v>
      </c>
      <c r="G73" s="10">
        <v>7.34</v>
      </c>
      <c r="J73">
        <v>0.46</v>
      </c>
      <c r="K73">
        <f t="shared" si="1"/>
        <v>0.54</v>
      </c>
      <c r="L73" s="49">
        <f>(J73^2)*('Составление портфеля'!$B$114)+(K73^2)*('Составление портфеля'!$C$115)+2*J73*K73*'Составление портфеля'!$B$115</f>
        <v>2.0803376669960327</v>
      </c>
    </row>
    <row r="74" spans="1:12" x14ac:dyDescent="0.35">
      <c r="A74" s="9">
        <v>43719</v>
      </c>
      <c r="B74" s="8">
        <v>7.1747543911878431</v>
      </c>
      <c r="C74" s="8">
        <v>-8.8678687555432401E-2</v>
      </c>
      <c r="G74" s="10">
        <v>7.39</v>
      </c>
      <c r="J74">
        <v>0.45</v>
      </c>
      <c r="K74">
        <f t="shared" si="1"/>
        <v>0.55000000000000004</v>
      </c>
      <c r="L74" s="49">
        <f>(J74^2)*('Составление портфеля'!$B$114)+(K74^2)*('Составление портфеля'!$C$115)+2*J74*K74*'Составление портфеля'!$B$115</f>
        <v>2.0110618278572669</v>
      </c>
    </row>
    <row r="75" spans="1:12" x14ac:dyDescent="0.35">
      <c r="A75" s="9">
        <v>43720</v>
      </c>
      <c r="B75" s="8">
        <v>1.0972222222222383</v>
      </c>
      <c r="C75" s="8">
        <v>-0.17751479289941363</v>
      </c>
      <c r="G75" s="10">
        <v>7.41</v>
      </c>
      <c r="J75">
        <v>0.44</v>
      </c>
      <c r="K75">
        <f t="shared" si="1"/>
        <v>0.56000000000000005</v>
      </c>
      <c r="L75" s="49">
        <f>(J75^2)*('Составление портфеля'!$B$114)+(K75^2)*('Составление портфеля'!$C$115)+2*J75*K75*'Составление портфеля'!$B$115</f>
        <v>1.9442892948483197</v>
      </c>
    </row>
    <row r="76" spans="1:12" x14ac:dyDescent="0.35">
      <c r="A76" s="9">
        <v>43721</v>
      </c>
      <c r="B76" s="8">
        <v>2.7064157164445657</v>
      </c>
      <c r="C76" s="8">
        <v>-1.6301126259632537</v>
      </c>
      <c r="G76" s="10">
        <v>7.43</v>
      </c>
      <c r="J76">
        <v>0.42999999999999899</v>
      </c>
      <c r="K76">
        <f t="shared" si="1"/>
        <v>0.57000000000000095</v>
      </c>
      <c r="L76" s="49">
        <f>(J76^2)*('Составление портфеля'!$B$114)+(K76^2)*('Составление портфеля'!$C$115)+2*J76*K76*'Составление портфеля'!$B$115</f>
        <v>1.8800200679691854</v>
      </c>
    </row>
    <row r="77" spans="1:12" x14ac:dyDescent="0.35">
      <c r="A77" s="9">
        <v>43724</v>
      </c>
      <c r="B77" s="8">
        <v>0.85607276618513417</v>
      </c>
      <c r="C77" s="8">
        <v>0.27116601385961392</v>
      </c>
      <c r="G77" s="10">
        <v>7.4</v>
      </c>
      <c r="J77">
        <v>0.41999999999999899</v>
      </c>
      <c r="K77">
        <f t="shared" si="1"/>
        <v>0.58000000000000096</v>
      </c>
      <c r="L77" s="49">
        <f>(J77^2)*('Составление портфеля'!$B$114)+(K77^2)*('Составление портфеля'!$C$115)+2*J77*K77*'Составление портфеля'!$B$115</f>
        <v>1.8182541472198759</v>
      </c>
    </row>
    <row r="78" spans="1:12" x14ac:dyDescent="0.35">
      <c r="A78" s="9">
        <v>43725</v>
      </c>
      <c r="B78" s="8">
        <v>-3.3023872679045163</v>
      </c>
      <c r="C78" s="8">
        <v>0.72115384615383249</v>
      </c>
      <c r="G78" s="10">
        <v>7.38</v>
      </c>
      <c r="J78">
        <v>0.40999999999999898</v>
      </c>
      <c r="K78">
        <f t="shared" si="1"/>
        <v>0.59000000000000097</v>
      </c>
      <c r="L78" s="49">
        <f>(J78^2)*('Составление портфеля'!$B$114)+(K78^2)*('Составление портфеля'!$C$115)+2*J78*K78*'Составление портфеля'!$B$115</f>
        <v>1.7589915326003853</v>
      </c>
    </row>
    <row r="79" spans="1:12" x14ac:dyDescent="0.35">
      <c r="A79" s="9">
        <v>43726</v>
      </c>
      <c r="B79" s="8">
        <v>-2.6059525442326037</v>
      </c>
      <c r="C79" s="8">
        <v>0.11933174224345588</v>
      </c>
      <c r="G79" s="10">
        <v>7.38</v>
      </c>
      <c r="J79">
        <v>0.39999999999999902</v>
      </c>
      <c r="K79">
        <f t="shared" si="1"/>
        <v>0.60000000000000098</v>
      </c>
      <c r="L79" s="49">
        <f>(J79^2)*('Составление портфеля'!$B$114)+(K79^2)*('Составление портфеля'!$C$115)+2*J79*K79*'Составление портфеля'!$B$115</f>
        <v>1.7022322241107142</v>
      </c>
    </row>
    <row r="80" spans="1:12" x14ac:dyDescent="0.35">
      <c r="A80" s="9">
        <v>43727</v>
      </c>
      <c r="B80" s="8">
        <v>0.54921841994084453</v>
      </c>
      <c r="C80" s="8">
        <v>-1.2812872467222958</v>
      </c>
      <c r="G80" s="10">
        <v>7.37</v>
      </c>
      <c r="J80">
        <v>0.38999999999999901</v>
      </c>
      <c r="K80">
        <f t="shared" si="1"/>
        <v>0.61000000000000099</v>
      </c>
      <c r="L80" s="49">
        <f>(J80^2)*('Составление портфеля'!$B$114)+(K80^2)*('Составление портфеля'!$C$115)+2*J80*K80*'Составление портфеля'!$B$115</f>
        <v>1.6479762217508611</v>
      </c>
    </row>
    <row r="81" spans="1:12" x14ac:dyDescent="0.35">
      <c r="A81" s="9">
        <v>43728</v>
      </c>
      <c r="B81" s="8">
        <v>-0.57422969187677086</v>
      </c>
      <c r="C81" s="8">
        <v>0.21128886205854513</v>
      </c>
      <c r="G81" s="10">
        <v>7.29</v>
      </c>
      <c r="J81">
        <v>0.37999999999999901</v>
      </c>
      <c r="K81">
        <f t="shared" si="1"/>
        <v>0.62000000000000099</v>
      </c>
      <c r="L81" s="49">
        <f>(J81^2)*('Составление портфеля'!$B$114)+(K81^2)*('Составление портфеля'!$C$115)+2*J81*K81*'Составление портфеля'!$B$115</f>
        <v>1.5962235255208272</v>
      </c>
    </row>
    <row r="82" spans="1:12" x14ac:dyDescent="0.35">
      <c r="A82" s="9">
        <v>43731</v>
      </c>
      <c r="B82" s="8">
        <v>0.29581631215664927</v>
      </c>
      <c r="C82" s="8">
        <v>1.5361445783132588</v>
      </c>
      <c r="G82" s="10">
        <v>7.23</v>
      </c>
      <c r="J82">
        <v>0.369999999999999</v>
      </c>
      <c r="K82">
        <f t="shared" si="1"/>
        <v>0.630000000000001</v>
      </c>
      <c r="L82" s="49">
        <f>(J82^2)*('Составление портфеля'!$B$114)+(K82^2)*('Составление портфеля'!$C$115)+2*J82*K82*'Составление портфеля'!$B$115</f>
        <v>1.5469741354206117</v>
      </c>
    </row>
    <row r="83" spans="1:12" x14ac:dyDescent="0.35">
      <c r="A83" s="9">
        <v>43732</v>
      </c>
      <c r="B83" s="8">
        <v>-1.8258426966292096</v>
      </c>
      <c r="C83" s="8">
        <v>2.9664787896765965E-2</v>
      </c>
      <c r="G83" s="10">
        <v>7.07</v>
      </c>
      <c r="J83">
        <v>0.35999999999999899</v>
      </c>
      <c r="K83">
        <f t="shared" si="1"/>
        <v>0.64000000000000101</v>
      </c>
      <c r="L83" s="49">
        <f>(J83^2)*('Составление портфеля'!$B$114)+(K83^2)*('Составление портфеля'!$C$115)+2*J83*K83*'Составление портфеля'!$B$115</f>
        <v>1.5002280514502153</v>
      </c>
    </row>
    <row r="84" spans="1:12" x14ac:dyDescent="0.35">
      <c r="A84" s="9">
        <v>43733</v>
      </c>
      <c r="B84" s="8">
        <v>-1.1587982832618082</v>
      </c>
      <c r="C84" s="8">
        <v>-0.2669039145907437</v>
      </c>
      <c r="G84" s="10">
        <v>6.99</v>
      </c>
      <c r="J84">
        <v>0.34999999999999898</v>
      </c>
      <c r="K84">
        <f t="shared" ref="K84:K115" si="2">1-J84</f>
        <v>0.65000000000000102</v>
      </c>
      <c r="L84" s="49">
        <f>(J84^2)*('Составление портфеля'!$B$114)+(K84^2)*('Составление портфеля'!$C$115)+2*J84*K84*'Составление портфеля'!$B$115</f>
        <v>1.4559852736096377</v>
      </c>
    </row>
    <row r="85" spans="1:12" x14ac:dyDescent="0.35">
      <c r="A85" s="9">
        <v>43734</v>
      </c>
      <c r="B85" s="8">
        <v>0.49211173831236188</v>
      </c>
      <c r="C85" s="8">
        <v>-0.20814748736247557</v>
      </c>
      <c r="G85" s="10">
        <v>6.98</v>
      </c>
      <c r="J85">
        <v>0.33999999999999903</v>
      </c>
      <c r="K85">
        <f t="shared" si="2"/>
        <v>0.66000000000000103</v>
      </c>
      <c r="L85" s="49">
        <f>(J85^2)*('Составление портфеля'!$B$114)+(K85^2)*('Составление портфеля'!$C$115)+2*J85*K85*'Составление портфеля'!$B$115</f>
        <v>1.4142458018988791</v>
      </c>
    </row>
    <row r="86" spans="1:12" x14ac:dyDescent="0.35">
      <c r="A86" s="9">
        <v>43735</v>
      </c>
      <c r="B86" s="8">
        <v>0.34567189975514001</v>
      </c>
      <c r="C86" s="8">
        <v>-0.47675804529202503</v>
      </c>
      <c r="G86" s="10">
        <v>7.01</v>
      </c>
      <c r="J86">
        <v>0.32999999999999902</v>
      </c>
      <c r="K86">
        <f t="shared" si="2"/>
        <v>0.67000000000000104</v>
      </c>
      <c r="L86" s="49">
        <f>(J86^2)*('Составление портфеля'!$B$114)+(K86^2)*('Составление портфеля'!$C$115)+2*J86*K86*'Составление портфеля'!$B$115</f>
        <v>1.3750096363179387</v>
      </c>
    </row>
    <row r="87" spans="1:12" x14ac:dyDescent="0.35">
      <c r="A87" s="9">
        <v>43738</v>
      </c>
      <c r="B87" s="8">
        <v>1.6219319649777519</v>
      </c>
      <c r="C87" s="8">
        <v>-1.1377245508982115</v>
      </c>
      <c r="G87" s="10">
        <v>7.03</v>
      </c>
      <c r="J87">
        <v>0.31999999999999901</v>
      </c>
      <c r="K87">
        <f t="shared" si="2"/>
        <v>0.68000000000000105</v>
      </c>
      <c r="L87" s="49">
        <f>(J87^2)*('Составление портфеля'!$B$114)+(K87^2)*('Составление портфеля'!$C$115)+2*J87*K87*'Составление портфеля'!$B$115</f>
        <v>1.3382767768668176</v>
      </c>
    </row>
    <row r="88" spans="1:12" x14ac:dyDescent="0.35">
      <c r="A88" s="9">
        <v>43739</v>
      </c>
      <c r="B88" s="8">
        <v>1.6807909604519722</v>
      </c>
      <c r="C88" s="8">
        <v>1.5445184736523343</v>
      </c>
      <c r="G88" s="10">
        <v>7.02</v>
      </c>
      <c r="J88">
        <v>0.309999999999999</v>
      </c>
      <c r="K88">
        <f t="shared" si="2"/>
        <v>0.69000000000000106</v>
      </c>
      <c r="L88" s="49">
        <f>(J88^2)*('Составление портфеля'!$B$114)+(K88^2)*('Составление портфеля'!$C$115)+2*J88*K88*'Составление портфеля'!$B$115</f>
        <v>1.3040472235455149</v>
      </c>
    </row>
    <row r="89" spans="1:12" x14ac:dyDescent="0.35">
      <c r="A89" s="9">
        <v>43740</v>
      </c>
      <c r="B89" s="8">
        <v>-2.6253646339769454</v>
      </c>
      <c r="C89" s="8">
        <v>1.0438413361169019</v>
      </c>
      <c r="G89" s="10">
        <v>7.02</v>
      </c>
      <c r="J89">
        <v>0.29999999999999899</v>
      </c>
      <c r="K89">
        <f t="shared" si="2"/>
        <v>0.70000000000000107</v>
      </c>
      <c r="L89" s="49">
        <f>(J89^2)*('Составление портфеля'!$B$114)+(K89^2)*('Составление портфеля'!$C$115)+2*J89*K89*'Составление портфеля'!$B$115</f>
        <v>1.2723209763540311</v>
      </c>
    </row>
    <row r="90" spans="1:12" x14ac:dyDescent="0.35">
      <c r="A90" s="9">
        <v>43741</v>
      </c>
      <c r="B90" s="8">
        <v>1.5263908701854678</v>
      </c>
      <c r="C90" s="8">
        <v>0.38370720188902752</v>
      </c>
      <c r="G90" s="10">
        <v>7.02</v>
      </c>
      <c r="J90">
        <v>0.28999999999999898</v>
      </c>
      <c r="K90">
        <f t="shared" si="2"/>
        <v>0.71000000000000107</v>
      </c>
      <c r="L90" s="49">
        <f>(J90^2)*('Составление портфеля'!$B$114)+(K90^2)*('Составление портфеля'!$C$115)+2*J90*K90*'Составление портфеля'!$B$115</f>
        <v>1.2430980352923664</v>
      </c>
    </row>
    <row r="91" spans="1:12" x14ac:dyDescent="0.35">
      <c r="A91" s="9">
        <v>43742</v>
      </c>
      <c r="B91" s="8">
        <v>-1.0116622172263612</v>
      </c>
      <c r="C91" s="8">
        <v>-0.94089973537195837</v>
      </c>
      <c r="G91" s="10">
        <v>7.02</v>
      </c>
      <c r="J91">
        <v>0.27999999999999903</v>
      </c>
      <c r="K91">
        <f t="shared" si="2"/>
        <v>0.72000000000000097</v>
      </c>
      <c r="L91" s="49">
        <f>(J91^2)*('Составление портфеля'!$B$114)+(K91^2)*('Составление портфеля'!$C$115)+2*J91*K91*'Составление портфеля'!$B$115</f>
        <v>1.2163784003605203</v>
      </c>
    </row>
    <row r="92" spans="1:12" x14ac:dyDescent="0.35">
      <c r="A92" s="9">
        <v>43745</v>
      </c>
      <c r="B92" s="8">
        <v>2.200141944641576</v>
      </c>
      <c r="C92" s="8">
        <v>-0.23745918670227129</v>
      </c>
      <c r="G92" s="10">
        <v>7.03</v>
      </c>
      <c r="J92">
        <v>0.26999999999999902</v>
      </c>
      <c r="K92">
        <f t="shared" si="2"/>
        <v>0.73000000000000098</v>
      </c>
      <c r="L92" s="49">
        <f>(J92^2)*('Составление портфеля'!$B$114)+(K92^2)*('Составление портфеля'!$C$115)+2*J92*K92*'Составление портфеля'!$B$115</f>
        <v>1.1921620715584929</v>
      </c>
    </row>
    <row r="93" spans="1:12" x14ac:dyDescent="0.35">
      <c r="A93" s="9">
        <v>43746</v>
      </c>
      <c r="B93" s="8">
        <v>0.25000000000001688</v>
      </c>
      <c r="C93" s="8">
        <v>1.0711097887533327</v>
      </c>
      <c r="G93" s="10">
        <v>7.03</v>
      </c>
      <c r="J93">
        <v>0.25999999999999901</v>
      </c>
      <c r="K93">
        <f t="shared" si="2"/>
        <v>0.74000000000000099</v>
      </c>
      <c r="L93" s="49">
        <f>(J93^2)*('Составление портфеля'!$B$114)+(K93^2)*('Составление портфеля'!$C$115)+2*J93*K93*'Составление портфеля'!$B$115</f>
        <v>1.1704490488862842</v>
      </c>
    </row>
    <row r="94" spans="1:12" x14ac:dyDescent="0.35">
      <c r="A94" s="9">
        <v>43747</v>
      </c>
      <c r="B94" s="8">
        <v>0.95594347464671436</v>
      </c>
      <c r="C94" s="8">
        <v>-0.44156608772446537</v>
      </c>
      <c r="G94" s="10">
        <v>7.02</v>
      </c>
      <c r="J94">
        <v>0.249999999999999</v>
      </c>
      <c r="K94">
        <f t="shared" si="2"/>
        <v>0.750000000000001</v>
      </c>
      <c r="L94" s="49">
        <f>(J94^2)*('Составление портфеля'!$B$114)+(K94^2)*('Составление портфеля'!$C$115)+2*J94*K94*'Составление портфеля'!$B$115</f>
        <v>1.1512393323438945</v>
      </c>
    </row>
    <row r="95" spans="1:12" x14ac:dyDescent="0.35">
      <c r="A95" s="9">
        <v>43748</v>
      </c>
      <c r="B95" s="8">
        <v>0.28818443804032867</v>
      </c>
      <c r="C95" s="8">
        <v>-1.5079834417504379</v>
      </c>
      <c r="G95" s="10">
        <v>7.02</v>
      </c>
      <c r="J95">
        <v>0.23999999999999899</v>
      </c>
      <c r="K95">
        <f t="shared" si="2"/>
        <v>0.76000000000000101</v>
      </c>
      <c r="L95" s="49">
        <f>(J95^2)*('Составление портфеля'!$B$114)+(K95^2)*('Составление портфеля'!$C$115)+2*J95*K95*'Составление портфеля'!$B$115</f>
        <v>1.1345329219313234</v>
      </c>
    </row>
    <row r="96" spans="1:12" x14ac:dyDescent="0.35">
      <c r="A96" s="9">
        <v>43749</v>
      </c>
      <c r="B96" s="8">
        <v>0.50629447181171905</v>
      </c>
      <c r="C96" s="8">
        <v>-1.5010507355148639</v>
      </c>
      <c r="G96" s="10">
        <v>7.01</v>
      </c>
      <c r="J96">
        <v>0.22999999999999901</v>
      </c>
      <c r="K96">
        <f t="shared" si="2"/>
        <v>0.77000000000000102</v>
      </c>
      <c r="L96" s="49">
        <f>(J96^2)*('Составление портфеля'!$B$114)+(K96^2)*('Составление портфеля'!$C$115)+2*J96*K96*'Составление портфеля'!$B$115</f>
        <v>1.1203298176485712</v>
      </c>
    </row>
    <row r="97" spans="1:12" x14ac:dyDescent="0.35">
      <c r="A97" s="9">
        <v>43752</v>
      </c>
      <c r="B97" s="8">
        <v>-1.293396868618113</v>
      </c>
      <c r="C97" s="8">
        <v>1.0362694300518172</v>
      </c>
      <c r="G97" s="10">
        <v>7</v>
      </c>
      <c r="J97">
        <v>0.219999999999999</v>
      </c>
      <c r="K97">
        <f t="shared" si="2"/>
        <v>0.78000000000000103</v>
      </c>
      <c r="L97" s="49">
        <f>(J97^2)*('Составление портфеля'!$B$114)+(K97^2)*('Составление портфеля'!$C$115)+2*J97*K97*'Составление портфеля'!$B$115</f>
        <v>1.108630019495638</v>
      </c>
    </row>
    <row r="98" spans="1:12" x14ac:dyDescent="0.35">
      <c r="A98" s="9">
        <v>43753</v>
      </c>
      <c r="B98" s="8">
        <v>-0.80000000000000071</v>
      </c>
      <c r="C98" s="8">
        <v>-0.63348416289593645</v>
      </c>
      <c r="G98" s="10">
        <v>7.03</v>
      </c>
      <c r="J98">
        <v>0.20999999999999899</v>
      </c>
      <c r="K98">
        <f t="shared" si="2"/>
        <v>0.79000000000000103</v>
      </c>
      <c r="L98" s="49">
        <f>(J98^2)*('Составление портфеля'!$B$114)+(K98^2)*('Составление портфеля'!$C$115)+2*J98*K98*'Составление портфеля'!$B$115</f>
        <v>1.0994335274725235</v>
      </c>
    </row>
    <row r="99" spans="1:12" x14ac:dyDescent="0.35">
      <c r="A99" s="9">
        <v>43754</v>
      </c>
      <c r="B99" s="8">
        <v>2.1273637374860987</v>
      </c>
      <c r="C99" s="8">
        <v>0.21250758955677629</v>
      </c>
      <c r="G99" s="10">
        <v>7.04</v>
      </c>
      <c r="J99">
        <v>0.19999999999999901</v>
      </c>
      <c r="K99">
        <f t="shared" si="2"/>
        <v>0.80000000000000093</v>
      </c>
      <c r="L99" s="49">
        <f>(J99^2)*('Составление портфеля'!$B$114)+(K99^2)*('Составление портфеля'!$C$115)+2*J99*K99*'Составление портфеля'!$B$115</f>
        <v>1.0927403415792274</v>
      </c>
    </row>
    <row r="100" spans="1:12" x14ac:dyDescent="0.35">
      <c r="A100" s="9">
        <v>43755</v>
      </c>
      <c r="B100" s="8">
        <v>-1.4295439074200056</v>
      </c>
      <c r="C100" s="8">
        <v>0.3938200545289261</v>
      </c>
      <c r="G100" s="10">
        <v>7.06</v>
      </c>
      <c r="J100">
        <v>0.189999999999999</v>
      </c>
      <c r="K100">
        <f t="shared" si="2"/>
        <v>0.81000000000000094</v>
      </c>
      <c r="L100" s="49">
        <f>(J100^2)*('Составление портфеля'!$B$114)+(K100^2)*('Составление портфеля'!$C$115)+2*J100*K100*'Составление портфеля'!$B$115</f>
        <v>1.0885504618157504</v>
      </c>
    </row>
    <row r="101" spans="1:12" x14ac:dyDescent="0.35">
      <c r="A101" s="9">
        <v>43756</v>
      </c>
      <c r="B101" s="8">
        <v>-8.2872928176802585E-2</v>
      </c>
      <c r="C101" s="8">
        <v>-0.36210018105008457</v>
      </c>
      <c r="G101" s="10">
        <v>7.1</v>
      </c>
      <c r="J101">
        <v>0.17999999999999899</v>
      </c>
      <c r="K101">
        <f t="shared" si="2"/>
        <v>0.82000000000000095</v>
      </c>
      <c r="L101" s="49">
        <f>(J101^2)*('Составление портфеля'!$B$114)+(K101^2)*('Составление портфеля'!$C$115)+2*J101*K101*'Составление портфеля'!$B$115</f>
        <v>1.0868638881820922</v>
      </c>
    </row>
    <row r="102" spans="1:12" x14ac:dyDescent="0.35">
      <c r="A102" s="9">
        <v>43759</v>
      </c>
      <c r="B102" s="8">
        <v>-0.35941387890517928</v>
      </c>
      <c r="C102" s="8">
        <v>-0.75711689884918609</v>
      </c>
      <c r="G102" s="10">
        <v>7.1</v>
      </c>
      <c r="J102">
        <v>0.16999999999999901</v>
      </c>
      <c r="K102">
        <f t="shared" si="2"/>
        <v>0.83000000000000096</v>
      </c>
      <c r="L102" s="49">
        <f>(J102^2)*('Составление портфеля'!$B$114)+(K102^2)*('Составление портфеля'!$C$115)+2*J102*K102*'Составление портфеля'!$B$115</f>
        <v>1.087680620678253</v>
      </c>
    </row>
    <row r="103" spans="1:12" x14ac:dyDescent="0.35">
      <c r="A103" s="9">
        <v>43760</v>
      </c>
      <c r="B103" s="8">
        <v>1.9006659267480686</v>
      </c>
      <c r="C103" s="8">
        <v>-0.30515715593530945</v>
      </c>
      <c r="G103" s="10">
        <v>7.08</v>
      </c>
      <c r="J103">
        <v>0.159999999999999</v>
      </c>
      <c r="K103">
        <f t="shared" si="2"/>
        <v>0.84000000000000097</v>
      </c>
      <c r="L103" s="49">
        <f>(J103^2)*('Составление портфеля'!$B$114)+(K103^2)*('Составление портфеля'!$C$115)+2*J103*K103*'Составление портфеля'!$B$115</f>
        <v>1.0910006593042323</v>
      </c>
    </row>
    <row r="104" spans="1:12" x14ac:dyDescent="0.35">
      <c r="A104" s="9">
        <v>43761</v>
      </c>
      <c r="B104" s="8">
        <v>9.3805309734513287</v>
      </c>
      <c r="C104" s="8">
        <v>1.0101010101010166</v>
      </c>
      <c r="G104" s="10">
        <v>7.14</v>
      </c>
      <c r="J104">
        <v>0.149999999999999</v>
      </c>
      <c r="K104">
        <f t="shared" si="2"/>
        <v>0.85000000000000098</v>
      </c>
      <c r="L104" s="49">
        <f>(J104^2)*('Составление портфеля'!$B$114)+(K104^2)*('Составление портфеля'!$C$115)+2*J104*K104*'Составление портфеля'!$B$115</f>
        <v>1.0968240040600306</v>
      </c>
    </row>
    <row r="105" spans="1:12" x14ac:dyDescent="0.35">
      <c r="A105" s="9">
        <v>43762</v>
      </c>
      <c r="B105" s="8">
        <v>8.4142394822006352</v>
      </c>
      <c r="C105" s="8">
        <v>0.63636363636363491</v>
      </c>
      <c r="G105" s="10">
        <v>7.18</v>
      </c>
      <c r="J105">
        <v>0.13999999999999899</v>
      </c>
      <c r="K105">
        <f t="shared" si="2"/>
        <v>0.86000000000000099</v>
      </c>
      <c r="L105" s="49">
        <f>(J105^2)*('Составление портфеля'!$B$114)+(K105^2)*('Составление портфеля'!$C$115)+2*J105*K105*'Составление портфеля'!$B$115</f>
        <v>1.1051506549456473</v>
      </c>
    </row>
    <row r="106" spans="1:12" x14ac:dyDescent="0.35">
      <c r="A106" s="9">
        <v>43763</v>
      </c>
      <c r="B106" s="8">
        <v>6.9575200918484459</v>
      </c>
      <c r="C106" s="8">
        <v>3.0111412225219958E-2</v>
      </c>
      <c r="G106" s="10">
        <v>7.16</v>
      </c>
      <c r="J106">
        <v>0.12999999999999901</v>
      </c>
      <c r="K106">
        <f t="shared" si="2"/>
        <v>0.87000000000000099</v>
      </c>
      <c r="L106" s="49">
        <f>(J106^2)*('Составление портфеля'!$B$114)+(K106^2)*('Составление портфеля'!$C$115)+2*J106*K106*'Составление портфеля'!$B$115</f>
        <v>1.1159806119610831</v>
      </c>
    </row>
    <row r="107" spans="1:12" x14ac:dyDescent="0.35">
      <c r="A107" s="9">
        <v>43766</v>
      </c>
      <c r="B107" s="8">
        <v>-4.250751395448682</v>
      </c>
      <c r="C107" s="8">
        <v>-0.39133052378085287</v>
      </c>
      <c r="G107" s="10">
        <v>7.13</v>
      </c>
      <c r="J107">
        <v>0.119999999999999</v>
      </c>
      <c r="K107">
        <f t="shared" si="2"/>
        <v>0.880000000000001</v>
      </c>
      <c r="L107" s="49">
        <f>(J107^2)*('Составление портфеля'!$B$114)+(K107^2)*('Составление портфеля'!$C$115)+2*J107*K107*'Составление портфеля'!$B$115</f>
        <v>1.1293138751063374</v>
      </c>
    </row>
    <row r="108" spans="1:12" x14ac:dyDescent="0.35">
      <c r="A108" s="9">
        <v>43767</v>
      </c>
      <c r="B108" s="8">
        <v>-0.11210762331839152</v>
      </c>
      <c r="C108" s="8">
        <v>-0.72529465095194645</v>
      </c>
      <c r="G108" s="10">
        <v>7.12</v>
      </c>
      <c r="J108">
        <v>0.109999999999999</v>
      </c>
      <c r="K108">
        <f t="shared" si="2"/>
        <v>0.89000000000000101</v>
      </c>
      <c r="L108" s="49">
        <f>(J108^2)*('Составление портфеля'!$B$114)+(K108^2)*('Составление портфеля'!$C$115)+2*J108*K108*'Составление портфеля'!$B$115</f>
        <v>1.1451504443814109</v>
      </c>
    </row>
    <row r="109" spans="1:12" x14ac:dyDescent="0.35">
      <c r="A109" s="9">
        <v>43768</v>
      </c>
      <c r="B109" s="8">
        <v>-2.5813692480359141</v>
      </c>
      <c r="C109" s="8">
        <v>0.73059360730591827</v>
      </c>
      <c r="G109" s="10">
        <v>7.12</v>
      </c>
      <c r="J109">
        <v>9.9999999999999006E-2</v>
      </c>
      <c r="K109">
        <f t="shared" si="2"/>
        <v>0.90000000000000102</v>
      </c>
      <c r="L109" s="49">
        <f>(J109^2)*('Составление портфеля'!$B$114)+(K109^2)*('Составление портфеля'!$C$115)+2*J109*K109*'Составление портфеля'!$B$115</f>
        <v>1.1634903197863031</v>
      </c>
    </row>
    <row r="110" spans="1:12" x14ac:dyDescent="0.35">
      <c r="A110" s="9">
        <v>43769</v>
      </c>
      <c r="B110" s="8">
        <v>-0.92165898617511122</v>
      </c>
      <c r="C110" s="8">
        <v>0.96705953460261007</v>
      </c>
      <c r="G110" s="10">
        <v>7.13</v>
      </c>
      <c r="J110">
        <v>8.9999999999998997E-2</v>
      </c>
      <c r="K110">
        <f t="shared" si="2"/>
        <v>0.91000000000000103</v>
      </c>
      <c r="L110" s="49">
        <f>(J110^2)*('Составление портфеля'!$B$114)+(K110^2)*('Составление портфеля'!$C$115)+2*J110*K110*'Составление портфеля'!$B$115</f>
        <v>1.1843335013210139</v>
      </c>
    </row>
    <row r="111" spans="1:12" x14ac:dyDescent="0.35">
      <c r="A111" s="9">
        <v>43770</v>
      </c>
      <c r="B111" s="8">
        <v>7.5697674418604644</v>
      </c>
      <c r="C111" s="8">
        <v>-0.80814127506735334</v>
      </c>
      <c r="G111" s="10">
        <v>7.12</v>
      </c>
      <c r="J111">
        <v>7.9999999999999002E-2</v>
      </c>
      <c r="K111">
        <f t="shared" si="2"/>
        <v>0.92000000000000104</v>
      </c>
      <c r="L111" s="49">
        <f>(J111^2)*('Составление портфеля'!$B$114)+(K111^2)*('Составление портфеля'!$C$115)+2*J111*K111*'Составление портфеля'!$B$115</f>
        <v>1.2076799889855436</v>
      </c>
    </row>
    <row r="112" spans="1:12" x14ac:dyDescent="0.35">
      <c r="A112" s="9">
        <v>43774</v>
      </c>
      <c r="B112" s="8">
        <v>-0.30266998162360448</v>
      </c>
      <c r="C112" s="8">
        <v>-1.2975256487628095</v>
      </c>
      <c r="G112" s="10">
        <v>7.1</v>
      </c>
      <c r="J112">
        <v>6.9999999999998994E-2</v>
      </c>
      <c r="K112">
        <f t="shared" si="2"/>
        <v>0.93000000000000105</v>
      </c>
      <c r="L112" s="49">
        <f>(J112^2)*('Составление портфеля'!$B$114)+(K112^2)*('Составление портфеля'!$C$115)+2*J112*K112*'Составление портфеля'!$B$115</f>
        <v>1.2335297827798921</v>
      </c>
    </row>
    <row r="113" spans="1:12" x14ac:dyDescent="0.35">
      <c r="A113" s="9">
        <v>43775</v>
      </c>
      <c r="B113" s="8">
        <v>0.2276916404640561</v>
      </c>
      <c r="C113" s="8">
        <v>0.48914704983185064</v>
      </c>
      <c r="G113" s="10">
        <v>7.1</v>
      </c>
      <c r="J113">
        <v>5.9999999999999103E-2</v>
      </c>
      <c r="K113">
        <f t="shared" si="2"/>
        <v>0.94000000000000095</v>
      </c>
      <c r="L113" s="49">
        <f>(J113^2)*('Составление портфеля'!$B$114)+(K113^2)*('Составление портфеля'!$C$115)+2*J113*K113*'Составление портфеля'!$B$115</f>
        <v>1.2618828827040593</v>
      </c>
    </row>
    <row r="114" spans="1:12" x14ac:dyDescent="0.35">
      <c r="A114" s="9">
        <v>43776</v>
      </c>
      <c r="B114" s="8">
        <v>2.3150151449588874</v>
      </c>
      <c r="C114" s="8">
        <v>-1.0648007301490736</v>
      </c>
      <c r="G114" s="10">
        <v>7.08</v>
      </c>
      <c r="J114">
        <v>4.9999999999998997E-2</v>
      </c>
      <c r="K114">
        <f t="shared" si="2"/>
        <v>0.95000000000000095</v>
      </c>
      <c r="L114" s="49">
        <f>(J114^2)*('Составление портфеля'!$B$114)+(K114^2)*('Составление портфеля'!$C$115)+2*J114*K114*'Составление портфеля'!$B$115</f>
        <v>1.2927392887580456</v>
      </c>
    </row>
    <row r="115" spans="1:12" x14ac:dyDescent="0.35">
      <c r="A115" s="9">
        <v>43777</v>
      </c>
      <c r="B115" s="8">
        <v>-1.3427786001268704</v>
      </c>
      <c r="C115" s="8">
        <v>-0.55350553505535416</v>
      </c>
      <c r="G115" s="10">
        <v>7.01</v>
      </c>
      <c r="J115">
        <v>3.9999999999999002E-2</v>
      </c>
      <c r="K115">
        <f t="shared" si="2"/>
        <v>0.96000000000000096</v>
      </c>
      <c r="L115" s="49">
        <f>(J115^2)*('Составление портфеля'!$B$114)+(K115^2)*('Составление портфеля'!$C$115)+2*J115*K115*'Составление портфеля'!$B$115</f>
        <v>1.3260990009418503</v>
      </c>
    </row>
    <row r="116" spans="1:12" x14ac:dyDescent="0.35">
      <c r="A116" s="9">
        <v>43780</v>
      </c>
      <c r="B116" s="8">
        <v>4.0510127531882878</v>
      </c>
      <c r="C116" s="8">
        <v>-0.74211502782930427</v>
      </c>
      <c r="G116" s="10">
        <v>6.93</v>
      </c>
      <c r="J116">
        <v>2.9999999999999E-2</v>
      </c>
      <c r="K116">
        <f t="shared" ref="K116:K119" si="3">1-J116</f>
        <v>0.97000000000000097</v>
      </c>
      <c r="L116" s="49">
        <f>(J116^2)*('Составление портфеля'!$B$114)+(K116^2)*('Составление портфеля'!$C$115)+2*J116*K116*'Составление портфеля'!$B$115</f>
        <v>1.3619620192554738</v>
      </c>
    </row>
    <row r="117" spans="1:12" x14ac:dyDescent="0.35">
      <c r="A117" s="9">
        <v>43781</v>
      </c>
      <c r="B117" s="8">
        <v>-1.2565660727160366</v>
      </c>
      <c r="C117" s="8">
        <v>-0.12461059190030932</v>
      </c>
      <c r="G117" s="10">
        <v>6.94</v>
      </c>
      <c r="J117">
        <v>1.9999999999999001E-2</v>
      </c>
      <c r="K117">
        <f t="shared" si="3"/>
        <v>0.98000000000000098</v>
      </c>
      <c r="L117" s="49">
        <f>(J117^2)*('Составление портфеля'!$B$114)+(K117^2)*('Составление портфеля'!$C$115)+2*J117*K117*'Составление портфеля'!$B$115</f>
        <v>1.4003283436989165</v>
      </c>
    </row>
    <row r="118" spans="1:12" x14ac:dyDescent="0.35">
      <c r="A118" s="9">
        <v>43782</v>
      </c>
      <c r="B118" s="8">
        <v>-0.30249295921560559</v>
      </c>
      <c r="C118" s="8">
        <v>1.2788521522145935</v>
      </c>
      <c r="G118" s="10">
        <v>7.03</v>
      </c>
      <c r="J118">
        <v>9.9999999999990097E-3</v>
      </c>
      <c r="K118">
        <f t="shared" si="3"/>
        <v>0.99000000000000099</v>
      </c>
      <c r="L118" s="49">
        <f>(J118^2)*('Составление портфеля'!$B$114)+(K118^2)*('Составление портфеля'!$C$115)+2*J118*K118*'Составление портфеля'!$B$115</f>
        <v>1.4411979742721777</v>
      </c>
    </row>
    <row r="119" spans="1:12" x14ac:dyDescent="0.35">
      <c r="A119" s="9">
        <v>43783</v>
      </c>
      <c r="B119" s="8">
        <v>-1.0253191044151566</v>
      </c>
      <c r="C119" s="8">
        <v>-6.1595318755769402E-2</v>
      </c>
      <c r="G119" s="10">
        <v>6.77</v>
      </c>
      <c r="J119">
        <v>0</v>
      </c>
      <c r="K119">
        <f t="shared" si="3"/>
        <v>1</v>
      </c>
      <c r="L119" s="49">
        <f>(J119^2)*('Составление портфеля'!$B$114)+(K119^2)*('Составление портфеля'!$C$115)+2*J119*K119*'Составление портфеля'!$B$115</f>
        <v>1.4845709109752532</v>
      </c>
    </row>
    <row r="120" spans="1:12" x14ac:dyDescent="0.35">
      <c r="A120" s="9">
        <v>43784</v>
      </c>
      <c r="B120" s="8">
        <v>-1.7970401691331794</v>
      </c>
      <c r="C120" s="8">
        <v>-0.33898305084746339</v>
      </c>
      <c r="G120" s="10">
        <v>6.78</v>
      </c>
    </row>
    <row r="121" spans="1:12" x14ac:dyDescent="0.35">
      <c r="A121" s="9">
        <v>43787</v>
      </c>
      <c r="B121" s="8">
        <v>-0.25834230355221699</v>
      </c>
      <c r="C121" s="8">
        <v>0.15460729746443747</v>
      </c>
      <c r="G121" s="10">
        <v>6.78</v>
      </c>
    </row>
    <row r="122" spans="1:12" x14ac:dyDescent="0.35">
      <c r="A122" s="9">
        <v>43788</v>
      </c>
      <c r="B122" s="8">
        <v>1.0144614720483558</v>
      </c>
      <c r="C122" s="8">
        <v>0</v>
      </c>
      <c r="G122" s="10">
        <v>6.74</v>
      </c>
    </row>
    <row r="123" spans="1:12" x14ac:dyDescent="0.35">
      <c r="A123" s="9">
        <v>43789</v>
      </c>
      <c r="B123" s="8">
        <v>-0.70512820512820262</v>
      </c>
      <c r="C123" s="8">
        <v>6.1747452917582102E-2</v>
      </c>
      <c r="G123" s="10">
        <v>6.7</v>
      </c>
    </row>
    <row r="124" spans="1:12" x14ac:dyDescent="0.35">
      <c r="A124" s="9">
        <v>43790</v>
      </c>
      <c r="B124" s="8">
        <v>-1.2803959543791654</v>
      </c>
      <c r="C124" s="8">
        <v>-0.30854674483183908</v>
      </c>
      <c r="G124" s="10">
        <v>6.68</v>
      </c>
    </row>
    <row r="125" spans="1:12" x14ac:dyDescent="0.35">
      <c r="A125" s="9">
        <v>43791</v>
      </c>
      <c r="B125" s="8">
        <v>1.8637602179836454</v>
      </c>
      <c r="C125" s="8">
        <v>-0.27855153203343308</v>
      </c>
      <c r="G125" s="10">
        <v>6.69</v>
      </c>
    </row>
    <row r="126" spans="1:12" x14ac:dyDescent="0.35">
      <c r="A126" s="9">
        <v>43794</v>
      </c>
      <c r="B126" s="8">
        <v>-1.1662743419644683</v>
      </c>
      <c r="C126" s="8">
        <v>0</v>
      </c>
      <c r="G126" s="10">
        <v>6.68</v>
      </c>
    </row>
    <row r="127" spans="1:12" x14ac:dyDescent="0.35">
      <c r="A127" s="9">
        <v>43795</v>
      </c>
      <c r="B127" s="8">
        <v>-2.5657681065280991</v>
      </c>
      <c r="C127" s="8">
        <v>9.3109869646190724E-2</v>
      </c>
      <c r="G127" s="10">
        <v>6.68</v>
      </c>
    </row>
    <row r="128" spans="1:12" x14ac:dyDescent="0.35">
      <c r="A128" s="9">
        <v>43796</v>
      </c>
      <c r="B128" s="8">
        <v>-1.0888888888888948</v>
      </c>
      <c r="C128" s="8">
        <v>-0.15503875968991832</v>
      </c>
      <c r="G128" s="10">
        <v>6.68</v>
      </c>
    </row>
    <row r="129" spans="1:7" x14ac:dyDescent="0.35">
      <c r="A129" s="9">
        <v>43797</v>
      </c>
      <c r="B129" s="8">
        <v>-1.9433835093237373</v>
      </c>
      <c r="C129" s="8">
        <v>0</v>
      </c>
      <c r="G129" s="10">
        <v>6.67</v>
      </c>
    </row>
    <row r="130" spans="1:7" x14ac:dyDescent="0.35">
      <c r="A130" s="9">
        <v>43798</v>
      </c>
      <c r="B130" s="8">
        <v>1.0425020048115519</v>
      </c>
      <c r="C130" s="8">
        <v>0.7763975155279601</v>
      </c>
      <c r="G130" s="10">
        <v>6.63</v>
      </c>
    </row>
    <row r="131" spans="1:7" x14ac:dyDescent="0.35">
      <c r="A131" s="9">
        <v>43801</v>
      </c>
      <c r="B131" s="8">
        <v>-1.8820861678004452</v>
      </c>
      <c r="C131" s="8">
        <v>-0.15408320493066618</v>
      </c>
      <c r="G131" s="10">
        <v>6.63</v>
      </c>
    </row>
    <row r="132" spans="1:7" x14ac:dyDescent="0.35">
      <c r="A132" s="9">
        <v>43802</v>
      </c>
      <c r="B132" s="8">
        <v>-1.6870811185578982</v>
      </c>
      <c r="C132" s="8">
        <v>1.1111111111111072</v>
      </c>
      <c r="G132" s="10">
        <v>6.63</v>
      </c>
    </row>
    <row r="133" spans="1:7" x14ac:dyDescent="0.35">
      <c r="A133" s="9">
        <v>43803</v>
      </c>
      <c r="B133" s="8">
        <v>2.7268453220498534</v>
      </c>
      <c r="C133" s="8">
        <v>-0.85470085470086277</v>
      </c>
      <c r="G133" s="10">
        <v>6.63</v>
      </c>
    </row>
    <row r="134" spans="1:7" x14ac:dyDescent="0.35">
      <c r="A134" s="9">
        <v>43804</v>
      </c>
      <c r="B134" s="8">
        <v>-1.1441647597253968</v>
      </c>
      <c r="C134" s="8">
        <v>0.30788177339902134</v>
      </c>
      <c r="G134" s="10">
        <v>6.65</v>
      </c>
    </row>
    <row r="135" spans="1:7" x14ac:dyDescent="0.35">
      <c r="A135" s="9">
        <v>43805</v>
      </c>
      <c r="B135" s="8">
        <v>0.33564814814814881</v>
      </c>
      <c r="C135" s="8">
        <v>-0.92081031307550409</v>
      </c>
      <c r="G135" s="10">
        <v>6.65</v>
      </c>
    </row>
    <row r="136" spans="1:7" x14ac:dyDescent="0.35">
      <c r="A136" s="9">
        <v>43808</v>
      </c>
      <c r="B136" s="8">
        <v>1.3496366362902412</v>
      </c>
      <c r="C136" s="8">
        <v>-0.495662949194553</v>
      </c>
      <c r="G136" s="10">
        <v>6.64</v>
      </c>
    </row>
    <row r="137" spans="1:7" x14ac:dyDescent="0.35">
      <c r="A137" s="9">
        <v>43809</v>
      </c>
      <c r="B137" s="8">
        <v>-1.2292283177782859</v>
      </c>
      <c r="C137" s="8">
        <v>-3.1133250311321525E-2</v>
      </c>
      <c r="G137" s="10">
        <v>6.62</v>
      </c>
    </row>
    <row r="138" spans="1:7" x14ac:dyDescent="0.35">
      <c r="A138" s="9">
        <v>43810</v>
      </c>
      <c r="B138" s="8">
        <v>3.7911961281401174</v>
      </c>
      <c r="C138" s="8">
        <v>0.52943008408594672</v>
      </c>
      <c r="G138" s="10">
        <v>6.62</v>
      </c>
    </row>
    <row r="139" spans="1:7" x14ac:dyDescent="0.35">
      <c r="A139" s="9">
        <v>43811</v>
      </c>
      <c r="B139" s="8">
        <v>7.0278672143888166</v>
      </c>
      <c r="C139" s="8">
        <v>-1.4869888475836479</v>
      </c>
      <c r="G139" s="10">
        <v>6.63</v>
      </c>
    </row>
    <row r="140" spans="1:7" x14ac:dyDescent="0.35">
      <c r="A140" s="9">
        <v>43812</v>
      </c>
      <c r="B140" s="8">
        <v>-1.441908713692952</v>
      </c>
      <c r="C140" s="8">
        <v>0.34591194968554007</v>
      </c>
      <c r="G140" s="10">
        <v>6.63</v>
      </c>
    </row>
    <row r="141" spans="1:7" x14ac:dyDescent="0.35">
      <c r="A141" s="9">
        <v>43815</v>
      </c>
      <c r="B141" s="8">
        <v>1.0946216187769586</v>
      </c>
      <c r="C141" s="8">
        <v>-0.31338138514571678</v>
      </c>
      <c r="G141" s="10">
        <v>6.63</v>
      </c>
    </row>
    <row r="142" spans="1:7" x14ac:dyDescent="0.35">
      <c r="A142" s="9">
        <v>43816</v>
      </c>
      <c r="B142" s="8">
        <v>0.58302967204582057</v>
      </c>
      <c r="C142" s="8">
        <v>0</v>
      </c>
      <c r="G142" s="10">
        <v>6.64</v>
      </c>
    </row>
    <row r="143" spans="1:7" x14ac:dyDescent="0.35">
      <c r="A143" s="9">
        <v>43817</v>
      </c>
      <c r="B143" s="8">
        <v>0.23807059310629874</v>
      </c>
      <c r="C143" s="8">
        <v>0.18861993083933992</v>
      </c>
      <c r="G143" s="10">
        <v>6.64</v>
      </c>
    </row>
    <row r="144" spans="1:7" x14ac:dyDescent="0.35">
      <c r="A144" s="9">
        <v>43818</v>
      </c>
      <c r="B144" s="8">
        <v>-0.55762081784387352</v>
      </c>
      <c r="C144" s="8">
        <v>-0.3451521807342206</v>
      </c>
      <c r="G144" s="10">
        <v>6.66</v>
      </c>
    </row>
    <row r="145" spans="1:7" x14ac:dyDescent="0.35">
      <c r="A145" s="9">
        <v>43819</v>
      </c>
      <c r="B145" s="8">
        <v>-7.2689511941836926E-2</v>
      </c>
      <c r="C145" s="8">
        <v>0</v>
      </c>
      <c r="G145" s="10">
        <v>6.63</v>
      </c>
    </row>
    <row r="146" spans="1:7" x14ac:dyDescent="0.35">
      <c r="A146" s="9">
        <v>43822</v>
      </c>
      <c r="B146" s="8">
        <v>7.3573729606151828</v>
      </c>
      <c r="C146" s="8">
        <v>0.31486146095718315</v>
      </c>
      <c r="G146" s="10">
        <v>6.63</v>
      </c>
    </row>
    <row r="147" spans="1:7" x14ac:dyDescent="0.35">
      <c r="A147" s="9">
        <v>43823</v>
      </c>
      <c r="B147" s="8">
        <v>1.0550769528603343</v>
      </c>
      <c r="C147" s="8">
        <v>0.40803515379785882</v>
      </c>
      <c r="G147" s="10">
        <v>6.58</v>
      </c>
    </row>
    <row r="148" spans="1:7" x14ac:dyDescent="0.35">
      <c r="A148" s="9">
        <v>43824</v>
      </c>
      <c r="B148" s="8">
        <v>-1.9061302681992465</v>
      </c>
      <c r="C148" s="8">
        <v>0</v>
      </c>
      <c r="G148" s="10">
        <v>6.56</v>
      </c>
    </row>
    <row r="149" spans="1:7" x14ac:dyDescent="0.35">
      <c r="A149" s="9">
        <v>43825</v>
      </c>
      <c r="B149" s="8">
        <v>-0.10741138560687036</v>
      </c>
      <c r="C149" s="8">
        <v>1.3441700531416023</v>
      </c>
      <c r="G149" s="10">
        <v>6.56</v>
      </c>
    </row>
    <row r="150" spans="1:7" x14ac:dyDescent="0.35">
      <c r="A150" s="9">
        <v>43826</v>
      </c>
      <c r="B150" s="8">
        <v>-0.57673509286413349</v>
      </c>
      <c r="C150" s="8">
        <v>-9.2535471930910163E-2</v>
      </c>
      <c r="G150" s="10">
        <v>6.52</v>
      </c>
    </row>
    <row r="151" spans="1:7" x14ac:dyDescent="0.35">
      <c r="A151" s="9">
        <v>43829</v>
      </c>
      <c r="B151" s="8">
        <v>-0.75705437026840627</v>
      </c>
      <c r="C151" s="8">
        <v>-9.2621179376339846E-2</v>
      </c>
      <c r="G151" s="10">
        <v>6.45</v>
      </c>
    </row>
    <row r="152" spans="1:7" x14ac:dyDescent="0.35">
      <c r="A152" s="9">
        <v>43833</v>
      </c>
      <c r="B152" s="8">
        <v>1.7931444422429221</v>
      </c>
      <c r="C152" s="8">
        <v>2.1940667490729204</v>
      </c>
      <c r="G152" s="10">
        <v>6.34</v>
      </c>
    </row>
    <row r="153" spans="1:7" x14ac:dyDescent="0.35">
      <c r="A153" s="9">
        <v>43836</v>
      </c>
      <c r="B153" s="8">
        <v>1.6058394160584077</v>
      </c>
      <c r="C153" s="8">
        <v>0.72573329301481859</v>
      </c>
      <c r="G153" s="10">
        <v>6.21</v>
      </c>
    </row>
    <row r="154" spans="1:7" x14ac:dyDescent="0.35">
      <c r="A154" s="9">
        <v>43838</v>
      </c>
      <c r="B154" s="8">
        <v>-0.38314176245211051</v>
      </c>
      <c r="C154" s="8">
        <v>0.300210147102975</v>
      </c>
      <c r="G154" s="10">
        <v>6.2</v>
      </c>
    </row>
    <row r="155" spans="1:7" x14ac:dyDescent="0.35">
      <c r="A155" s="9">
        <v>43839</v>
      </c>
      <c r="B155" s="8">
        <v>3.1634615384615428</v>
      </c>
      <c r="C155" s="8">
        <v>-2.005387608500464</v>
      </c>
      <c r="G155" s="10">
        <v>6.21</v>
      </c>
    </row>
    <row r="156" spans="1:7" x14ac:dyDescent="0.35">
      <c r="A156" s="9">
        <v>43840</v>
      </c>
      <c r="B156" s="8">
        <v>0.66175785254916075</v>
      </c>
      <c r="C156" s="8">
        <v>-0.24434941967010904</v>
      </c>
      <c r="G156" s="10">
        <v>6.23</v>
      </c>
    </row>
    <row r="157" spans="1:7" x14ac:dyDescent="0.35">
      <c r="A157" s="9">
        <v>43843</v>
      </c>
      <c r="B157" s="8">
        <v>-0.36111111111111205</v>
      </c>
      <c r="C157" s="8">
        <v>0.3674219228413822</v>
      </c>
      <c r="G157" s="10">
        <v>6.33</v>
      </c>
    </row>
    <row r="158" spans="1:7" x14ac:dyDescent="0.35">
      <c r="A158" s="9">
        <v>43844</v>
      </c>
      <c r="B158" s="8">
        <v>0.17656351640182866</v>
      </c>
      <c r="C158" s="8">
        <v>-0.39658328248932673</v>
      </c>
      <c r="G158" s="10">
        <v>6.28</v>
      </c>
    </row>
    <row r="159" spans="1:7" x14ac:dyDescent="0.35">
      <c r="A159" s="9">
        <v>43845</v>
      </c>
      <c r="B159" s="8">
        <v>-1.5027829313543517</v>
      </c>
      <c r="C159" s="8">
        <v>0.49004594180706018</v>
      </c>
      <c r="G159" s="10">
        <v>6.39</v>
      </c>
    </row>
    <row r="160" spans="1:7" x14ac:dyDescent="0.35">
      <c r="A160" s="9">
        <v>43846</v>
      </c>
      <c r="B160" s="8">
        <v>-3.7671877943123988E-2</v>
      </c>
      <c r="C160" s="8">
        <v>0.36574215178299951</v>
      </c>
      <c r="G160" s="10">
        <v>6.41</v>
      </c>
    </row>
    <row r="161" spans="1:7" x14ac:dyDescent="0.35">
      <c r="A161" s="9">
        <v>43847</v>
      </c>
      <c r="B161" s="8">
        <v>1.3284341435839453</v>
      </c>
      <c r="C161" s="8">
        <v>6.0734892195557499E-2</v>
      </c>
      <c r="G161" s="10">
        <v>6.4</v>
      </c>
    </row>
    <row r="162" spans="1:7" x14ac:dyDescent="0.35">
      <c r="A162" s="9">
        <v>43850</v>
      </c>
      <c r="B162" s="8">
        <v>0.73454207345420297</v>
      </c>
      <c r="C162" s="8">
        <v>0.54628224582702334</v>
      </c>
      <c r="G162" s="10">
        <v>6.43</v>
      </c>
    </row>
    <row r="163" spans="1:7" x14ac:dyDescent="0.35">
      <c r="A163" s="9">
        <v>43851</v>
      </c>
      <c r="B163" s="8">
        <v>-3.9320657190326846</v>
      </c>
      <c r="C163" s="8">
        <v>6.0368246302444639E-2</v>
      </c>
      <c r="G163" s="10">
        <v>6.37</v>
      </c>
    </row>
    <row r="164" spans="1:7" x14ac:dyDescent="0.35">
      <c r="A164" s="9">
        <v>43852</v>
      </c>
      <c r="B164" s="8">
        <v>-4.880860876249038</v>
      </c>
      <c r="C164" s="8">
        <v>0</v>
      </c>
      <c r="G164" s="10">
        <v>6.38</v>
      </c>
    </row>
    <row r="165" spans="1:7" x14ac:dyDescent="0.35">
      <c r="A165" s="9">
        <v>43853</v>
      </c>
      <c r="B165" s="8">
        <v>-3.4343434343434454</v>
      </c>
      <c r="C165" s="8">
        <v>0.72398190045248612</v>
      </c>
      <c r="G165" s="10">
        <v>6.38</v>
      </c>
    </row>
    <row r="166" spans="1:7" x14ac:dyDescent="0.35">
      <c r="A166" s="9">
        <v>43854</v>
      </c>
      <c r="B166" s="8">
        <v>0.58577405857740406</v>
      </c>
      <c r="C166" s="8">
        <v>0.2994908655286066</v>
      </c>
      <c r="G166" s="10">
        <v>6.38</v>
      </c>
    </row>
    <row r="167" spans="1:7" x14ac:dyDescent="0.35">
      <c r="A167" s="9">
        <v>43857</v>
      </c>
      <c r="B167" s="8">
        <v>-3.28618968386023</v>
      </c>
      <c r="C167" s="8">
        <v>2.7769483427888986</v>
      </c>
      <c r="G167" s="10">
        <v>6.39</v>
      </c>
    </row>
    <row r="168" spans="1:7" x14ac:dyDescent="0.35">
      <c r="A168" s="9">
        <v>43858</v>
      </c>
      <c r="B168" s="8">
        <v>1.9247311827957025</v>
      </c>
      <c r="C168" s="8">
        <v>-1.2492736780941316</v>
      </c>
      <c r="G168" s="10">
        <v>6.36</v>
      </c>
    </row>
    <row r="169" spans="1:7" x14ac:dyDescent="0.35">
      <c r="A169" s="9">
        <v>43859</v>
      </c>
      <c r="B169" s="8">
        <v>1.1393606920561128</v>
      </c>
      <c r="C169" s="8">
        <v>-0.26478375992938785</v>
      </c>
      <c r="G169" s="10">
        <v>6.37</v>
      </c>
    </row>
    <row r="170" spans="1:7" x14ac:dyDescent="0.35">
      <c r="A170" s="9">
        <v>43860</v>
      </c>
      <c r="B170" s="8">
        <v>-7.3015541879639656E-2</v>
      </c>
      <c r="C170" s="8">
        <v>1.5044247787610709</v>
      </c>
      <c r="G170" s="10">
        <v>6.33</v>
      </c>
    </row>
    <row r="171" spans="1:7" x14ac:dyDescent="0.35">
      <c r="A171" s="9">
        <v>43861</v>
      </c>
      <c r="B171" s="8">
        <v>-3.8726513569937282</v>
      </c>
      <c r="C171" s="8">
        <v>1.2496367335076863</v>
      </c>
      <c r="G171" s="10">
        <v>6.33</v>
      </c>
    </row>
    <row r="172" spans="1:7" x14ac:dyDescent="0.35">
      <c r="A172" s="9">
        <v>43864</v>
      </c>
      <c r="B172" s="8">
        <v>-3.4531436638071566</v>
      </c>
      <c r="C172" s="8">
        <v>-1.0907003444316721</v>
      </c>
      <c r="G172" s="10">
        <v>6.33</v>
      </c>
    </row>
    <row r="173" spans="1:7" x14ac:dyDescent="0.35">
      <c r="A173" s="9">
        <v>43865</v>
      </c>
      <c r="B173" s="8">
        <v>5.0612979417388404</v>
      </c>
      <c r="C173" s="8">
        <v>-0.95763203714451794</v>
      </c>
      <c r="G173" s="10">
        <v>6.3</v>
      </c>
    </row>
    <row r="174" spans="1:7" x14ac:dyDescent="0.35">
      <c r="A174" s="9">
        <v>43866</v>
      </c>
      <c r="B174" s="8">
        <v>0.36398672519002417</v>
      </c>
      <c r="C174" s="8">
        <v>-1.4063873425139262</v>
      </c>
      <c r="G174" s="10">
        <v>6.31</v>
      </c>
    </row>
    <row r="175" spans="1:7" x14ac:dyDescent="0.35">
      <c r="A175" s="9">
        <v>43867</v>
      </c>
      <c r="B175" s="8">
        <v>0.19200000000001438</v>
      </c>
      <c r="C175" s="8">
        <v>0.7429420505200568</v>
      </c>
      <c r="G175" s="10">
        <v>6.3</v>
      </c>
    </row>
    <row r="176" spans="1:7" x14ac:dyDescent="0.35">
      <c r="A176" s="9">
        <v>43868</v>
      </c>
      <c r="B176" s="8">
        <v>-1.7885659533695364</v>
      </c>
      <c r="C176" s="8">
        <v>1.7994100294985271</v>
      </c>
      <c r="G176" s="10">
        <v>6.3</v>
      </c>
    </row>
    <row r="177" spans="1:7" x14ac:dyDescent="0.35">
      <c r="A177" s="9">
        <v>43871</v>
      </c>
      <c r="B177" s="8">
        <v>0.20596205962060132</v>
      </c>
      <c r="C177" s="8">
        <v>0.55056505360764341</v>
      </c>
      <c r="G177" s="10">
        <v>6.33</v>
      </c>
    </row>
    <row r="178" spans="1:7" x14ac:dyDescent="0.35">
      <c r="A178" s="9">
        <v>43872</v>
      </c>
      <c r="B178" s="8">
        <v>3.256166161834706</v>
      </c>
      <c r="C178" s="8">
        <v>-1.6714697406340129</v>
      </c>
      <c r="G178" s="10">
        <v>6.33</v>
      </c>
    </row>
    <row r="179" spans="1:7" x14ac:dyDescent="0.35">
      <c r="A179" s="9">
        <v>43873</v>
      </c>
      <c r="B179" s="8">
        <v>2.6715557883708607</v>
      </c>
      <c r="C179" s="8">
        <v>-0.26377491207502102</v>
      </c>
      <c r="G179" s="10">
        <v>6.34</v>
      </c>
    </row>
    <row r="180" spans="1:7" x14ac:dyDescent="0.35">
      <c r="A180" s="9">
        <v>43874</v>
      </c>
      <c r="B180" s="8">
        <v>-1.4081632653061171</v>
      </c>
      <c r="C180" s="8">
        <v>1.1460476050543678</v>
      </c>
      <c r="G180" s="10">
        <v>6.37</v>
      </c>
    </row>
    <row r="181" spans="1:7" x14ac:dyDescent="0.35">
      <c r="A181" s="9">
        <v>43875</v>
      </c>
      <c r="B181" s="8">
        <v>2.0699648105981794E-2</v>
      </c>
      <c r="C181" s="8">
        <v>0.29052876234747504</v>
      </c>
      <c r="G181" s="10">
        <v>6.37</v>
      </c>
    </row>
    <row r="182" spans="1:7" x14ac:dyDescent="0.35">
      <c r="A182" s="9">
        <v>43878</v>
      </c>
      <c r="B182" s="8">
        <v>0.63120860927152744</v>
      </c>
      <c r="C182" s="8">
        <v>-0.11587485515642815</v>
      </c>
      <c r="G182" s="10">
        <v>6.38</v>
      </c>
    </row>
    <row r="183" spans="1:7" x14ac:dyDescent="0.35">
      <c r="A183" s="9">
        <v>43879</v>
      </c>
      <c r="B183" s="8">
        <v>-3.9691516709511543</v>
      </c>
      <c r="C183" s="8">
        <v>1.740139211136893</v>
      </c>
      <c r="G183" s="10">
        <v>6.36</v>
      </c>
    </row>
    <row r="184" spans="1:7" x14ac:dyDescent="0.35">
      <c r="A184" s="9">
        <v>43880</v>
      </c>
      <c r="B184" s="8">
        <v>1.6382910375843274</v>
      </c>
      <c r="C184" s="8">
        <v>0.17103762827821445</v>
      </c>
      <c r="G184" s="10">
        <v>6.34</v>
      </c>
    </row>
    <row r="185" spans="1:7" x14ac:dyDescent="0.35">
      <c r="A185" s="9">
        <v>43881</v>
      </c>
      <c r="B185" s="8">
        <v>-0.14749262536872809</v>
      </c>
      <c r="C185" s="8">
        <v>1.5367103016505457</v>
      </c>
      <c r="G185" s="10">
        <v>6.3</v>
      </c>
    </row>
    <row r="186" spans="1:7" x14ac:dyDescent="0.35">
      <c r="A186" s="9">
        <v>43882</v>
      </c>
      <c r="B186" s="8">
        <v>-1.3399451361046588</v>
      </c>
      <c r="C186" s="8">
        <v>1.7937219730941534</v>
      </c>
      <c r="G186" s="10">
        <v>6.3</v>
      </c>
    </row>
    <row r="187" spans="1:7" x14ac:dyDescent="0.35">
      <c r="A187" s="9">
        <v>43886</v>
      </c>
      <c r="B187" s="8">
        <v>-4.1706769329483588</v>
      </c>
      <c r="C187" s="8">
        <v>2.4779735682819437</v>
      </c>
      <c r="G187" s="10">
        <v>6.3</v>
      </c>
    </row>
    <row r="188" spans="1:7" x14ac:dyDescent="0.35">
      <c r="A188" s="9">
        <v>43887</v>
      </c>
      <c r="B188" s="8">
        <v>-1.7966744782948352</v>
      </c>
      <c r="C188" s="8">
        <v>-1.8538420204191275</v>
      </c>
      <c r="G188" s="10">
        <v>6.32</v>
      </c>
    </row>
    <row r="189" spans="1:7" x14ac:dyDescent="0.35">
      <c r="A189" s="9">
        <v>43888</v>
      </c>
      <c r="B189" s="8">
        <v>-9.9999999999999982</v>
      </c>
      <c r="C189" s="8">
        <v>3.3670955379140555</v>
      </c>
      <c r="G189" s="10">
        <v>6.2</v>
      </c>
    </row>
    <row r="190" spans="1:7" x14ac:dyDescent="0.35">
      <c r="A190" s="9">
        <v>43889</v>
      </c>
      <c r="B190" s="8">
        <v>-2.9419191919191845</v>
      </c>
      <c r="C190" s="8">
        <v>-2.8072033898305149</v>
      </c>
      <c r="G190" s="10">
        <v>6.13</v>
      </c>
    </row>
    <row r="191" spans="1:7" x14ac:dyDescent="0.35">
      <c r="A191" s="9">
        <v>43892</v>
      </c>
      <c r="B191" s="8">
        <v>0.98868219071157615</v>
      </c>
      <c r="C191" s="8">
        <v>-0.10899182561306953</v>
      </c>
      <c r="G191" s="10">
        <v>6.1</v>
      </c>
    </row>
    <row r="192" spans="1:7" x14ac:dyDescent="0.35">
      <c r="A192" s="9">
        <v>43893</v>
      </c>
      <c r="B192" s="8">
        <v>0.60543604276697138</v>
      </c>
      <c r="C192" s="8">
        <v>0.95471903982542461</v>
      </c>
      <c r="G192" s="10">
        <v>6.09</v>
      </c>
    </row>
    <row r="193" spans="1:7" x14ac:dyDescent="0.35">
      <c r="A193" s="9">
        <v>43894</v>
      </c>
      <c r="B193" s="8">
        <v>-1.5236875800256011</v>
      </c>
      <c r="C193" s="8">
        <v>0.64847338557145751</v>
      </c>
      <c r="G193" s="10">
        <v>6.09</v>
      </c>
    </row>
    <row r="194" spans="1:7" x14ac:dyDescent="0.35">
      <c r="A194" s="9">
        <v>43895</v>
      </c>
      <c r="B194" s="8">
        <v>-1.807307242231182</v>
      </c>
      <c r="C194" s="8">
        <v>2.5503355704697972</v>
      </c>
      <c r="G194" s="10">
        <v>6.09</v>
      </c>
    </row>
    <row r="195" spans="1:7" x14ac:dyDescent="0.35">
      <c r="A195" s="9">
        <v>43896</v>
      </c>
      <c r="B195" s="8">
        <v>-5.5084745762711833</v>
      </c>
      <c r="C195" s="8">
        <v>1.4397905759162333</v>
      </c>
      <c r="G195" s="10">
        <v>6.09</v>
      </c>
    </row>
    <row r="196" spans="1:7" x14ac:dyDescent="0.35">
      <c r="A196" s="9">
        <v>43900</v>
      </c>
      <c r="B196" s="8">
        <v>-13.579035874439461</v>
      </c>
      <c r="C196" s="8">
        <v>5.4451612903225755</v>
      </c>
      <c r="G196" s="10">
        <v>6.08</v>
      </c>
    </row>
    <row r="197" spans="1:7" x14ac:dyDescent="0.35">
      <c r="A197" s="9">
        <v>43901</v>
      </c>
      <c r="B197" s="8">
        <v>1.3296578563321004</v>
      </c>
      <c r="C197" s="8">
        <v>0.39158100832108467</v>
      </c>
      <c r="G197" s="10">
        <v>6.06</v>
      </c>
    </row>
    <row r="198" spans="1:7" x14ac:dyDescent="0.35">
      <c r="A198" s="9">
        <v>43902</v>
      </c>
      <c r="B198" s="8">
        <v>-5.9049447911665887</v>
      </c>
      <c r="C198" s="8">
        <v>-3.3398342272062398</v>
      </c>
      <c r="G198" s="10">
        <v>6.06</v>
      </c>
    </row>
    <row r="199" spans="1:7" x14ac:dyDescent="0.35">
      <c r="A199" s="9">
        <v>43903</v>
      </c>
      <c r="B199" s="8">
        <v>-6.4625850340136015</v>
      </c>
      <c r="C199" s="8">
        <v>-1.1349306431273631</v>
      </c>
      <c r="G199" s="10">
        <v>6.08</v>
      </c>
    </row>
    <row r="200" spans="1:7" x14ac:dyDescent="0.35">
      <c r="A200" s="9">
        <v>43906</v>
      </c>
      <c r="B200" s="8">
        <v>-5.2909090909090795</v>
      </c>
      <c r="C200" s="8">
        <v>-2.4744897959183665</v>
      </c>
      <c r="G200" s="10">
        <v>6.1</v>
      </c>
    </row>
    <row r="201" spans="1:7" x14ac:dyDescent="0.35">
      <c r="A201" s="9">
        <v>43907</v>
      </c>
      <c r="B201" s="8">
        <v>1.0942599347283366</v>
      </c>
      <c r="C201" s="8">
        <v>2.1187549045252441</v>
      </c>
      <c r="G201" s="10">
        <v>6.13</v>
      </c>
    </row>
    <row r="202" spans="1:7" x14ac:dyDescent="0.35">
      <c r="A202" s="9">
        <v>43908</v>
      </c>
      <c r="B202" s="8">
        <v>-5.677933915685518</v>
      </c>
      <c r="C202" s="8">
        <v>3.8678278688524692</v>
      </c>
      <c r="G202" s="10">
        <v>6.19</v>
      </c>
    </row>
    <row r="203" spans="1:7" x14ac:dyDescent="0.35">
      <c r="A203" s="9">
        <v>43909</v>
      </c>
      <c r="B203" s="8">
        <v>8.7175357358566519</v>
      </c>
      <c r="C203" s="8">
        <v>-0.86313193588162251</v>
      </c>
      <c r="G203" s="10">
        <v>6.18</v>
      </c>
    </row>
    <row r="204" spans="1:7" x14ac:dyDescent="0.35">
      <c r="A204" s="9">
        <v>43910</v>
      </c>
      <c r="B204" s="8">
        <v>-0.51851851851851816</v>
      </c>
      <c r="C204" s="8">
        <v>1.5174129353233923</v>
      </c>
      <c r="G204" s="10">
        <v>6.19</v>
      </c>
    </row>
    <row r="205" spans="1:7" x14ac:dyDescent="0.35">
      <c r="A205" s="9">
        <v>43913</v>
      </c>
      <c r="B205" s="8">
        <v>-2.8481012658227889</v>
      </c>
      <c r="C205" s="8">
        <v>3.9696152903700099</v>
      </c>
      <c r="G205" s="10">
        <v>6.22</v>
      </c>
    </row>
    <row r="206" spans="1:7" x14ac:dyDescent="0.35">
      <c r="A206" s="9">
        <v>43914</v>
      </c>
      <c r="B206" s="8">
        <v>8.2582870281663112</v>
      </c>
      <c r="C206" s="8">
        <v>2.2861183125147289</v>
      </c>
      <c r="G206" s="10">
        <v>6.22</v>
      </c>
    </row>
    <row r="207" spans="1:7" x14ac:dyDescent="0.35">
      <c r="A207" s="9">
        <v>43915</v>
      </c>
      <c r="B207" s="8">
        <v>5.0088495575221215</v>
      </c>
      <c r="C207" s="8">
        <v>-0.27649769585252892</v>
      </c>
      <c r="G207" s="10">
        <v>6.24</v>
      </c>
    </row>
    <row r="208" spans="1:7" x14ac:dyDescent="0.35">
      <c r="A208" s="9">
        <v>43916</v>
      </c>
      <c r="B208" s="8">
        <v>8.7139726950952401</v>
      </c>
      <c r="C208" s="8">
        <v>0.27726432532346745</v>
      </c>
      <c r="G208" s="10">
        <v>6.33</v>
      </c>
    </row>
    <row r="209" spans="1:7" x14ac:dyDescent="0.35">
      <c r="A209" s="9">
        <v>43917</v>
      </c>
      <c r="B209" s="8">
        <v>-4.1085271317829459</v>
      </c>
      <c r="C209" s="8">
        <v>2.188940092165903</v>
      </c>
      <c r="G209" s="10">
        <v>6.06</v>
      </c>
    </row>
    <row r="210" spans="1:7" x14ac:dyDescent="0.35">
      <c r="A210" s="9">
        <v>43920</v>
      </c>
      <c r="B210" s="8">
        <v>2.5060630557801167</v>
      </c>
      <c r="C210" s="8">
        <v>1.059751972942502</v>
      </c>
      <c r="G210" s="10">
        <v>6</v>
      </c>
    </row>
    <row r="211" spans="1:7" x14ac:dyDescent="0.35">
      <c r="A211" s="9">
        <v>43921</v>
      </c>
      <c r="B211" s="8">
        <v>6.9400630914826511</v>
      </c>
      <c r="C211" s="8">
        <v>-3.5252119589469055</v>
      </c>
      <c r="G211" s="10">
        <v>5.78</v>
      </c>
    </row>
    <row r="212" spans="1:7" x14ac:dyDescent="0.35">
      <c r="A212" s="9">
        <v>43922</v>
      </c>
      <c r="B212" s="8">
        <v>3.2448377581121068</v>
      </c>
      <c r="C212" s="8">
        <v>-0.55504162812209934</v>
      </c>
      <c r="G212" s="10">
        <v>5.79</v>
      </c>
    </row>
    <row r="213" spans="1:7" x14ac:dyDescent="0.35">
      <c r="A213" s="9">
        <v>43923</v>
      </c>
      <c r="B213" s="8">
        <v>1.9142857142857128</v>
      </c>
      <c r="C213" s="8">
        <v>0.18604651162790198</v>
      </c>
      <c r="G213" s="10">
        <v>5.75</v>
      </c>
    </row>
    <row r="214" spans="1:7" x14ac:dyDescent="0.35">
      <c r="A214" s="9">
        <v>43924</v>
      </c>
      <c r="B214" s="8">
        <v>2.0044855620969804</v>
      </c>
      <c r="C214" s="8">
        <v>-0.25533890436397755</v>
      </c>
      <c r="G214" s="10">
        <v>5.8</v>
      </c>
    </row>
    <row r="215" spans="1:7" x14ac:dyDescent="0.35">
      <c r="A215" s="9">
        <v>43927</v>
      </c>
      <c r="B215" s="8">
        <v>2.3773533049333606</v>
      </c>
      <c r="C215" s="8">
        <v>0.30253665347916847</v>
      </c>
      <c r="G215" s="10">
        <v>5.96</v>
      </c>
    </row>
    <row r="216" spans="1:7" x14ac:dyDescent="0.35">
      <c r="A216" s="9">
        <v>43928</v>
      </c>
      <c r="B216" s="8">
        <v>-0.13422818791946067</v>
      </c>
      <c r="C216" s="8">
        <v>-0.27842227378189754</v>
      </c>
      <c r="G216" s="10">
        <v>6</v>
      </c>
    </row>
    <row r="217" spans="1:7" x14ac:dyDescent="0.35">
      <c r="A217" s="9">
        <v>43929</v>
      </c>
      <c r="B217" s="8">
        <v>-0.8736559139784994</v>
      </c>
      <c r="C217" s="8">
        <v>-0.46533271288972111</v>
      </c>
      <c r="G217" s="10">
        <v>5.99</v>
      </c>
    </row>
    <row r="218" spans="1:7" x14ac:dyDescent="0.35">
      <c r="A218" s="9">
        <v>43930</v>
      </c>
      <c r="B218" s="8">
        <v>1.7491525423728893</v>
      </c>
      <c r="C218" s="8">
        <v>-0.70126227208976433</v>
      </c>
      <c r="G218" s="10">
        <v>5.98</v>
      </c>
    </row>
    <row r="219" spans="1:7" x14ac:dyDescent="0.35">
      <c r="A219" s="9">
        <v>43931</v>
      </c>
      <c r="B219" s="8">
        <v>-1.1727078891258125</v>
      </c>
      <c r="C219" s="8">
        <v>1.3418079096045199</v>
      </c>
      <c r="G219" s="10">
        <v>6.03</v>
      </c>
    </row>
    <row r="220" spans="1:7" x14ac:dyDescent="0.35">
      <c r="A220" s="9">
        <v>43934</v>
      </c>
      <c r="B220" s="8">
        <v>-2.8856526429342</v>
      </c>
      <c r="C220" s="8">
        <v>0.99883855981417469</v>
      </c>
      <c r="G220" s="10">
        <v>6.14</v>
      </c>
    </row>
    <row r="221" spans="1:7" x14ac:dyDescent="0.35">
      <c r="A221" s="9">
        <v>43935</v>
      </c>
      <c r="B221" s="8">
        <v>-0.9997222993612831</v>
      </c>
      <c r="C221" s="8">
        <v>4.5998160073601468E-2</v>
      </c>
      <c r="G221" s="10">
        <v>6.25</v>
      </c>
    </row>
    <row r="222" spans="1:7" x14ac:dyDescent="0.35">
      <c r="A222" s="9">
        <v>43936</v>
      </c>
      <c r="B222" s="8">
        <v>-5.3295932678821822</v>
      </c>
      <c r="C222" s="8">
        <v>1.5632183908045993</v>
      </c>
      <c r="G222" s="10">
        <v>6.1950000000000003</v>
      </c>
    </row>
    <row r="223" spans="1:7" x14ac:dyDescent="0.35">
      <c r="A223" s="9">
        <v>43937</v>
      </c>
      <c r="B223" s="8">
        <v>1.6148148148148245</v>
      </c>
      <c r="C223" s="8">
        <v>-0.40742417383431428</v>
      </c>
      <c r="G223" s="10">
        <v>6.1950000000000003</v>
      </c>
    </row>
    <row r="224" spans="1:7" x14ac:dyDescent="0.35">
      <c r="A224" s="9">
        <v>43938</v>
      </c>
      <c r="B224" s="8">
        <v>0.18953200174951501</v>
      </c>
      <c r="C224" s="8">
        <v>-2.1590909090909105</v>
      </c>
      <c r="G224" s="10">
        <v>6.1950000000000003</v>
      </c>
    </row>
    <row r="225" spans="1:7" x14ac:dyDescent="0.35">
      <c r="A225" s="9">
        <v>43941</v>
      </c>
      <c r="B225" s="8">
        <v>-1.0622817229336445</v>
      </c>
      <c r="C225" s="8">
        <v>0.46457607433216808</v>
      </c>
      <c r="G225" s="10">
        <v>6.1950000000000003</v>
      </c>
    </row>
    <row r="226" spans="1:7" x14ac:dyDescent="0.35">
      <c r="A226" s="9">
        <v>43942</v>
      </c>
      <c r="B226" s="8">
        <v>-1.3090160317693833</v>
      </c>
      <c r="C226" s="8">
        <v>3.1676300578034722</v>
      </c>
      <c r="G226" s="10">
        <v>6.1950000000000003</v>
      </c>
    </row>
    <row r="227" spans="1:7" x14ac:dyDescent="0.35">
      <c r="A227" s="9">
        <v>43943</v>
      </c>
      <c r="B227" s="8">
        <v>6.3189269746646959</v>
      </c>
      <c r="C227" s="8">
        <v>-4.4822949350065144E-2</v>
      </c>
      <c r="G227" s="10">
        <v>6.14</v>
      </c>
    </row>
    <row r="228" spans="1:7" x14ac:dyDescent="0.35">
      <c r="A228" s="9">
        <v>43944</v>
      </c>
      <c r="B228" s="8">
        <v>0.60274740678440963</v>
      </c>
      <c r="C228" s="8">
        <v>-0.73991031390134854</v>
      </c>
      <c r="G228" s="10">
        <v>6.14</v>
      </c>
    </row>
    <row r="229" spans="1:7" x14ac:dyDescent="0.35">
      <c r="A229" s="9">
        <v>43945</v>
      </c>
      <c r="B229" s="8">
        <v>-2.1178765500905583</v>
      </c>
      <c r="C229" s="8">
        <v>-0.83578043822001291</v>
      </c>
      <c r="G229" s="10">
        <v>6.12</v>
      </c>
    </row>
    <row r="230" spans="1:7" x14ac:dyDescent="0.35">
      <c r="A230" s="9">
        <v>43948</v>
      </c>
      <c r="B230" s="8">
        <v>-0.3558718861209953</v>
      </c>
      <c r="C230" s="8">
        <v>4.5558086560371081E-2</v>
      </c>
      <c r="G230" s="10">
        <v>6.06</v>
      </c>
    </row>
    <row r="231" spans="1:7" x14ac:dyDescent="0.35">
      <c r="A231" s="9">
        <v>43949</v>
      </c>
      <c r="B231" s="8">
        <v>5.1428571428571379</v>
      </c>
      <c r="C231" s="8">
        <v>-1.0245901639344246</v>
      </c>
      <c r="G231" s="10">
        <v>6.22</v>
      </c>
    </row>
    <row r="232" spans="1:7" x14ac:dyDescent="0.35">
      <c r="A232" s="9">
        <v>43950</v>
      </c>
      <c r="B232" s="8">
        <v>1.7255434782608825</v>
      </c>
      <c r="C232" s="8">
        <v>-1.4262709914883764</v>
      </c>
      <c r="G232" s="10">
        <v>6.12</v>
      </c>
    </row>
    <row r="233" spans="1:7" x14ac:dyDescent="0.35">
      <c r="A233" s="9">
        <v>43951</v>
      </c>
      <c r="B233" s="8">
        <v>-0.85481501268865889</v>
      </c>
      <c r="C233" s="8">
        <v>0.8168028004667427</v>
      </c>
      <c r="G233" s="10">
        <v>6.11</v>
      </c>
    </row>
    <row r="234" spans="1:7" x14ac:dyDescent="0.35">
      <c r="A234" s="9">
        <v>43955</v>
      </c>
      <c r="B234" s="8">
        <v>-1.8995015492388689</v>
      </c>
      <c r="C234" s="8">
        <v>1.504629629629628</v>
      </c>
      <c r="G234" s="10">
        <v>6.13</v>
      </c>
    </row>
    <row r="235" spans="1:7" x14ac:dyDescent="0.35">
      <c r="A235" s="9">
        <v>43956</v>
      </c>
      <c r="B235" s="8">
        <v>1.1947267234276415</v>
      </c>
      <c r="C235" s="8">
        <v>-1.8244013683010207</v>
      </c>
      <c r="G235" s="10">
        <v>6.23</v>
      </c>
    </row>
    <row r="236" spans="1:7" x14ac:dyDescent="0.35">
      <c r="A236" s="9">
        <v>43957</v>
      </c>
      <c r="B236" s="8">
        <v>-3.0533315239516856</v>
      </c>
      <c r="C236" s="8">
        <v>0.11614401858304202</v>
      </c>
      <c r="G236" s="10">
        <v>6.29</v>
      </c>
    </row>
    <row r="237" spans="1:7" x14ac:dyDescent="0.35">
      <c r="A237" s="9">
        <v>43958</v>
      </c>
      <c r="B237" s="8">
        <v>2.2956326987682019</v>
      </c>
      <c r="C237" s="8">
        <v>0.13921113689094877</v>
      </c>
      <c r="G237" s="10">
        <v>6.32</v>
      </c>
    </row>
    <row r="238" spans="1:7" x14ac:dyDescent="0.35">
      <c r="A238" s="9">
        <v>43959</v>
      </c>
      <c r="B238" s="8">
        <v>1.8062397372742289</v>
      </c>
      <c r="C238" s="8">
        <v>-4.6339202965717252E-2</v>
      </c>
      <c r="G238" s="10">
        <v>6.35</v>
      </c>
    </row>
    <row r="239" spans="1:7" x14ac:dyDescent="0.35">
      <c r="A239" s="9">
        <v>43963</v>
      </c>
      <c r="B239" s="8">
        <v>-0.10752688172044333</v>
      </c>
      <c r="C239" s="8">
        <v>-0.37088548910523267</v>
      </c>
      <c r="G239" s="10">
        <v>6.35</v>
      </c>
    </row>
    <row r="240" spans="1:7" x14ac:dyDescent="0.35">
      <c r="A240" s="9">
        <v>43964</v>
      </c>
      <c r="B240" s="8">
        <v>-1.9241119483315305</v>
      </c>
      <c r="C240" s="8">
        <v>1.1865984178687672</v>
      </c>
      <c r="G240" s="10">
        <v>6.35</v>
      </c>
    </row>
    <row r="241" spans="1:7" x14ac:dyDescent="0.35">
      <c r="A241" s="9">
        <v>43965</v>
      </c>
      <c r="B241" s="8">
        <v>7.7788448346824079</v>
      </c>
      <c r="C241" s="8">
        <v>0.98873304207864887</v>
      </c>
      <c r="G241" s="10">
        <v>6.27</v>
      </c>
    </row>
    <row r="242" spans="1:7" x14ac:dyDescent="0.35">
      <c r="A242" s="9">
        <v>43966</v>
      </c>
      <c r="B242" s="8">
        <v>2.2021384928716969</v>
      </c>
      <c r="C242" s="8">
        <v>0.38706739526410683</v>
      </c>
      <c r="G242" s="10">
        <v>5.77</v>
      </c>
    </row>
    <row r="243" spans="1:7" x14ac:dyDescent="0.35">
      <c r="A243" s="9">
        <v>43969</v>
      </c>
      <c r="B243" s="8">
        <v>1.1333914559720881</v>
      </c>
      <c r="C243" s="8">
        <v>-2.2680880018144722</v>
      </c>
      <c r="G243" s="10">
        <v>5.77</v>
      </c>
    </row>
    <row r="244" spans="1:7" x14ac:dyDescent="0.35">
      <c r="A244" s="9">
        <v>43970</v>
      </c>
      <c r="B244" s="8">
        <v>-1.379310344827589</v>
      </c>
      <c r="C244" s="8">
        <v>0.62659549779531254</v>
      </c>
      <c r="G244" s="10">
        <v>5.8</v>
      </c>
    </row>
    <row r="245" spans="1:7" x14ac:dyDescent="0.35">
      <c r="A245" s="9">
        <v>43971</v>
      </c>
      <c r="B245" s="8">
        <v>1.885614385614387</v>
      </c>
      <c r="C245" s="8">
        <v>-0.89944649446495051</v>
      </c>
      <c r="G245" s="10">
        <v>5.94</v>
      </c>
    </row>
    <row r="246" spans="1:7" x14ac:dyDescent="0.35">
      <c r="A246" s="9">
        <v>43972</v>
      </c>
      <c r="B246" s="8">
        <v>-4.4000490256158926</v>
      </c>
      <c r="C246" s="8">
        <v>-2.1643006748894633</v>
      </c>
      <c r="G246" s="10">
        <v>5.875</v>
      </c>
    </row>
    <row r="247" spans="1:7" x14ac:dyDescent="0.35">
      <c r="A247" s="9">
        <v>43973</v>
      </c>
      <c r="B247" s="8">
        <v>2.051282051282044</v>
      </c>
      <c r="C247" s="8">
        <v>1.3558515699334084</v>
      </c>
      <c r="G247" s="10">
        <v>5.875</v>
      </c>
    </row>
    <row r="248" spans="1:7" x14ac:dyDescent="0.35">
      <c r="A248" s="9">
        <v>43976</v>
      </c>
      <c r="B248" s="8">
        <v>5.087939698492483</v>
      </c>
      <c r="C248" s="8">
        <v>-0.25815536259095051</v>
      </c>
      <c r="G248" s="10">
        <v>5.81</v>
      </c>
    </row>
    <row r="249" spans="1:7" x14ac:dyDescent="0.35">
      <c r="A249" s="9">
        <v>43977</v>
      </c>
      <c r="B249" s="8">
        <v>-0.29886431560072202</v>
      </c>
      <c r="C249" s="8">
        <v>-1.8352941176470572</v>
      </c>
      <c r="G249" s="10">
        <v>5.67</v>
      </c>
    </row>
    <row r="250" spans="1:7" x14ac:dyDescent="0.35">
      <c r="A250" s="9">
        <v>43978</v>
      </c>
      <c r="B250" s="8">
        <v>-2.4340527577937698</v>
      </c>
      <c r="C250" s="8">
        <v>-0.16778523489933139</v>
      </c>
      <c r="G250" s="10">
        <v>5.4</v>
      </c>
    </row>
    <row r="251" spans="1:7" x14ac:dyDescent="0.35">
      <c r="A251" s="9">
        <v>43979</v>
      </c>
      <c r="B251" s="8">
        <v>-0.45471303920364692</v>
      </c>
      <c r="C251" s="8">
        <v>0.12004801920768582</v>
      </c>
      <c r="G251" s="10">
        <v>5.61</v>
      </c>
    </row>
    <row r="252" spans="1:7" x14ac:dyDescent="0.35">
      <c r="A252" s="9">
        <v>43980</v>
      </c>
      <c r="B252" s="8">
        <v>-2.1975308641975277</v>
      </c>
      <c r="C252" s="8">
        <v>0.7194244604316502</v>
      </c>
      <c r="G252" s="10">
        <v>5.68</v>
      </c>
    </row>
    <row r="253" spans="1:7" x14ac:dyDescent="0.35">
      <c r="A253" s="9">
        <v>43983</v>
      </c>
      <c r="B253" s="8">
        <v>0.8583690987124637</v>
      </c>
      <c r="C253" s="8">
        <v>-1.2380952380952381</v>
      </c>
      <c r="G253" s="10">
        <v>5.66</v>
      </c>
    </row>
    <row r="254" spans="1:7" x14ac:dyDescent="0.35">
      <c r="A254" s="9">
        <v>43984</v>
      </c>
      <c r="B254" s="8">
        <v>0.68836045056319684</v>
      </c>
      <c r="C254" s="8">
        <v>-1.0366441658630654</v>
      </c>
      <c r="G254" s="10">
        <v>5.62</v>
      </c>
    </row>
    <row r="255" spans="1:7" x14ac:dyDescent="0.35">
      <c r="A255" s="9">
        <v>43985</v>
      </c>
      <c r="B255" s="8">
        <v>-0.60907395898074368</v>
      </c>
      <c r="C255" s="8">
        <v>-0.974421437271622</v>
      </c>
      <c r="G255" s="10">
        <v>5.6</v>
      </c>
    </row>
    <row r="256" spans="1:7" x14ac:dyDescent="0.35">
      <c r="G256" s="10">
        <v>5.62</v>
      </c>
    </row>
    <row r="257" spans="7:7" x14ac:dyDescent="0.35">
      <c r="G257" s="10">
        <v>5.62</v>
      </c>
    </row>
    <row r="258" spans="7:7" x14ac:dyDescent="0.35">
      <c r="G258" s="10">
        <v>5.6</v>
      </c>
    </row>
    <row r="259" spans="7:7" x14ac:dyDescent="0.35">
      <c r="G259" s="10">
        <v>5.62</v>
      </c>
    </row>
    <row r="260" spans="7:7" x14ac:dyDescent="0.35">
      <c r="G260" s="10">
        <v>5.65</v>
      </c>
    </row>
    <row r="261" spans="7:7" x14ac:dyDescent="0.35">
      <c r="G261" s="10">
        <v>5.66</v>
      </c>
    </row>
    <row r="262" spans="7:7" x14ac:dyDescent="0.35">
      <c r="G262" s="10">
        <v>5.66</v>
      </c>
    </row>
    <row r="263" spans="7:7" x14ac:dyDescent="0.35">
      <c r="G263" s="10">
        <v>5.69</v>
      </c>
    </row>
    <row r="264" spans="7:7" x14ac:dyDescent="0.35">
      <c r="G264" s="10">
        <v>5.69</v>
      </c>
    </row>
    <row r="265" spans="7:7" x14ac:dyDescent="0.35">
      <c r="G265" s="10">
        <v>5.67</v>
      </c>
    </row>
    <row r="266" spans="7:7" x14ac:dyDescent="0.35">
      <c r="G266" s="10">
        <v>5.64</v>
      </c>
    </row>
    <row r="267" spans="7:7" x14ac:dyDescent="0.35">
      <c r="G267" s="3">
        <v>5.6657142857142864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FA4C-FA64-4D49-B2B3-143BC86C3922}">
  <dimension ref="A1:R26"/>
  <sheetViews>
    <sheetView workbookViewId="0">
      <selection activeCell="C8" sqref="C8"/>
    </sheetView>
  </sheetViews>
  <sheetFormatPr defaultRowHeight="14.5" x14ac:dyDescent="0.35"/>
  <sheetData>
    <row r="1" spans="1:6" x14ac:dyDescent="0.35">
      <c r="A1">
        <v>600</v>
      </c>
    </row>
    <row r="2" spans="1:6" x14ac:dyDescent="0.35">
      <c r="A2" s="22">
        <v>0.08</v>
      </c>
    </row>
    <row r="3" spans="1:6" x14ac:dyDescent="0.35">
      <c r="A3">
        <f>A1/(1+A2)^7</f>
        <v>350.0942371572803</v>
      </c>
    </row>
    <row r="8" spans="1:6" x14ac:dyDescent="0.35">
      <c r="A8">
        <v>1000</v>
      </c>
    </row>
    <row r="9" spans="1:6" x14ac:dyDescent="0.35">
      <c r="A9">
        <f>A8/(1+10%)^2</f>
        <v>826.44628099173542</v>
      </c>
      <c r="B9" t="s">
        <v>149</v>
      </c>
    </row>
    <row r="11" spans="1:6" x14ac:dyDescent="0.35">
      <c r="A11">
        <v>1200</v>
      </c>
    </row>
    <row r="12" spans="1:6" x14ac:dyDescent="0.35">
      <c r="A12">
        <f>A11/(1+12%)^3</f>
        <v>854.13629737609301</v>
      </c>
      <c r="B12" t="s">
        <v>75</v>
      </c>
    </row>
    <row r="14" spans="1:6" x14ac:dyDescent="0.35">
      <c r="A14">
        <v>750</v>
      </c>
      <c r="B14" t="s">
        <v>150</v>
      </c>
      <c r="D14">
        <f>350+75-30</f>
        <v>395</v>
      </c>
      <c r="F14">
        <f>150+30-40-70</f>
        <v>70</v>
      </c>
    </row>
    <row r="17" spans="1:18" x14ac:dyDescent="0.35">
      <c r="I17" s="22">
        <v>0.13</v>
      </c>
    </row>
    <row r="18" spans="1:18" x14ac:dyDescent="0.35">
      <c r="D18">
        <f>700*(1+12%)^4</f>
        <v>1101.4635520000002</v>
      </c>
      <c r="I18">
        <v>13000</v>
      </c>
    </row>
    <row r="19" spans="1:18" x14ac:dyDescent="0.35">
      <c r="A19">
        <v>350</v>
      </c>
      <c r="I19">
        <v>1</v>
      </c>
      <c r="J19">
        <v>2</v>
      </c>
      <c r="K19">
        <v>3</v>
      </c>
      <c r="L19">
        <v>4</v>
      </c>
      <c r="M19">
        <v>5</v>
      </c>
      <c r="N19">
        <v>6</v>
      </c>
      <c r="O19">
        <v>7</v>
      </c>
      <c r="P19">
        <v>8</v>
      </c>
    </row>
    <row r="20" spans="1:18" x14ac:dyDescent="0.35">
      <c r="I20">
        <f>$I$18/(1+$I$17)^I19</f>
        <v>11504.424778761064</v>
      </c>
      <c r="J20" s="65">
        <f t="shared" ref="J20:P20" si="0">$I$18/(1+$I$17)^J19</f>
        <v>10180.906883859348</v>
      </c>
      <c r="K20" s="65">
        <f t="shared" si="0"/>
        <v>9009.6521096100441</v>
      </c>
      <c r="L20" s="65">
        <f t="shared" si="0"/>
        <v>7973.1434598318992</v>
      </c>
      <c r="M20" s="65">
        <f t="shared" si="0"/>
        <v>7055.8791679928318</v>
      </c>
      <c r="N20" s="65">
        <f t="shared" si="0"/>
        <v>6244.1408566308255</v>
      </c>
      <c r="O20" s="65">
        <f t="shared" si="0"/>
        <v>5525.7883686998466</v>
      </c>
      <c r="P20" s="65">
        <f t="shared" si="0"/>
        <v>4890.0782023892443</v>
      </c>
      <c r="R20">
        <f>SUM(I20:P20)</f>
        <v>62384.013827775103</v>
      </c>
    </row>
    <row r="21" spans="1:18" x14ac:dyDescent="0.35">
      <c r="D21" s="22">
        <v>0.13</v>
      </c>
    </row>
    <row r="22" spans="1:18" x14ac:dyDescent="0.35">
      <c r="D22">
        <v>1</v>
      </c>
      <c r="E22">
        <v>2</v>
      </c>
    </row>
    <row r="23" spans="1:18" x14ac:dyDescent="0.35">
      <c r="D23">
        <v>540</v>
      </c>
      <c r="E23">
        <v>200</v>
      </c>
    </row>
    <row r="24" spans="1:18" x14ac:dyDescent="0.35">
      <c r="D24">
        <f>D23/(1+$D$21)^D22</f>
        <v>477.87610619469029</v>
      </c>
      <c r="E24" s="65">
        <f>E23/(1+$D$21)^E22</f>
        <v>156.62933667475923</v>
      </c>
      <c r="F24">
        <f>D24+E24</f>
        <v>634.50544286944955</v>
      </c>
    </row>
    <row r="26" spans="1:18" x14ac:dyDescent="0.35">
      <c r="F26">
        <f>F24-430</f>
        <v>204.50544286944955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SNGS</vt:lpstr>
      <vt:lpstr>FXGD ETF</vt:lpstr>
      <vt:lpstr>Составление портфеля</vt:lpstr>
      <vt:lpstr>Бэктестинг</vt:lpstr>
      <vt:lpstr>Расчеты</vt:lpstr>
      <vt:lpstr>Лист1</vt:lpstr>
      <vt:lpstr>T</vt:lpstr>
      <vt:lpstr>X</vt:lpstr>
      <vt:lpstr>X_2</vt:lpstr>
      <vt:lpstr>XY</vt:lpstr>
      <vt:lpstr>Y</vt:lpstr>
      <vt:lpstr>Y_2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Agapov</dc:creator>
  <cp:lastModifiedBy>79292</cp:lastModifiedBy>
  <dcterms:created xsi:type="dcterms:W3CDTF">2015-06-05T18:19:34Z</dcterms:created>
  <dcterms:modified xsi:type="dcterms:W3CDTF">2022-03-05T05:12:52Z</dcterms:modified>
</cp:coreProperties>
</file>