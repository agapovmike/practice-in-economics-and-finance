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79292\Documents\ВУЗ\3 курс\Инвестиции\Часть 2 Финансовые инвестиции\Самостоятельная работа\"/>
    </mc:Choice>
  </mc:AlternateContent>
  <xr:revisionPtr revIDLastSave="0" documentId="13_ncr:1_{FEB98B96-A0B4-4DBD-BA69-DC02C22E2A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solver_adj" localSheetId="0" hidden="1">Лист1!$I$38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Лист1!$I$37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6" i="1" l="1"/>
  <c r="J39" i="1"/>
  <c r="H39" i="1"/>
  <c r="F40" i="1"/>
  <c r="F39" i="1"/>
  <c r="J33" i="1"/>
  <c r="E35" i="1"/>
  <c r="C11" i="1"/>
  <c r="C10" i="1"/>
  <c r="C9" i="1"/>
  <c r="B11" i="1"/>
  <c r="B5" i="1"/>
  <c r="I16" i="1" l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15" i="1"/>
  <c r="F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15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4" i="1"/>
  <c r="J15" i="1" l="1"/>
  <c r="I35" i="1"/>
  <c r="H15" i="1"/>
  <c r="G35" i="1"/>
  <c r="J16" i="1"/>
  <c r="D11" i="1"/>
  <c r="D9" i="1"/>
  <c r="D10" i="1"/>
  <c r="G11" i="1" l="1"/>
  <c r="G9" i="1"/>
  <c r="B9" i="1"/>
  <c r="H40" i="1" l="1"/>
  <c r="F9" i="1" s="1"/>
  <c r="H9" i="1" s="1"/>
  <c r="E11" i="1"/>
  <c r="E37" i="1"/>
  <c r="G37" i="1"/>
  <c r="I37" i="1"/>
  <c r="E9" i="1" l="1"/>
  <c r="J40" i="1"/>
  <c r="F11" i="1" s="1"/>
  <c r="H11" i="1" s="1"/>
  <c r="E10" i="1"/>
  <c r="F10" i="1"/>
  <c r="G36" i="1"/>
  <c r="I36" i="1" l="1"/>
</calcChain>
</file>

<file path=xl/sharedStrings.xml><?xml version="1.0" encoding="utf-8"?>
<sst xmlns="http://schemas.openxmlformats.org/spreadsheetml/2006/main" count="40" uniqueCount="37">
  <si>
    <t>Дата расчета</t>
  </si>
  <si>
    <t>Номинал</t>
  </si>
  <si>
    <t>НКД</t>
  </si>
  <si>
    <t>Конвенция начисления</t>
  </si>
  <si>
    <t>в %</t>
  </si>
  <si>
    <t>в руб.</t>
  </si>
  <si>
    <t>Доходность</t>
  </si>
  <si>
    <t>Дюрация</t>
  </si>
  <si>
    <t>Модиф. дюрация</t>
  </si>
  <si>
    <t>Изм.доходности</t>
  </si>
  <si>
    <t>Изм.дох-ти по MD, %</t>
  </si>
  <si>
    <t>Текущая рыночная цена + 1%</t>
  </si>
  <si>
    <t>Текущая рыночная цена</t>
  </si>
  <si>
    <t>Текущая рыночная цена - 1%</t>
  </si>
  <si>
    <t>Дата выплаты купона</t>
  </si>
  <si>
    <t>Размер выплаты</t>
  </si>
  <si>
    <t>Срок, дн.</t>
  </si>
  <si>
    <t>Срок t</t>
  </si>
  <si>
    <t>DCF, текущая</t>
  </si>
  <si>
    <t>DCF*t, текущая</t>
  </si>
  <si>
    <t>DCF, текущая+1%</t>
  </si>
  <si>
    <t>DCF*t, текущая +1%</t>
  </si>
  <si>
    <t>DCF, текущая -1%</t>
  </si>
  <si>
    <t>DCF*t, текущая -1%</t>
  </si>
  <si>
    <t>Грязная цена</t>
  </si>
  <si>
    <t>Чистая цена</t>
  </si>
  <si>
    <t>Разница PV и цены</t>
  </si>
  <si>
    <t>Модицицированная дюрация</t>
  </si>
  <si>
    <t>Публичное акционерное общество "РУСАЛ Братский алюминиевый завод", облигация биржевая (RU000A100KL0)</t>
  </si>
  <si>
    <t>Дата погашения</t>
  </si>
  <si>
    <t>Дата оферт (при наличии)</t>
  </si>
  <si>
    <t>Дата и величина амортизационных платежей</t>
  </si>
  <si>
    <t>Даты и порядок определения величины купонных платежей</t>
  </si>
  <si>
    <t>Конвенция начисления процентов</t>
  </si>
  <si>
    <t>?</t>
  </si>
  <si>
    <t>28.06.2029
1000,00</t>
  </si>
  <si>
    <t>КУПОН - Переменный
Периодичность выплат в год:
2
Текущий купон (всего):
2 (20)
Дата выплаты купона:
27.07.2020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</si>
</sst>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2C5575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rgb="FF26262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/>
    <xf numFmtId="1" fontId="0" fillId="0" borderId="1" xfId="0" applyNumberFormat="1" applyBorder="1"/>
    <xf numFmtId="2" fontId="3" fillId="0" borderId="1" xfId="0" applyNumberFormat="1" applyFont="1" applyBorder="1"/>
    <xf numFmtId="0" fontId="0" fillId="0" borderId="0" xfId="0" applyAlignment="1">
      <alignment wrapText="1"/>
    </xf>
    <xf numFmtId="1" fontId="0" fillId="0" borderId="0" xfId="0" applyNumberFormat="1"/>
    <xf numFmtId="0" fontId="0" fillId="0" borderId="1" xfId="0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0" fontId="0" fillId="0" borderId="1" xfId="1" applyNumberFormat="1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2" fontId="0" fillId="0" borderId="0" xfId="0" applyNumberFormat="1"/>
    <xf numFmtId="14" fontId="0" fillId="0" borderId="0" xfId="0" applyNumberFormat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/>
    <xf numFmtId="0" fontId="6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N20" sqref="N20"/>
    </sheetView>
  </sheetViews>
  <sheetFormatPr defaultRowHeight="15" x14ac:dyDescent="0.25"/>
  <cols>
    <col min="1" max="1" width="17.85546875" style="5" customWidth="1"/>
    <col min="2" max="4" width="11.7109375" customWidth="1"/>
    <col min="5" max="5" width="11.42578125" customWidth="1"/>
    <col min="6" max="10" width="11.7109375" customWidth="1"/>
    <col min="14" max="14" width="36.85546875" customWidth="1"/>
    <col min="15" max="15" width="47.7109375" customWidth="1"/>
  </cols>
  <sheetData>
    <row r="1" spans="1:15" ht="16.5" customHeight="1" x14ac:dyDescent="0.25">
      <c r="A1" s="32" t="s">
        <v>28</v>
      </c>
      <c r="B1" s="32"/>
      <c r="C1" s="32"/>
      <c r="D1" s="32"/>
      <c r="E1" s="32"/>
      <c r="F1" s="32"/>
      <c r="G1" s="32"/>
      <c r="H1" s="32"/>
      <c r="I1" s="32"/>
      <c r="J1" s="32"/>
    </row>
    <row r="3" spans="1:15" x14ac:dyDescent="0.25">
      <c r="A3" s="1" t="s">
        <v>0</v>
      </c>
      <c r="B3" s="2">
        <v>43965</v>
      </c>
    </row>
    <row r="4" spans="1:15" x14ac:dyDescent="0.25">
      <c r="A4" s="1" t="s">
        <v>1</v>
      </c>
      <c r="B4" s="3">
        <v>1000</v>
      </c>
    </row>
    <row r="5" spans="1:15" x14ac:dyDescent="0.25">
      <c r="A5" s="1" t="s">
        <v>2</v>
      </c>
      <c r="B5" s="4">
        <f>B15*(B3-A14)/(A15-A14)</f>
        <v>25.445274725274725</v>
      </c>
    </row>
    <row r="6" spans="1:15" ht="30" x14ac:dyDescent="0.25">
      <c r="A6" s="1" t="s">
        <v>3</v>
      </c>
      <c r="B6" s="3">
        <v>365</v>
      </c>
    </row>
    <row r="7" spans="1:15" x14ac:dyDescent="0.25">
      <c r="B7" s="6"/>
    </row>
    <row r="8" spans="1:15" s="5" customFormat="1" ht="30" x14ac:dyDescent="0.25">
      <c r="A8" s="1"/>
      <c r="B8" s="1" t="s">
        <v>4</v>
      </c>
      <c r="C8" s="1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1" t="s">
        <v>10</v>
      </c>
      <c r="N8" s="1" t="s">
        <v>1</v>
      </c>
      <c r="O8" s="27">
        <v>1000</v>
      </c>
    </row>
    <row r="9" spans="1:15" ht="27" customHeight="1" x14ac:dyDescent="0.25">
      <c r="A9" s="1" t="s">
        <v>11</v>
      </c>
      <c r="B9" s="8">
        <f>B10*1.01</f>
        <v>104.9794</v>
      </c>
      <c r="C9" s="9">
        <f>B4*B9/100</f>
        <v>1049.7939999999999</v>
      </c>
      <c r="D9" s="10">
        <f>G38</f>
        <v>8.0099811125261614E-2</v>
      </c>
      <c r="E9" s="24">
        <f>H39</f>
        <v>6.4251730484970713</v>
      </c>
      <c r="F9" s="24">
        <f>H40</f>
        <v>5.9486845403696957</v>
      </c>
      <c r="G9" s="10">
        <f>D9-D10</f>
        <v>-1.6361105684466193E-3</v>
      </c>
      <c r="H9" s="23">
        <f>-F9*G9*B9</f>
        <v>1.0217335989733733</v>
      </c>
      <c r="N9" s="1" t="s">
        <v>29</v>
      </c>
      <c r="O9" s="28">
        <v>47297</v>
      </c>
    </row>
    <row r="10" spans="1:15" ht="28.5" customHeight="1" x14ac:dyDescent="0.25">
      <c r="A10" s="1" t="s">
        <v>12</v>
      </c>
      <c r="B10" s="22">
        <v>103.94</v>
      </c>
      <c r="C10" s="9">
        <f>$B$4*B10/100</f>
        <v>1039.4000000000001</v>
      </c>
      <c r="D10" s="12">
        <f>E38</f>
        <v>8.1735921693708233E-2</v>
      </c>
      <c r="E10" s="24">
        <f>F39</f>
        <v>6.4097916851727375</v>
      </c>
      <c r="F10" s="24">
        <f>F40</f>
        <v>5.9254680894175396</v>
      </c>
      <c r="G10" s="11"/>
      <c r="H10" s="11"/>
      <c r="N10" s="1" t="s">
        <v>30</v>
      </c>
      <c r="O10" s="29">
        <v>44951</v>
      </c>
    </row>
    <row r="11" spans="1:15" ht="36.75" customHeight="1" x14ac:dyDescent="0.25">
      <c r="A11" s="1" t="s">
        <v>13</v>
      </c>
      <c r="B11" s="8">
        <f>B10*0.99</f>
        <v>102.9006</v>
      </c>
      <c r="C11" s="9">
        <f>B4*B11/100</f>
        <v>1029.0059999999999</v>
      </c>
      <c r="D11" s="10">
        <f>I38</f>
        <v>8.3394607163050846E-2</v>
      </c>
      <c r="E11" s="24">
        <f>J39</f>
        <v>6.3941709459549632</v>
      </c>
      <c r="F11" s="24">
        <f>J40</f>
        <v>5.9019778238499576</v>
      </c>
      <c r="G11" s="10">
        <f>D11-D10</f>
        <v>1.6586854693426134E-3</v>
      </c>
      <c r="H11" s="23">
        <f>-F11*G11*B11</f>
        <v>-1.0073479814798669</v>
      </c>
      <c r="N11" s="1" t="s">
        <v>31</v>
      </c>
      <c r="O11" s="30" t="s">
        <v>35</v>
      </c>
    </row>
    <row r="12" spans="1:15" ht="104.25" customHeight="1" x14ac:dyDescent="0.25">
      <c r="N12" s="1" t="s">
        <v>32</v>
      </c>
      <c r="O12" s="30" t="s">
        <v>36</v>
      </c>
    </row>
    <row r="13" spans="1:15" s="15" customFormat="1" ht="24.75" customHeight="1" x14ac:dyDescent="0.25">
      <c r="A13" s="13" t="s">
        <v>14</v>
      </c>
      <c r="B13" s="13" t="s">
        <v>15</v>
      </c>
      <c r="C13" s="13" t="s">
        <v>16</v>
      </c>
      <c r="D13" s="13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  <c r="N13" s="1" t="s">
        <v>33</v>
      </c>
      <c r="O13" s="31" t="s">
        <v>34</v>
      </c>
    </row>
    <row r="14" spans="1:15" x14ac:dyDescent="0.25">
      <c r="A14" s="18">
        <v>43857</v>
      </c>
      <c r="B14" s="19">
        <v>47.12</v>
      </c>
      <c r="C14" s="19">
        <f>A14-$B$3</f>
        <v>-108</v>
      </c>
      <c r="D14" s="19"/>
      <c r="E14" s="20"/>
      <c r="F14" s="19"/>
      <c r="G14" s="19"/>
      <c r="H14" s="19"/>
      <c r="I14" s="19"/>
      <c r="J14" s="19"/>
    </row>
    <row r="15" spans="1:15" x14ac:dyDescent="0.25">
      <c r="A15" s="18">
        <v>44039</v>
      </c>
      <c r="B15" s="19">
        <v>42.88</v>
      </c>
      <c r="C15" s="19">
        <f t="shared" ref="C15:C33" si="0">A15-$B$3</f>
        <v>74</v>
      </c>
      <c r="D15" s="21">
        <f>C15/$B$6</f>
        <v>0.20273972602739726</v>
      </c>
      <c r="E15" s="21">
        <f>$B15/(1+$E$38)^(D15)</f>
        <v>42.202389697502696</v>
      </c>
      <c r="F15" s="21">
        <f>E15*$D15</f>
        <v>8.5561009249731494</v>
      </c>
      <c r="G15" s="21">
        <f>$B15/(1+$G$38)^(D15)</f>
        <v>42.215342465139088</v>
      </c>
      <c r="H15" s="21">
        <f>G15*$D15</f>
        <v>8.5587269655350475</v>
      </c>
      <c r="I15" s="21">
        <f>$B15/(1+$I$38)^(D15)</f>
        <v>42.189282239219004</v>
      </c>
      <c r="J15" s="21">
        <f>I15*$D15</f>
        <v>8.5534435224717988</v>
      </c>
    </row>
    <row r="16" spans="1:15" x14ac:dyDescent="0.25">
      <c r="A16" s="18">
        <v>44221</v>
      </c>
      <c r="B16" s="19">
        <v>42.88</v>
      </c>
      <c r="C16" s="19">
        <f t="shared" si="0"/>
        <v>256</v>
      </c>
      <c r="D16" s="21">
        <f t="shared" ref="D16:D33" si="1">C16/$B$6</f>
        <v>0.70136986301369864</v>
      </c>
      <c r="E16" s="21">
        <f t="shared" ref="E16:E33" si="2">$B16/(1+$E$38)^(D16)</f>
        <v>40.581038709519959</v>
      </c>
      <c r="F16" s="21">
        <f t="shared" ref="F16:F33" si="3">E16*$D16</f>
        <v>28.462317560649616</v>
      </c>
      <c r="G16" s="21">
        <f t="shared" ref="G16:G33" si="4">$B16/(1+$G$38)^(D16)</f>
        <v>40.62414303413064</v>
      </c>
      <c r="H16" s="21">
        <f t="shared" ref="H16:H33" si="5">G16*$D16</f>
        <v>28.492549634897106</v>
      </c>
      <c r="I16" s="21">
        <f t="shared" ref="I16:I33" si="6">$B16/(1+$I$38)^(D16)</f>
        <v>40.537452714407436</v>
      </c>
      <c r="J16" s="21">
        <f t="shared" ref="J16:J32" si="7">I16*$D16</f>
        <v>28.431747657228229</v>
      </c>
    </row>
    <row r="17" spans="1:10" x14ac:dyDescent="0.25">
      <c r="A17" s="18">
        <v>44403</v>
      </c>
      <c r="B17" s="19">
        <v>42.88</v>
      </c>
      <c r="C17" s="19">
        <f t="shared" si="0"/>
        <v>438</v>
      </c>
      <c r="D17" s="21">
        <f t="shared" si="1"/>
        <v>1.2</v>
      </c>
      <c r="E17" s="21">
        <f t="shared" si="2"/>
        <v>39.021977536049505</v>
      </c>
      <c r="F17" s="21">
        <f t="shared" si="3"/>
        <v>46.826373043259402</v>
      </c>
      <c r="G17" s="21">
        <f t="shared" si="4"/>
        <v>39.092919798538176</v>
      </c>
      <c r="H17" s="21">
        <f t="shared" si="5"/>
        <v>46.911503758245807</v>
      </c>
      <c r="I17" s="21">
        <f t="shared" si="6"/>
        <v>38.95029697957807</v>
      </c>
      <c r="J17" s="21">
        <f t="shared" si="7"/>
        <v>46.740356375493683</v>
      </c>
    </row>
    <row r="18" spans="1:10" x14ac:dyDescent="0.25">
      <c r="A18" s="18">
        <v>44585</v>
      </c>
      <c r="B18" s="19">
        <v>42.88</v>
      </c>
      <c r="C18" s="19">
        <f t="shared" si="0"/>
        <v>620</v>
      </c>
      <c r="D18" s="21">
        <f t="shared" si="1"/>
        <v>1.6986301369863013</v>
      </c>
      <c r="E18" s="21">
        <f t="shared" si="2"/>
        <v>37.522813098096883</v>
      </c>
      <c r="F18" s="21">
        <f t="shared" si="3"/>
        <v>63.73738115293169</v>
      </c>
      <c r="G18" s="21">
        <f t="shared" si="4"/>
        <v>37.619412108975773</v>
      </c>
      <c r="H18" s="21">
        <f t="shared" si="5"/>
        <v>63.901467144013637</v>
      </c>
      <c r="I18" s="21">
        <f t="shared" si="6"/>
        <v>37.425282873240988</v>
      </c>
      <c r="J18" s="21">
        <f t="shared" si="7"/>
        <v>63.571713373724414</v>
      </c>
    </row>
    <row r="19" spans="1:10" x14ac:dyDescent="0.25">
      <c r="A19" s="18">
        <v>44767</v>
      </c>
      <c r="B19" s="19">
        <v>42.88</v>
      </c>
      <c r="C19" s="19">
        <f t="shared" si="0"/>
        <v>802</v>
      </c>
      <c r="D19" s="21">
        <f t="shared" si="1"/>
        <v>2.1972602739726028</v>
      </c>
      <c r="E19" s="21">
        <f t="shared" si="2"/>
        <v>36.081244255086766</v>
      </c>
      <c r="F19" s="21">
        <f t="shared" si="3"/>
        <v>79.279884637204347</v>
      </c>
      <c r="G19" s="21">
        <f t="shared" si="4"/>
        <v>36.201444525457859</v>
      </c>
      <c r="H19" s="21">
        <f t="shared" si="5"/>
        <v>79.543995916211514</v>
      </c>
      <c r="I19" s="21">
        <f t="shared" si="6"/>
        <v>35.959977375178347</v>
      </c>
      <c r="J19" s="21">
        <f t="shared" si="7"/>
        <v>79.013429739432979</v>
      </c>
    </row>
    <row r="20" spans="1:10" x14ac:dyDescent="0.25">
      <c r="A20" s="18">
        <v>44949</v>
      </c>
      <c r="B20" s="19">
        <v>42.88</v>
      </c>
      <c r="C20" s="19">
        <f t="shared" si="0"/>
        <v>984</v>
      </c>
      <c r="D20" s="21">
        <f t="shared" si="1"/>
        <v>2.6958904109589041</v>
      </c>
      <c r="E20" s="21">
        <f t="shared" si="2"/>
        <v>34.695058272730094</v>
      </c>
      <c r="F20" s="21">
        <f t="shared" si="3"/>
        <v>93.534074905113457</v>
      </c>
      <c r="G20" s="21">
        <f t="shared" si="4"/>
        <v>34.83692360564865</v>
      </c>
      <c r="H20" s="21">
        <f t="shared" si="5"/>
        <v>93.916528295776089</v>
      </c>
      <c r="I20" s="21">
        <f t="shared" si="6"/>
        <v>34.552042724783711</v>
      </c>
      <c r="J20" s="21">
        <f t="shared" si="7"/>
        <v>93.148520660786772</v>
      </c>
    </row>
    <row r="21" spans="1:10" x14ac:dyDescent="0.25">
      <c r="A21" s="18">
        <v>45131</v>
      </c>
      <c r="B21" s="19">
        <v>42.88</v>
      </c>
      <c r="C21" s="19">
        <f t="shared" si="0"/>
        <v>1166</v>
      </c>
      <c r="D21" s="21">
        <f t="shared" si="1"/>
        <v>3.1945205479452055</v>
      </c>
      <c r="E21" s="21">
        <f t="shared" si="2"/>
        <v>33.362127426590398</v>
      </c>
      <c r="F21" s="21">
        <f t="shared" si="3"/>
        <v>106.57600158740932</v>
      </c>
      <c r="G21" s="21">
        <f t="shared" si="4"/>
        <v>33.523834814170328</v>
      </c>
      <c r="H21" s="21">
        <f t="shared" si="5"/>
        <v>107.09257915978796</v>
      </c>
      <c r="I21" s="21">
        <f t="shared" si="6"/>
        <v>33.199232691379244</v>
      </c>
      <c r="J21" s="21">
        <f t="shared" si="7"/>
        <v>106.0556310086252</v>
      </c>
    </row>
    <row r="22" spans="1:10" x14ac:dyDescent="0.25">
      <c r="A22" s="18">
        <v>45313</v>
      </c>
      <c r="B22" s="19">
        <v>42.88</v>
      </c>
      <c r="C22" s="19">
        <f t="shared" si="0"/>
        <v>1348</v>
      </c>
      <c r="D22" s="21">
        <f t="shared" si="1"/>
        <v>3.6931506849315068</v>
      </c>
      <c r="E22" s="21">
        <f t="shared" si="2"/>
        <v>32.080405736135759</v>
      </c>
      <c r="F22" s="21">
        <f t="shared" si="3"/>
        <v>118.47777241729042</v>
      </c>
      <c r="G22" s="21">
        <f t="shared" si="4"/>
        <v>32.260239548406965</v>
      </c>
      <c r="H22" s="21">
        <f t="shared" si="5"/>
        <v>119.14192578425366</v>
      </c>
      <c r="I22" s="21">
        <f t="shared" si="6"/>
        <v>31.899388990560578</v>
      </c>
      <c r="J22" s="21">
        <f t="shared" si="7"/>
        <v>117.80925029938537</v>
      </c>
    </row>
    <row r="23" spans="1:10" x14ac:dyDescent="0.25">
      <c r="A23" s="18">
        <v>45495</v>
      </c>
      <c r="B23" s="19">
        <v>42.88</v>
      </c>
      <c r="C23" s="19">
        <f t="shared" si="0"/>
        <v>1530</v>
      </c>
      <c r="D23" s="21">
        <f t="shared" si="1"/>
        <v>4.1917808219178081</v>
      </c>
      <c r="E23" s="21">
        <f t="shared" si="2"/>
        <v>30.84792582426364</v>
      </c>
      <c r="F23" s="21">
        <f t="shared" si="3"/>
        <v>129.30774386609141</v>
      </c>
      <c r="G23" s="21">
        <f t="shared" si="4"/>
        <v>31.04427227641311</v>
      </c>
      <c r="H23" s="21">
        <f t="shared" si="5"/>
        <v>130.13078515866317</v>
      </c>
      <c r="I23" s="21">
        <f t="shared" si="6"/>
        <v>30.65043784085189</v>
      </c>
      <c r="J23" s="21">
        <f t="shared" si="7"/>
        <v>128.47991752466683</v>
      </c>
    </row>
    <row r="24" spans="1:10" x14ac:dyDescent="0.25">
      <c r="A24" s="18">
        <v>45677</v>
      </c>
      <c r="B24" s="19">
        <v>42.88</v>
      </c>
      <c r="C24" s="19">
        <f t="shared" si="0"/>
        <v>1712</v>
      </c>
      <c r="D24" s="21">
        <f t="shared" si="1"/>
        <v>4.6904109589041099</v>
      </c>
      <c r="E24" s="21">
        <f t="shared" si="2"/>
        <v>29.662795897477817</v>
      </c>
      <c r="F24" s="21">
        <f t="shared" si="3"/>
        <v>139.13070294926584</v>
      </c>
      <c r="G24" s="21">
        <f t="shared" si="4"/>
        <v>29.874137782701688</v>
      </c>
      <c r="H24" s="21">
        <f t="shared" si="5"/>
        <v>140.12198324379531</v>
      </c>
      <c r="I24" s="21">
        <f t="shared" si="6"/>
        <v>29.450386655177624</v>
      </c>
      <c r="J24" s="21">
        <f t="shared" si="7"/>
        <v>138.13441631140847</v>
      </c>
    </row>
    <row r="25" spans="1:10" x14ac:dyDescent="0.25">
      <c r="A25" s="18">
        <v>45859</v>
      </c>
      <c r="B25" s="19">
        <v>42.88</v>
      </c>
      <c r="C25" s="19">
        <f t="shared" si="0"/>
        <v>1894</v>
      </c>
      <c r="D25" s="21">
        <f t="shared" si="1"/>
        <v>5.1890410958904107</v>
      </c>
      <c r="E25" s="21">
        <f t="shared" si="2"/>
        <v>28.523196842082339</v>
      </c>
      <c r="F25" s="21">
        <f t="shared" si="3"/>
        <v>148.00804059973683</v>
      </c>
      <c r="G25" s="21">
        <f t="shared" si="4"/>
        <v>28.748108517844791</v>
      </c>
      <c r="H25" s="21">
        <f t="shared" si="5"/>
        <v>149.17511652821378</v>
      </c>
      <c r="I25" s="21">
        <f t="shared" si="6"/>
        <v>28.2973208618725</v>
      </c>
      <c r="J25" s="21">
        <f t="shared" si="7"/>
        <v>146.83596085585347</v>
      </c>
    </row>
    <row r="26" spans="1:10" x14ac:dyDescent="0.25">
      <c r="A26" s="18">
        <v>46041</v>
      </c>
      <c r="B26" s="19">
        <v>42.88</v>
      </c>
      <c r="C26" s="19">
        <f t="shared" si="0"/>
        <v>2076</v>
      </c>
      <c r="D26" s="21">
        <f t="shared" si="1"/>
        <v>5.6876712328767125</v>
      </c>
      <c r="E26" s="21">
        <f t="shared" si="2"/>
        <v>27.427379431935229</v>
      </c>
      <c r="F26" s="21">
        <f t="shared" si="3"/>
        <v>155.99791698821244</v>
      </c>
      <c r="G26" s="21">
        <f t="shared" si="4"/>
        <v>27.66452204797454</v>
      </c>
      <c r="H26" s="21">
        <f t="shared" si="5"/>
        <v>157.34670622354835</v>
      </c>
      <c r="I26" s="21">
        <f t="shared" si="6"/>
        <v>27.18940085015787</v>
      </c>
      <c r="J26" s="21">
        <f t="shared" si="7"/>
        <v>154.64437305459654</v>
      </c>
    </row>
    <row r="27" spans="1:10" x14ac:dyDescent="0.25">
      <c r="A27" s="18">
        <v>46223</v>
      </c>
      <c r="B27" s="19">
        <v>42.88</v>
      </c>
      <c r="C27" s="19">
        <f t="shared" si="0"/>
        <v>2258</v>
      </c>
      <c r="D27" s="21">
        <f t="shared" si="1"/>
        <v>6.1863013698630134</v>
      </c>
      <c r="E27" s="21">
        <f t="shared" si="2"/>
        <v>26.373661643476037</v>
      </c>
      <c r="F27" s="21">
        <f t="shared" si="3"/>
        <v>163.15541915333941</v>
      </c>
      <c r="G27" s="21">
        <f t="shared" si="4"/>
        <v>26.621778600418512</v>
      </c>
      <c r="H27" s="21">
        <f t="shared" si="5"/>
        <v>164.69034542395889</v>
      </c>
      <c r="I27" s="21">
        <f t="shared" si="6"/>
        <v>26.124859035211394</v>
      </c>
      <c r="J27" s="21">
        <f t="shared" si="7"/>
        <v>161.61625123700637</v>
      </c>
    </row>
    <row r="28" spans="1:10" x14ac:dyDescent="0.25">
      <c r="A28" s="18">
        <v>46405</v>
      </c>
      <c r="B28" s="19">
        <v>42.88</v>
      </c>
      <c r="C28" s="19">
        <f t="shared" si="0"/>
        <v>2440</v>
      </c>
      <c r="D28" s="21">
        <f t="shared" si="1"/>
        <v>6.6849315068493151</v>
      </c>
      <c r="E28" s="21">
        <f t="shared" si="2"/>
        <v>25.360426073905842</v>
      </c>
      <c r="F28" s="21">
        <f t="shared" si="3"/>
        <v>169.53271128857605</v>
      </c>
      <c r="G28" s="21">
        <f t="shared" si="4"/>
        <v>25.618338701846103</v>
      </c>
      <c r="H28" s="21">
        <f t="shared" si="5"/>
        <v>171.25683954110821</v>
      </c>
      <c r="I28" s="21">
        <f t="shared" si="6"/>
        <v>25.101997038147438</v>
      </c>
      <c r="J28" s="21">
        <f t="shared" si="7"/>
        <v>167.80513088514999</v>
      </c>
    </row>
    <row r="29" spans="1:10" x14ac:dyDescent="0.25">
      <c r="A29" s="18">
        <v>46587</v>
      </c>
      <c r="B29" s="19">
        <v>42.88</v>
      </c>
      <c r="C29" s="19">
        <f t="shared" si="0"/>
        <v>2622</v>
      </c>
      <c r="D29" s="21">
        <f t="shared" si="1"/>
        <v>7.183561643835616</v>
      </c>
      <c r="E29" s="21">
        <f t="shared" si="2"/>
        <v>24.386117458556896</v>
      </c>
      <c r="F29" s="21">
        <f t="shared" si="3"/>
        <v>175.17917801735939</v>
      </c>
      <c r="G29" s="21">
        <f t="shared" si="4"/>
        <v>24.652720905438986</v>
      </c>
      <c r="H29" s="21">
        <f t="shared" si="5"/>
        <v>177.09434031249594</v>
      </c>
      <c r="I29" s="21">
        <f t="shared" si="6"/>
        <v>24.119182976409281</v>
      </c>
      <c r="J29" s="21">
        <f t="shared" si="7"/>
        <v>173.26163770998667</v>
      </c>
    </row>
    <row r="30" spans="1:10" x14ac:dyDescent="0.25">
      <c r="A30" s="18">
        <v>46769</v>
      </c>
      <c r="B30" s="19">
        <v>42.88</v>
      </c>
      <c r="C30" s="19">
        <f t="shared" si="0"/>
        <v>2804</v>
      </c>
      <c r="D30" s="21">
        <f t="shared" si="1"/>
        <v>7.6821917808219178</v>
      </c>
      <c r="E30" s="21">
        <f t="shared" si="2"/>
        <v>23.449240283641036</v>
      </c>
      <c r="F30" s="21">
        <f t="shared" si="3"/>
        <v>180.14156097350539</v>
      </c>
      <c r="G30" s="21">
        <f t="shared" si="4"/>
        <v>23.723499603730065</v>
      </c>
      <c r="H30" s="21">
        <f t="shared" si="5"/>
        <v>182.24847366810712</v>
      </c>
      <c r="I30" s="21">
        <f t="shared" si="6"/>
        <v>23.174848860250041</v>
      </c>
      <c r="J30" s="21">
        <f t="shared" si="7"/>
        <v>178.03363343600304</v>
      </c>
    </row>
    <row r="31" spans="1:10" x14ac:dyDescent="0.25">
      <c r="A31" s="18">
        <v>46951</v>
      </c>
      <c r="B31" s="19">
        <v>42.88</v>
      </c>
      <c r="C31" s="19">
        <f t="shared" si="0"/>
        <v>2986</v>
      </c>
      <c r="D31" s="21">
        <f t="shared" si="1"/>
        <v>8.1808219178082187</v>
      </c>
      <c r="E31" s="21">
        <f t="shared" si="2"/>
        <v>22.548356490712703</v>
      </c>
      <c r="F31" s="21">
        <f t="shared" si="3"/>
        <v>184.46408898977569</v>
      </c>
      <c r="G31" s="21">
        <f t="shared" si="4"/>
        <v>22.829302923881812</v>
      </c>
      <c r="H31" s="21">
        <f t="shared" si="5"/>
        <v>186.76246172797559</v>
      </c>
      <c r="I31" s="21">
        <f t="shared" si="6"/>
        <v>22.267488091148813</v>
      </c>
      <c r="J31" s="21">
        <f t="shared" si="7"/>
        <v>182.16635463060371</v>
      </c>
    </row>
    <row r="32" spans="1:10" x14ac:dyDescent="0.25">
      <c r="A32" s="18">
        <v>47133</v>
      </c>
      <c r="B32" s="19">
        <v>42.88</v>
      </c>
      <c r="C32" s="19">
        <f t="shared" si="0"/>
        <v>3168</v>
      </c>
      <c r="D32" s="21">
        <f t="shared" si="1"/>
        <v>8.6794520547945204</v>
      </c>
      <c r="E32" s="21">
        <f t="shared" si="2"/>
        <v>21.682083269322881</v>
      </c>
      <c r="F32" s="21">
        <f t="shared" si="3"/>
        <v>188.18860218415037</v>
      </c>
      <c r="G32" s="21">
        <f t="shared" si="4"/>
        <v>21.968810702296786</v>
      </c>
      <c r="H32" s="21">
        <f t="shared" si="5"/>
        <v>190.67723919144169</v>
      </c>
      <c r="I32" s="21">
        <f t="shared" si="6"/>
        <v>21.395653058170769</v>
      </c>
      <c r="J32" s="21">
        <f t="shared" si="7"/>
        <v>185.70254489941095</v>
      </c>
    </row>
    <row r="33" spans="1:10" x14ac:dyDescent="0.25">
      <c r="A33" s="18">
        <v>47297</v>
      </c>
      <c r="B33" s="19">
        <v>1042.8800000000001</v>
      </c>
      <c r="C33" s="19">
        <f t="shared" si="0"/>
        <v>3332</v>
      </c>
      <c r="D33" s="21">
        <f t="shared" si="1"/>
        <v>9.1287671232876715</v>
      </c>
      <c r="E33" s="21">
        <f t="shared" si="2"/>
        <v>509.03703139018774</v>
      </c>
      <c r="F33" s="21">
        <f t="shared" si="3"/>
        <v>4646.8805166907005</v>
      </c>
      <c r="G33" s="21">
        <f t="shared" si="4"/>
        <v>516.11951289162823</v>
      </c>
      <c r="H33" s="21">
        <f t="shared" si="5"/>
        <v>4711.5348409723438</v>
      </c>
      <c r="I33" s="21">
        <f t="shared" si="6"/>
        <v>501.96673107171881</v>
      </c>
      <c r="J33" s="21">
        <f>I33*$D33</f>
        <v>4582.3373915916909</v>
      </c>
    </row>
    <row r="34" spans="1:10" x14ac:dyDescent="0.25">
      <c r="A34" s="17"/>
    </row>
    <row r="35" spans="1:10" x14ac:dyDescent="0.25">
      <c r="A35" s="1" t="s">
        <v>24</v>
      </c>
      <c r="B35" s="9"/>
      <c r="C35" s="9"/>
      <c r="D35" s="9"/>
      <c r="E35" s="11">
        <f>SUM(E15:E33)</f>
        <v>1064.8452693372742</v>
      </c>
      <c r="F35" s="9"/>
      <c r="G35" s="11">
        <f>SUM(G15:G33)</f>
        <v>1075.239264854642</v>
      </c>
      <c r="H35" s="9"/>
      <c r="I35" s="11">
        <f>SUM(I15:I33)</f>
        <v>1054.4512629274639</v>
      </c>
      <c r="J35" s="9"/>
    </row>
    <row r="36" spans="1:10" x14ac:dyDescent="0.25">
      <c r="A36" s="1" t="s">
        <v>25</v>
      </c>
      <c r="B36" s="9"/>
      <c r="C36" s="9"/>
      <c r="D36" s="9"/>
      <c r="E36" s="11">
        <f>E35-$B$5</f>
        <v>1039.3999946119995</v>
      </c>
      <c r="F36" s="9"/>
      <c r="G36" s="11">
        <f>G35-$B$5</f>
        <v>1049.7939901293673</v>
      </c>
      <c r="H36" s="9"/>
      <c r="I36" s="11">
        <f>I35-$B$5</f>
        <v>1029.0059882021892</v>
      </c>
      <c r="J36" s="9"/>
    </row>
    <row r="37" spans="1:10" ht="30" x14ac:dyDescent="0.25">
      <c r="A37" s="1" t="s">
        <v>26</v>
      </c>
      <c r="B37" s="9"/>
      <c r="C37" s="9"/>
      <c r="D37" s="9"/>
      <c r="E37" s="11">
        <f>E35-B5-C10</f>
        <v>-5.3880005452811019E-6</v>
      </c>
      <c r="F37" s="9"/>
      <c r="G37" s="11">
        <f>G35-B5-C9</f>
        <v>-9.870632538877544E-6</v>
      </c>
      <c r="H37" s="9"/>
      <c r="I37" s="11">
        <f>I35-B5-C11</f>
        <v>-1.1797810657299124E-5</v>
      </c>
      <c r="J37" s="9"/>
    </row>
    <row r="38" spans="1:10" x14ac:dyDescent="0.25">
      <c r="A38" s="1" t="s">
        <v>6</v>
      </c>
      <c r="B38" s="9"/>
      <c r="C38" s="9"/>
      <c r="D38" s="9"/>
      <c r="E38" s="12">
        <v>8.1735921693708233E-2</v>
      </c>
      <c r="F38" s="9"/>
      <c r="G38" s="12">
        <v>8.0099811125261614E-2</v>
      </c>
      <c r="H38" s="9"/>
      <c r="I38" s="12">
        <v>8.3394607163050846E-2</v>
      </c>
      <c r="J38" s="9"/>
    </row>
    <row r="39" spans="1:10" x14ac:dyDescent="0.25">
      <c r="A39" s="1" t="s">
        <v>7</v>
      </c>
      <c r="B39" s="9"/>
      <c r="C39" s="9"/>
      <c r="D39" s="9"/>
      <c r="E39" s="9"/>
      <c r="F39" s="25">
        <f>SUM(F15:F33)/($B$10*$B$4/100+B5)</f>
        <v>6.4097916851727375</v>
      </c>
      <c r="G39" s="9"/>
      <c r="H39" s="25">
        <f>SUM(H15:H33)/(B9*$B$4/100+B5)</f>
        <v>6.4251730484970713</v>
      </c>
      <c r="I39" s="9"/>
      <c r="J39" s="26">
        <f>SUM(J15:J33)/(B11*$B$4/100+B5)</f>
        <v>6.3941709459549632</v>
      </c>
    </row>
    <row r="40" spans="1:10" ht="30" x14ac:dyDescent="0.25">
      <c r="A40" s="1" t="s">
        <v>27</v>
      </c>
      <c r="B40" s="9"/>
      <c r="C40" s="9"/>
      <c r="D40" s="9"/>
      <c r="E40" s="9"/>
      <c r="F40" s="23">
        <f>F39/(1+E38)</f>
        <v>5.9254680894175396</v>
      </c>
      <c r="G40" s="9"/>
      <c r="H40" s="23">
        <f>H39/(1+G38)</f>
        <v>5.9486845403696957</v>
      </c>
      <c r="I40" s="9"/>
      <c r="J40" s="23">
        <f>J39/(1+I38)</f>
        <v>5.9019778238499576</v>
      </c>
    </row>
    <row r="41" spans="1:10" x14ac:dyDescent="0.25">
      <c r="F41" s="16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Agapov</dc:creator>
  <cp:lastModifiedBy>79292</cp:lastModifiedBy>
  <dcterms:created xsi:type="dcterms:W3CDTF">2015-06-05T18:19:34Z</dcterms:created>
  <dcterms:modified xsi:type="dcterms:W3CDTF">2020-05-14T13:21:15Z</dcterms:modified>
</cp:coreProperties>
</file>