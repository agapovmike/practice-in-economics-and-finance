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79292\Documents\ВУЗ\3 курс\Инвестиции\Часть 2 Финансовые инвестиции\Самостоятельная работа\"/>
    </mc:Choice>
  </mc:AlternateContent>
  <xr:revisionPtr revIDLastSave="0" documentId="13_ncr:1_{08006BFD-811C-4AB8-88ED-921778CDEB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solver_adj" localSheetId="0" hidden="1">Лист1!$I$34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Лист1!$I$33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1" i="1" l="1"/>
  <c r="H9" i="1"/>
  <c r="G11" i="1"/>
  <c r="G9" i="1"/>
  <c r="F11" i="1"/>
  <c r="F9" i="1"/>
  <c r="F10" i="1"/>
  <c r="E11" i="1"/>
  <c r="E9" i="1"/>
  <c r="E10" i="1"/>
  <c r="J36" i="1"/>
  <c r="J35" i="1"/>
  <c r="H36" i="1"/>
  <c r="F36" i="1"/>
  <c r="H35" i="1"/>
  <c r="F35" i="1"/>
  <c r="D11" i="1"/>
  <c r="D9" i="1"/>
  <c r="D10" i="1"/>
  <c r="C11" i="1" l="1"/>
  <c r="C9" i="1"/>
  <c r="C10" i="1"/>
  <c r="B11" i="1"/>
  <c r="B9" i="1"/>
  <c r="B5" i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16" i="1"/>
  <c r="J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16" i="1"/>
  <c r="H16" i="1" s="1"/>
  <c r="F29" i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E16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14" i="1"/>
  <c r="I31" i="1" l="1"/>
  <c r="I33" i="1" s="1"/>
  <c r="G31" i="1"/>
  <c r="G33" i="1" s="1"/>
  <c r="E31" i="1"/>
  <c r="E33" i="1" s="1"/>
  <c r="F16" i="1"/>
  <c r="E32" i="1" l="1"/>
  <c r="G32" i="1" l="1"/>
  <c r="I32" i="1" l="1"/>
</calcChain>
</file>

<file path=xl/sharedStrings.xml><?xml version="1.0" encoding="utf-8"?>
<sst xmlns="http://schemas.openxmlformats.org/spreadsheetml/2006/main" count="40" uniqueCount="37">
  <si>
    <t>Дата расчета</t>
  </si>
  <si>
    <t>Номинал</t>
  </si>
  <si>
    <t>НКД</t>
  </si>
  <si>
    <t>Конвенция начисления</t>
  </si>
  <si>
    <t>в %</t>
  </si>
  <si>
    <t>в руб.</t>
  </si>
  <si>
    <t>Доходность</t>
  </si>
  <si>
    <t>Дюрация</t>
  </si>
  <si>
    <t>Модиф. дюрация</t>
  </si>
  <si>
    <t>Изм.доходности</t>
  </si>
  <si>
    <t>Изм.дох-ти по MD, %</t>
  </si>
  <si>
    <t>Текущая рыночная цена + 1%</t>
  </si>
  <si>
    <t>Текущая рыночная цена</t>
  </si>
  <si>
    <t>Текущая рыночная цена - 1%</t>
  </si>
  <si>
    <t>Дата выплаты купона</t>
  </si>
  <si>
    <t>Размер выплаты</t>
  </si>
  <si>
    <t>Срок, дн.</t>
  </si>
  <si>
    <t>Срок t</t>
  </si>
  <si>
    <t>DCF, текущая</t>
  </si>
  <si>
    <t>DCF*t, текущая</t>
  </si>
  <si>
    <t>DCF, текущая+1%</t>
  </si>
  <si>
    <t>DCF*t, текущая +1%</t>
  </si>
  <si>
    <t>DCF, текущая -1%</t>
  </si>
  <si>
    <t>DCF*t, текущая -1%</t>
  </si>
  <si>
    <t>Грязная цена</t>
  </si>
  <si>
    <t>Чистая цена</t>
  </si>
  <si>
    <t>Разница PV и цены</t>
  </si>
  <si>
    <t>Модицицированная дюрация</t>
  </si>
  <si>
    <t>Банк ВТБ (публичное акционерное общество), облигация биржевая (RU000A0JU773)</t>
  </si>
  <si>
    <t>Дата и величина амортизационных платежей</t>
  </si>
  <si>
    <t>Даты и порядок определения величины купонных платежей</t>
  </si>
  <si>
    <t>Конвенция начисления процентов</t>
  </si>
  <si>
    <t>Дата погашения</t>
  </si>
  <si>
    <t>Дата оферт (при наличии)</t>
  </si>
  <si>
    <t>29.09.2023
1000,00</t>
  </si>
  <si>
    <t>КУПОН - Переменный
Периодичность выплат в год:
4
Текущий купон (всего):
27 (40)
Дата выплаты купона:
03.07.2020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</si>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</sst>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"/>
    <numFmt numFmtId="168" formatCode="0.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2C5575"/>
      <name val="Arial"/>
      <family val="2"/>
      <charset val="204"/>
    </font>
    <font>
      <b/>
      <sz val="10"/>
      <color rgb="FF333333"/>
      <name val="Arial"/>
      <family val="2"/>
      <charset val="204"/>
    </font>
    <font>
      <sz val="11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rgb="FF26262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/>
    <xf numFmtId="1" fontId="0" fillId="0" borderId="1" xfId="0" applyNumberFormat="1" applyBorder="1"/>
    <xf numFmtId="2" fontId="3" fillId="0" borderId="1" xfId="0" applyNumberFormat="1" applyFont="1" applyBorder="1"/>
    <xf numFmtId="0" fontId="0" fillId="0" borderId="0" xfId="0" applyAlignment="1">
      <alignment wrapText="1"/>
    </xf>
    <xf numFmtId="1" fontId="0" fillId="0" borderId="0" xfId="0" applyNumberFormat="1"/>
    <xf numFmtId="0" fontId="0" fillId="0" borderId="1" xfId="0" applyBorder="1" applyAlignment="1">
      <alignment horizontal="center" wrapText="1"/>
    </xf>
    <xf numFmtId="164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10" fontId="0" fillId="0" borderId="1" xfId="1" applyNumberFormat="1" applyFont="1" applyBorder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2" fontId="0" fillId="0" borderId="0" xfId="0" applyNumberFormat="1"/>
    <xf numFmtId="14" fontId="0" fillId="0" borderId="0" xfId="0" applyNumberFormat="1" applyAlignment="1">
      <alignment wrapText="1"/>
    </xf>
    <xf numFmtId="14" fontId="5" fillId="0" borderId="1" xfId="0" applyNumberFormat="1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vertical="center"/>
    </xf>
    <xf numFmtId="2" fontId="5" fillId="0" borderId="1" xfId="0" applyNumberFormat="1" applyFont="1" applyBorder="1"/>
    <xf numFmtId="0" fontId="6" fillId="0" borderId="0" xfId="0" applyFont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0" fontId="0" fillId="0" borderId="1" xfId="0" applyBorder="1" applyAlignment="1">
      <alignment horizontal="left" wrapText="1"/>
    </xf>
    <xf numFmtId="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workbookViewId="0">
      <selection activeCell="T9" sqref="T9"/>
    </sheetView>
  </sheetViews>
  <sheetFormatPr defaultRowHeight="15" x14ac:dyDescent="0.25"/>
  <cols>
    <col min="1" max="1" width="17.85546875" style="5" customWidth="1"/>
    <col min="2" max="4" width="11.7109375" customWidth="1"/>
    <col min="5" max="5" width="11.42578125" customWidth="1"/>
    <col min="6" max="10" width="11.7109375" customWidth="1"/>
    <col min="14" max="14" width="37" customWidth="1"/>
    <col min="15" max="15" width="27.28515625" customWidth="1"/>
  </cols>
  <sheetData>
    <row r="1" spans="1:15" ht="16.5" customHeight="1" x14ac:dyDescent="0.25">
      <c r="A1" s="32" t="s">
        <v>28</v>
      </c>
      <c r="B1" s="32"/>
      <c r="C1" s="32"/>
      <c r="D1" s="32"/>
      <c r="E1" s="32"/>
      <c r="F1" s="32"/>
      <c r="G1" s="32"/>
      <c r="H1" s="32"/>
      <c r="I1" s="32"/>
      <c r="J1" s="32"/>
    </row>
    <row r="3" spans="1:15" x14ac:dyDescent="0.25">
      <c r="A3" s="1" t="s">
        <v>0</v>
      </c>
      <c r="B3" s="2">
        <v>43965</v>
      </c>
    </row>
    <row r="4" spans="1:15" x14ac:dyDescent="0.25">
      <c r="A4" s="1" t="s">
        <v>1</v>
      </c>
      <c r="B4" s="3">
        <v>1000</v>
      </c>
    </row>
    <row r="5" spans="1:15" x14ac:dyDescent="0.25">
      <c r="A5" s="1" t="s">
        <v>2</v>
      </c>
      <c r="B5" s="4">
        <f>B16*(B3-A15)/(A16-A15)</f>
        <v>8.3667032967032959</v>
      </c>
    </row>
    <row r="6" spans="1:15" ht="30" x14ac:dyDescent="0.25">
      <c r="A6" s="1" t="s">
        <v>3</v>
      </c>
      <c r="B6" s="3">
        <v>365</v>
      </c>
    </row>
    <row r="7" spans="1:15" x14ac:dyDescent="0.25">
      <c r="B7" s="6"/>
    </row>
    <row r="8" spans="1:15" s="5" customFormat="1" ht="30" x14ac:dyDescent="0.25">
      <c r="A8" s="1"/>
      <c r="B8" s="1" t="s">
        <v>4</v>
      </c>
      <c r="C8" s="1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1" t="s">
        <v>10</v>
      </c>
      <c r="N8" s="1" t="s">
        <v>1</v>
      </c>
      <c r="O8" s="28">
        <v>1000</v>
      </c>
    </row>
    <row r="9" spans="1:15" ht="45" x14ac:dyDescent="0.25">
      <c r="A9" s="1" t="s">
        <v>11</v>
      </c>
      <c r="B9" s="8">
        <f>B10*1.01</f>
        <v>101.70700000000001</v>
      </c>
      <c r="C9" s="9">
        <f>B4*B9/100</f>
        <v>1017.0700000000002</v>
      </c>
      <c r="D9" s="10">
        <f>G34</f>
        <v>7.0656613746584135E-2</v>
      </c>
      <c r="E9" s="24">
        <f>H35</f>
        <v>2.9929870786621322</v>
      </c>
      <c r="F9" s="24">
        <f>H36</f>
        <v>2.7954687247376855</v>
      </c>
      <c r="G9" s="10">
        <f>D9-D10</f>
        <v>-3.537668535350369E-3</v>
      </c>
      <c r="H9" s="23">
        <f>-F9*G9*B9</f>
        <v>1.0058254519716996</v>
      </c>
      <c r="N9" s="1" t="s">
        <v>32</v>
      </c>
      <c r="O9" s="29">
        <v>45198</v>
      </c>
    </row>
    <row r="10" spans="1:15" ht="30" x14ac:dyDescent="0.25">
      <c r="A10" s="1" t="s">
        <v>12</v>
      </c>
      <c r="B10" s="22">
        <v>100.7</v>
      </c>
      <c r="C10" s="9">
        <f>$B$4*B10/100</f>
        <v>1007</v>
      </c>
      <c r="D10" s="12">
        <f>E34</f>
        <v>7.4194282281934504E-2</v>
      </c>
      <c r="E10" s="24">
        <f>F35</f>
        <v>2.990559473780972</v>
      </c>
      <c r="F10" s="24">
        <f>F36</f>
        <v>2.7840024128857404</v>
      </c>
      <c r="G10" s="11"/>
      <c r="H10" s="11"/>
      <c r="N10" s="1" t="s">
        <v>33</v>
      </c>
      <c r="O10" s="30">
        <v>44019</v>
      </c>
    </row>
    <row r="11" spans="1:15" ht="45" x14ac:dyDescent="0.25">
      <c r="A11" s="1" t="s">
        <v>13</v>
      </c>
      <c r="B11" s="8">
        <f>B10*0.99</f>
        <v>99.692999999999998</v>
      </c>
      <c r="C11" s="9">
        <f>B4*B11/100</f>
        <v>996.93</v>
      </c>
      <c r="D11" s="10">
        <f>I34</f>
        <v>7.778172015038938E-2</v>
      </c>
      <c r="E11" s="24">
        <f>J35</f>
        <v>2.9880934677573605</v>
      </c>
      <c r="F11" s="24">
        <f>J36</f>
        <v>2.7724477154246165</v>
      </c>
      <c r="G11" s="10">
        <f>D11-D10</f>
        <v>3.5874378684548763E-3</v>
      </c>
      <c r="H11" s="23">
        <f>-F11*G11*B11</f>
        <v>-0.99154497519830176</v>
      </c>
      <c r="N11" s="1" t="s">
        <v>29</v>
      </c>
      <c r="O11" s="27" t="s">
        <v>34</v>
      </c>
    </row>
    <row r="12" spans="1:15" ht="91.5" customHeight="1" x14ac:dyDescent="0.25">
      <c r="N12" s="1" t="s">
        <v>30</v>
      </c>
      <c r="O12" s="27" t="s">
        <v>35</v>
      </c>
    </row>
    <row r="13" spans="1:15" s="15" customFormat="1" ht="45" x14ac:dyDescent="0.25">
      <c r="A13" s="13" t="s">
        <v>14</v>
      </c>
      <c r="B13" s="13" t="s">
        <v>15</v>
      </c>
      <c r="C13" s="13" t="s">
        <v>16</v>
      </c>
      <c r="D13" s="13" t="s">
        <v>17</v>
      </c>
      <c r="E13" s="14" t="s">
        <v>18</v>
      </c>
      <c r="F13" s="14" t="s">
        <v>19</v>
      </c>
      <c r="G13" s="14" t="s">
        <v>20</v>
      </c>
      <c r="H13" s="14" t="s">
        <v>21</v>
      </c>
      <c r="I13" s="14" t="s">
        <v>22</v>
      </c>
      <c r="J13" s="14" t="s">
        <v>23</v>
      </c>
      <c r="N13" s="1" t="s">
        <v>31</v>
      </c>
      <c r="O13" s="31" t="s">
        <v>36</v>
      </c>
    </row>
    <row r="14" spans="1:15" x14ac:dyDescent="0.25">
      <c r="A14" s="18">
        <v>43833</v>
      </c>
      <c r="B14" s="19">
        <v>18.57</v>
      </c>
      <c r="C14" s="19">
        <f>A14-$B$3</f>
        <v>-132</v>
      </c>
      <c r="D14" s="19"/>
      <c r="E14" s="20"/>
      <c r="F14" s="19"/>
      <c r="G14" s="19"/>
      <c r="H14" s="19"/>
      <c r="I14" s="19"/>
      <c r="J14" s="19"/>
    </row>
    <row r="15" spans="1:15" x14ac:dyDescent="0.25">
      <c r="A15" s="18">
        <v>43924</v>
      </c>
      <c r="B15" s="19">
        <v>18.57</v>
      </c>
      <c r="C15" s="19">
        <f t="shared" ref="C15:C29" si="0">A15-$B$3</f>
        <v>-41</v>
      </c>
      <c r="D15" s="19"/>
      <c r="E15" s="19"/>
      <c r="F15" s="19"/>
      <c r="G15" s="19"/>
      <c r="H15" s="19"/>
      <c r="I15" s="19"/>
      <c r="J15" s="19"/>
    </row>
    <row r="16" spans="1:15" x14ac:dyDescent="0.25">
      <c r="A16" s="18">
        <v>44015</v>
      </c>
      <c r="B16" s="19">
        <v>18.57</v>
      </c>
      <c r="C16" s="19">
        <f t="shared" si="0"/>
        <v>50</v>
      </c>
      <c r="D16" s="21">
        <f>C16/$B$6</f>
        <v>0.13698630136986301</v>
      </c>
      <c r="E16" s="21">
        <f>$B16/(1+$E$34)^(D16)</f>
        <v>18.388825048935761</v>
      </c>
      <c r="F16" s="21">
        <f>E16*$D16</f>
        <v>2.5190171299911999</v>
      </c>
      <c r="G16" s="21">
        <f>$B16/(1+$G$34)^(D16)</f>
        <v>18.397136553960699</v>
      </c>
      <c r="H16" s="21">
        <f>G16*$D16</f>
        <v>2.5201556923233834</v>
      </c>
      <c r="I16" s="21">
        <f>$B16/(1+$I$34)^(D16)</f>
        <v>18.380428335916864</v>
      </c>
      <c r="J16" s="21">
        <f>I16*$D16</f>
        <v>2.517866895331077</v>
      </c>
    </row>
    <row r="17" spans="1:10" x14ac:dyDescent="0.25">
      <c r="A17" s="18">
        <v>44106</v>
      </c>
      <c r="B17" s="19">
        <v>18.57</v>
      </c>
      <c r="C17" s="19">
        <f t="shared" si="0"/>
        <v>141</v>
      </c>
      <c r="D17" s="21">
        <f t="shared" ref="D17:D29" si="1">C17/$B$6</f>
        <v>0.38630136986301372</v>
      </c>
      <c r="E17" s="21">
        <f t="shared" ref="E17:E29" si="2">$B17/(1+$E$34)^(D17)</f>
        <v>18.063610555731586</v>
      </c>
      <c r="F17" s="21">
        <f t="shared" ref="F17:F29" si="3">E17*$D17</f>
        <v>6.9779975023511058</v>
      </c>
      <c r="G17" s="21">
        <f t="shared" ref="G17:G29" si="4">$B17/(1+$G$34)^(D17)</f>
        <v>18.086643951757008</v>
      </c>
      <c r="H17" s="21">
        <f t="shared" ref="H17:H29" si="5">G17*$D17</f>
        <v>6.9868953347883238</v>
      </c>
      <c r="I17" s="21">
        <f t="shared" ref="I17:I29" si="6">$B17/(1+$I$34)^(D17)</f>
        <v>18.040360257709324</v>
      </c>
      <c r="J17" s="21">
        <f t="shared" ref="J17:J29" si="7">I17*$D17</f>
        <v>6.969015880375383</v>
      </c>
    </row>
    <row r="18" spans="1:10" x14ac:dyDescent="0.25">
      <c r="A18" s="18">
        <v>44197</v>
      </c>
      <c r="B18" s="19">
        <v>18.57</v>
      </c>
      <c r="C18" s="19">
        <f t="shared" si="0"/>
        <v>232</v>
      </c>
      <c r="D18" s="21">
        <f t="shared" si="1"/>
        <v>0.63561643835616444</v>
      </c>
      <c r="E18" s="21">
        <f t="shared" si="2"/>
        <v>17.744147624484665</v>
      </c>
      <c r="F18" s="21">
        <f t="shared" si="3"/>
        <v>11.278471914740939</v>
      </c>
      <c r="G18" s="21">
        <f t="shared" si="4"/>
        <v>17.781391602879715</v>
      </c>
      <c r="H18" s="21">
        <f t="shared" si="5"/>
        <v>11.302144799638615</v>
      </c>
      <c r="I18" s="21">
        <f t="shared" si="6"/>
        <v>17.706583996846966</v>
      </c>
      <c r="J18" s="21">
        <f t="shared" si="7"/>
        <v>11.254595855530127</v>
      </c>
    </row>
    <row r="19" spans="1:10" x14ac:dyDescent="0.25">
      <c r="A19" s="18">
        <v>44288</v>
      </c>
      <c r="B19" s="19">
        <v>18.57</v>
      </c>
      <c r="C19" s="19">
        <f t="shared" si="0"/>
        <v>323</v>
      </c>
      <c r="D19" s="21">
        <f t="shared" si="1"/>
        <v>0.8849315068493151</v>
      </c>
      <c r="E19" s="21">
        <f t="shared" si="2"/>
        <v>17.430334536281361</v>
      </c>
      <c r="F19" s="21">
        <f t="shared" si="3"/>
        <v>15.424652206079122</v>
      </c>
      <c r="G19" s="21">
        <f t="shared" si="4"/>
        <v>17.481291066397457</v>
      </c>
      <c r="H19" s="21">
        <f t="shared" si="5"/>
        <v>15.469745245058572</v>
      </c>
      <c r="I19" s="21">
        <f t="shared" si="6"/>
        <v>17.378983144386865</v>
      </c>
      <c r="J19" s="21">
        <f t="shared" si="7"/>
        <v>15.379209741471117</v>
      </c>
    </row>
    <row r="20" spans="1:10" x14ac:dyDescent="0.25">
      <c r="A20" s="18">
        <v>44379</v>
      </c>
      <c r="B20" s="19">
        <v>18.57</v>
      </c>
      <c r="C20" s="19">
        <f t="shared" si="0"/>
        <v>414</v>
      </c>
      <c r="D20" s="21">
        <f t="shared" si="1"/>
        <v>1.1342465753424658</v>
      </c>
      <c r="E20" s="21">
        <f t="shared" si="2"/>
        <v>17.122071371151947</v>
      </c>
      <c r="F20" s="21">
        <f t="shared" si="3"/>
        <v>19.420650815498373</v>
      </c>
      <c r="G20" s="21">
        <f t="shared" si="4"/>
        <v>17.186255394016289</v>
      </c>
      <c r="H20" s="21">
        <f t="shared" si="5"/>
        <v>19.493451323623955</v>
      </c>
      <c r="I20" s="21">
        <f t="shared" si="6"/>
        <v>17.057443445142525</v>
      </c>
      <c r="J20" s="21">
        <f t="shared" si="7"/>
        <v>19.3473468117507</v>
      </c>
    </row>
    <row r="21" spans="1:10" x14ac:dyDescent="0.25">
      <c r="A21" s="18">
        <v>44470</v>
      </c>
      <c r="B21" s="19">
        <v>18.57</v>
      </c>
      <c r="C21" s="19">
        <f t="shared" si="0"/>
        <v>505</v>
      </c>
      <c r="D21" s="21">
        <f t="shared" si="1"/>
        <v>1.3835616438356164</v>
      </c>
      <c r="E21" s="21">
        <f t="shared" si="2"/>
        <v>16.819259976255506</v>
      </c>
      <c r="F21" s="21">
        <f t="shared" si="3"/>
        <v>23.270482980846658</v>
      </c>
      <c r="G21" s="21">
        <f t="shared" si="4"/>
        <v>16.896199104888158</v>
      </c>
      <c r="H21" s="21">
        <f t="shared" si="5"/>
        <v>23.37693300813293</v>
      </c>
      <c r="I21" s="21">
        <f t="shared" si="6"/>
        <v>16.741852757835833</v>
      </c>
      <c r="J21" s="21">
        <f t="shared" si="7"/>
        <v>23.163385322485194</v>
      </c>
    </row>
    <row r="22" spans="1:10" x14ac:dyDescent="0.25">
      <c r="A22" s="18">
        <v>44561</v>
      </c>
      <c r="B22" s="19">
        <v>18.57</v>
      </c>
      <c r="C22" s="19">
        <f t="shared" si="0"/>
        <v>596</v>
      </c>
      <c r="D22" s="21">
        <f t="shared" si="1"/>
        <v>1.6328767123287671</v>
      </c>
      <c r="E22" s="21">
        <f t="shared" si="2"/>
        <v>16.521803934627457</v>
      </c>
      <c r="F22" s="21">
        <f t="shared" si="3"/>
        <v>26.978068890514969</v>
      </c>
      <c r="G22" s="21">
        <f t="shared" si="4"/>
        <v>16.611038160844448</v>
      </c>
      <c r="H22" s="21">
        <f t="shared" si="5"/>
        <v>27.123777380447372</v>
      </c>
      <c r="I22" s="21">
        <f t="shared" si="6"/>
        <v>16.432101015986298</v>
      </c>
      <c r="J22" s="21">
        <f t="shared" si="7"/>
        <v>26.8315950836379</v>
      </c>
    </row>
    <row r="23" spans="1:10" x14ac:dyDescent="0.25">
      <c r="A23" s="18">
        <v>44652</v>
      </c>
      <c r="B23" s="19">
        <v>18.57</v>
      </c>
      <c r="C23" s="19">
        <f t="shared" si="0"/>
        <v>687</v>
      </c>
      <c r="D23" s="21">
        <f t="shared" si="1"/>
        <v>1.8821917808219177</v>
      </c>
      <c r="E23" s="21">
        <f t="shared" si="2"/>
        <v>16.229608534479823</v>
      </c>
      <c r="F23" s="21">
        <f t="shared" si="3"/>
        <v>30.547235789555174</v>
      </c>
      <c r="G23" s="21">
        <f t="shared" si="4"/>
        <v>16.330689942047592</v>
      </c>
      <c r="H23" s="21">
        <f t="shared" si="5"/>
        <v>30.737490384073137</v>
      </c>
      <c r="I23" s="21">
        <f t="shared" si="6"/>
        <v>16.128080189523885</v>
      </c>
      <c r="J23" s="21">
        <f t="shared" si="7"/>
        <v>30.356139973158655</v>
      </c>
    </row>
    <row r="24" spans="1:10" x14ac:dyDescent="0.25">
      <c r="A24" s="18">
        <v>44652</v>
      </c>
      <c r="B24" s="19">
        <v>18.57</v>
      </c>
      <c r="C24" s="19">
        <f t="shared" si="0"/>
        <v>687</v>
      </c>
      <c r="D24" s="21">
        <f t="shared" si="1"/>
        <v>1.8821917808219177</v>
      </c>
      <c r="E24" s="21">
        <f t="shared" si="2"/>
        <v>16.229608534479823</v>
      </c>
      <c r="F24" s="21">
        <f t="shared" si="3"/>
        <v>30.547235789555174</v>
      </c>
      <c r="G24" s="21">
        <f t="shared" si="4"/>
        <v>16.330689942047592</v>
      </c>
      <c r="H24" s="21">
        <f t="shared" si="5"/>
        <v>30.737490384073137</v>
      </c>
      <c r="I24" s="21">
        <f t="shared" si="6"/>
        <v>16.128080189523885</v>
      </c>
      <c r="J24" s="21">
        <f t="shared" si="7"/>
        <v>30.356139973158655</v>
      </c>
    </row>
    <row r="25" spans="1:10" x14ac:dyDescent="0.25">
      <c r="A25" s="18">
        <v>44834</v>
      </c>
      <c r="B25" s="19">
        <v>18.57</v>
      </c>
      <c r="C25" s="19">
        <f t="shared" si="0"/>
        <v>869</v>
      </c>
      <c r="D25" s="21">
        <f t="shared" si="1"/>
        <v>2.3808219178082193</v>
      </c>
      <c r="E25" s="21">
        <f t="shared" si="2"/>
        <v>15.660629156949474</v>
      </c>
      <c r="F25" s="21">
        <f t="shared" si="3"/>
        <v>37.28516914353176</v>
      </c>
      <c r="G25" s="21">
        <f t="shared" si="4"/>
        <v>15.784108149278328</v>
      </c>
      <c r="H25" s="21">
        <f t="shared" si="5"/>
        <v>37.579150634857172</v>
      </c>
      <c r="I25" s="21">
        <f t="shared" si="6"/>
        <v>15.536809119168066</v>
      </c>
      <c r="J25" s="21">
        <f t="shared" si="7"/>
        <v>36.990375683717943</v>
      </c>
    </row>
    <row r="26" spans="1:10" x14ac:dyDescent="0.25">
      <c r="A26" s="18">
        <v>44925</v>
      </c>
      <c r="B26" s="19">
        <v>18.57</v>
      </c>
      <c r="C26" s="19">
        <f t="shared" si="0"/>
        <v>960</v>
      </c>
      <c r="D26" s="21">
        <f t="shared" si="1"/>
        <v>2.6301369863013697</v>
      </c>
      <c r="E26" s="21">
        <f t="shared" si="2"/>
        <v>15.383664013119876</v>
      </c>
      <c r="F26" s="21">
        <f t="shared" si="3"/>
        <v>40.46114370573995</v>
      </c>
      <c r="G26" s="21">
        <f t="shared" si="4"/>
        <v>15.51771621386168</v>
      </c>
      <c r="H26" s="21">
        <f t="shared" si="5"/>
        <v>40.813719357006065</v>
      </c>
      <c r="I26" s="21">
        <f t="shared" si="6"/>
        <v>15.249352661567</v>
      </c>
      <c r="J26" s="21">
        <f t="shared" si="7"/>
        <v>40.107886452340601</v>
      </c>
    </row>
    <row r="27" spans="1:10" x14ac:dyDescent="0.25">
      <c r="A27" s="18">
        <v>45016</v>
      </c>
      <c r="B27" s="19">
        <v>18.57</v>
      </c>
      <c r="C27" s="19">
        <f t="shared" si="0"/>
        <v>1051</v>
      </c>
      <c r="D27" s="21">
        <f t="shared" si="1"/>
        <v>2.8794520547945206</v>
      </c>
      <c r="E27" s="21">
        <f t="shared" si="2"/>
        <v>15.111597120192444</v>
      </c>
      <c r="F27" s="21">
        <f t="shared" si="3"/>
        <v>43.513119378965094</v>
      </c>
      <c r="G27" s="21">
        <f t="shared" si="4"/>
        <v>15.255820234921247</v>
      </c>
      <c r="H27" s="21">
        <f t="shared" si="5"/>
        <v>43.92840292301981</v>
      </c>
      <c r="I27" s="21">
        <f t="shared" si="6"/>
        <v>14.967214620017959</v>
      </c>
      <c r="J27" s="21">
        <f t="shared" si="7"/>
        <v>43.0973768921613</v>
      </c>
    </row>
    <row r="28" spans="1:10" x14ac:dyDescent="0.25">
      <c r="A28" s="18">
        <v>45107</v>
      </c>
      <c r="B28" s="19">
        <v>18.57</v>
      </c>
      <c r="C28" s="19">
        <f t="shared" si="0"/>
        <v>1142</v>
      </c>
      <c r="D28" s="21">
        <f t="shared" si="1"/>
        <v>3.128767123287671</v>
      </c>
      <c r="E28" s="21">
        <f t="shared" si="2"/>
        <v>14.844341850436454</v>
      </c>
      <c r="F28" s="21">
        <f t="shared" si="3"/>
        <v>46.444488748488844</v>
      </c>
      <c r="G28" s="21">
        <f t="shared" si="4"/>
        <v>14.998344333190623</v>
      </c>
      <c r="H28" s="21">
        <f t="shared" si="5"/>
        <v>46.926326653434771</v>
      </c>
      <c r="I28" s="21">
        <f t="shared" si="6"/>
        <v>14.690296595098852</v>
      </c>
      <c r="J28" s="21">
        <f t="shared" si="7"/>
        <v>45.962517018090104</v>
      </c>
    </row>
    <row r="29" spans="1:10" x14ac:dyDescent="0.25">
      <c r="A29" s="18">
        <v>45198</v>
      </c>
      <c r="B29" s="19">
        <v>1018.57</v>
      </c>
      <c r="C29" s="19">
        <f t="shared" si="0"/>
        <v>1233</v>
      </c>
      <c r="D29" s="21">
        <f t="shared" si="1"/>
        <v>3.3780821917808219</v>
      </c>
      <c r="E29" s="21">
        <f t="shared" si="2"/>
        <v>799.81676777542225</v>
      </c>
      <c r="F29" s="21">
        <f t="shared" si="3"/>
        <v>2701.8467799098512</v>
      </c>
      <c r="G29" s="21">
        <f t="shared" si="4"/>
        <v>808.77935015315859</v>
      </c>
      <c r="H29" s="21">
        <f t="shared" si="5"/>
        <v>2732.1231198324508</v>
      </c>
      <c r="I29" s="21">
        <f t="shared" si="6"/>
        <v>790.85910555873727</v>
      </c>
      <c r="J29" s="21">
        <f t="shared" si="7"/>
        <v>2671.5870606956796</v>
      </c>
    </row>
    <row r="30" spans="1:10" x14ac:dyDescent="0.25">
      <c r="A30" s="17"/>
    </row>
    <row r="31" spans="1:10" x14ac:dyDescent="0.25">
      <c r="A31" s="1" t="s">
        <v>24</v>
      </c>
      <c r="B31" s="9"/>
      <c r="C31" s="9"/>
      <c r="D31" s="9"/>
      <c r="E31" s="11">
        <f>SUM(E16:E29)</f>
        <v>1015.3662700325484</v>
      </c>
      <c r="F31" s="9"/>
      <c r="G31" s="11">
        <f>SUM(G16:G29)</f>
        <v>1025.4366748032494</v>
      </c>
      <c r="H31" s="9"/>
      <c r="I31" s="11">
        <f>SUM(I16:I29)</f>
        <v>1005.2966918874615</v>
      </c>
      <c r="J31" s="9"/>
    </row>
    <row r="32" spans="1:10" x14ac:dyDescent="0.25">
      <c r="A32" s="1" t="s">
        <v>25</v>
      </c>
      <c r="B32" s="9"/>
      <c r="C32" s="9"/>
      <c r="D32" s="9"/>
      <c r="E32" s="11">
        <f>E31-$B$5</f>
        <v>1006.9995667358451</v>
      </c>
      <c r="F32" s="9"/>
      <c r="G32" s="11">
        <f>G31-$B$5</f>
        <v>1017.069971506546</v>
      </c>
      <c r="H32" s="9"/>
      <c r="I32" s="11">
        <f>I31-$B$5</f>
        <v>996.92998859075817</v>
      </c>
      <c r="J32" s="9"/>
    </row>
    <row r="33" spans="1:10" ht="30" x14ac:dyDescent="0.25">
      <c r="A33" s="1" t="s">
        <v>26</v>
      </c>
      <c r="B33" s="9"/>
      <c r="C33" s="9"/>
      <c r="D33" s="9"/>
      <c r="E33" s="11">
        <f>E31-B5-C10</f>
        <v>-4.3326415493538661E-4</v>
      </c>
      <c r="F33" s="9"/>
      <c r="G33" s="11">
        <f>G31-B5-C9</f>
        <v>-2.8493454124145501E-5</v>
      </c>
      <c r="H33" s="9"/>
      <c r="I33" s="11">
        <f>I31-B5-C11</f>
        <v>-1.1409241778892465E-5</v>
      </c>
      <c r="J33" s="9"/>
    </row>
    <row r="34" spans="1:10" x14ac:dyDescent="0.25">
      <c r="A34" s="1" t="s">
        <v>6</v>
      </c>
      <c r="B34" s="9"/>
      <c r="C34" s="9"/>
      <c r="D34" s="9"/>
      <c r="E34" s="12">
        <v>7.4194282281934504E-2</v>
      </c>
      <c r="F34" s="9"/>
      <c r="G34" s="12">
        <v>7.0656613746584135E-2</v>
      </c>
      <c r="H34" s="9"/>
      <c r="I34" s="12">
        <v>7.778172015038938E-2</v>
      </c>
      <c r="J34" s="9"/>
    </row>
    <row r="35" spans="1:10" x14ac:dyDescent="0.25">
      <c r="A35" s="1" t="s">
        <v>7</v>
      </c>
      <c r="B35" s="9"/>
      <c r="C35" s="9"/>
      <c r="D35" s="9"/>
      <c r="E35" s="9"/>
      <c r="F35" s="25">
        <f>SUM(F16:F29)/($B$10*$B$4/100+B5)</f>
        <v>2.990559473780972</v>
      </c>
      <c r="G35" s="9"/>
      <c r="H35" s="25">
        <f>SUM(H16:H29)/(B9*$B$4/100+B5)</f>
        <v>2.9929870786621322</v>
      </c>
      <c r="I35" s="9"/>
      <c r="J35" s="26">
        <f>SUM(J16:J29)/(B11*$B$4/100+B5)</f>
        <v>2.9880934677573605</v>
      </c>
    </row>
    <row r="36" spans="1:10" ht="30" x14ac:dyDescent="0.25">
      <c r="A36" s="1" t="s">
        <v>27</v>
      </c>
      <c r="B36" s="9"/>
      <c r="C36" s="9"/>
      <c r="D36" s="9"/>
      <c r="E36" s="9"/>
      <c r="F36" s="23">
        <f>F35/(1+E34)</f>
        <v>2.7840024128857404</v>
      </c>
      <c r="G36" s="9"/>
      <c r="H36" s="23">
        <f>H35/(1+G34)</f>
        <v>2.7954687247376855</v>
      </c>
      <c r="I36" s="9"/>
      <c r="J36" s="23">
        <f>J35/(1+I34)</f>
        <v>2.7724477154246165</v>
      </c>
    </row>
    <row r="37" spans="1:10" x14ac:dyDescent="0.25">
      <c r="F37" s="16"/>
    </row>
  </sheetData>
  <mergeCells count="1">
    <mergeCell ref="A1:J1"/>
  </mergeCells>
  <pageMargins left="0.7" right="0.7" top="0.75" bottom="0.75" header="0.3" footer="0.3"/>
  <pageSetup paperSize="9" orientation="portrait" r:id="rId1"/>
  <ignoredErrors>
    <ignoredError sqref="G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Agapov</dc:creator>
  <cp:lastModifiedBy>79292</cp:lastModifiedBy>
  <dcterms:created xsi:type="dcterms:W3CDTF">2015-06-05T18:19:34Z</dcterms:created>
  <dcterms:modified xsi:type="dcterms:W3CDTF">2020-05-14T13:18:14Z</dcterms:modified>
</cp:coreProperties>
</file>